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cwang.DIT\Documents\! Onboarding\! 2 First day\"/>
    </mc:Choice>
  </mc:AlternateContent>
  <xr:revisionPtr revIDLastSave="0" documentId="13_ncr:1_{5F99D685-665B-41C4-AC4C-BAAD6AEB0608}" xr6:coauthVersionLast="47" xr6:coauthVersionMax="47" xr10:uidLastSave="{00000000-0000-0000-0000-000000000000}"/>
  <bookViews>
    <workbookView xWindow="55050" yWindow="2625" windowWidth="21600" windowHeight="17940" firstSheet="7" activeTab="11" xr2:uid="{00000000-000D-0000-FFFF-FFFF00000000}"/>
  </bookViews>
  <sheets>
    <sheet name="January 2026" sheetId="12" r:id="rId1"/>
    <sheet name="February 2026" sheetId="16" r:id="rId2"/>
    <sheet name="March 2026" sheetId="17" r:id="rId3"/>
    <sheet name="April 2026" sheetId="18" r:id="rId4"/>
    <sheet name="May 2026" sheetId="19" r:id="rId5"/>
    <sheet name="June 2026" sheetId="20" r:id="rId6"/>
    <sheet name="July 2026" sheetId="21" r:id="rId7"/>
    <sheet name="August 2026" sheetId="22" r:id="rId8"/>
    <sheet name="September 2026" sheetId="23" r:id="rId9"/>
    <sheet name="October 2026" sheetId="24" r:id="rId10"/>
    <sheet name="Novmber 2026" sheetId="25" r:id="rId11"/>
    <sheet name="December 2026" sheetId="26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6" i="25" l="1"/>
  <c r="A53" i="22"/>
  <c r="A57" i="22"/>
  <c r="F45" i="12"/>
  <c r="H53" i="26"/>
  <c r="H52" i="26"/>
  <c r="H51" i="26"/>
  <c r="H50" i="26"/>
  <c r="H46" i="26"/>
  <c r="H45" i="26"/>
  <c r="H44" i="26"/>
  <c r="H43" i="26"/>
  <c r="H42" i="26"/>
  <c r="H41" i="26"/>
  <c r="H40" i="26"/>
  <c r="H36" i="26"/>
  <c r="H35" i="26"/>
  <c r="H34" i="26"/>
  <c r="H33" i="26"/>
  <c r="H32" i="26"/>
  <c r="H31" i="26"/>
  <c r="H30" i="26"/>
  <c r="H26" i="26"/>
  <c r="H25" i="26"/>
  <c r="H24" i="26"/>
  <c r="H23" i="26"/>
  <c r="A27" i="26"/>
  <c r="A37" i="26" s="1"/>
  <c r="H22" i="26"/>
  <c r="H21" i="26"/>
  <c r="H20" i="26"/>
  <c r="H16" i="26"/>
  <c r="H15" i="26"/>
  <c r="H14" i="26"/>
  <c r="H13" i="26"/>
  <c r="H12" i="26"/>
  <c r="H11" i="26"/>
  <c r="H55" i="25"/>
  <c r="H51" i="25"/>
  <c r="H50" i="25"/>
  <c r="H49" i="25"/>
  <c r="H48" i="25"/>
  <c r="H47" i="25"/>
  <c r="H46" i="25"/>
  <c r="H45" i="25"/>
  <c r="H41" i="25"/>
  <c r="H40" i="25"/>
  <c r="H39" i="25"/>
  <c r="H38" i="25"/>
  <c r="H37" i="25"/>
  <c r="H36" i="25"/>
  <c r="H35" i="25"/>
  <c r="H31" i="25"/>
  <c r="H30" i="25"/>
  <c r="H29" i="25"/>
  <c r="A22" i="25"/>
  <c r="A32" i="25" s="1"/>
  <c r="A42" i="25" s="1"/>
  <c r="H28" i="25"/>
  <c r="H27" i="25"/>
  <c r="H26" i="25"/>
  <c r="H25" i="25"/>
  <c r="H21" i="25"/>
  <c r="H20" i="25"/>
  <c r="H19" i="25"/>
  <c r="H18" i="25"/>
  <c r="H17" i="25"/>
  <c r="H16" i="25"/>
  <c r="H15" i="25"/>
  <c r="H11" i="25"/>
  <c r="H53" i="24"/>
  <c r="H52" i="24"/>
  <c r="H51" i="24"/>
  <c r="H50" i="24"/>
  <c r="H49" i="24"/>
  <c r="H48" i="24"/>
  <c r="H44" i="24"/>
  <c r="H43" i="24"/>
  <c r="H42" i="24"/>
  <c r="H41" i="24"/>
  <c r="H40" i="24"/>
  <c r="H39" i="24"/>
  <c r="H38" i="24"/>
  <c r="H34" i="24"/>
  <c r="H33" i="24"/>
  <c r="H32" i="24"/>
  <c r="H31" i="24"/>
  <c r="A25" i="24"/>
  <c r="A35" i="24" s="1"/>
  <c r="H30" i="24"/>
  <c r="H29" i="24"/>
  <c r="H28" i="24"/>
  <c r="H24" i="24"/>
  <c r="H23" i="24"/>
  <c r="H22" i="24"/>
  <c r="H21" i="24"/>
  <c r="H20" i="24"/>
  <c r="H19" i="24"/>
  <c r="H18" i="24"/>
  <c r="H14" i="24"/>
  <c r="H13" i="24"/>
  <c r="H12" i="24"/>
  <c r="H11" i="24"/>
  <c r="H52" i="23"/>
  <c r="H51" i="23"/>
  <c r="H50" i="23"/>
  <c r="H46" i="23"/>
  <c r="H45" i="23"/>
  <c r="H44" i="23"/>
  <c r="H43" i="23"/>
  <c r="H42" i="23"/>
  <c r="H41" i="23"/>
  <c r="H40" i="23"/>
  <c r="H36" i="23"/>
  <c r="H35" i="23"/>
  <c r="H34" i="23"/>
  <c r="H33" i="23"/>
  <c r="H32" i="23"/>
  <c r="H31" i="23"/>
  <c r="H30" i="23"/>
  <c r="H26" i="23"/>
  <c r="H25" i="23"/>
  <c r="H24" i="23"/>
  <c r="A27" i="23"/>
  <c r="A37" i="23" s="1"/>
  <c r="H23" i="23"/>
  <c r="H22" i="23"/>
  <c r="H21" i="23"/>
  <c r="H20" i="23"/>
  <c r="H16" i="23"/>
  <c r="H15" i="23"/>
  <c r="H14" i="23"/>
  <c r="H13" i="23"/>
  <c r="H12" i="23"/>
  <c r="H11" i="23"/>
  <c r="H56" i="22"/>
  <c r="H52" i="22"/>
  <c r="H51" i="22"/>
  <c r="H50" i="22"/>
  <c r="H49" i="22"/>
  <c r="H48" i="22"/>
  <c r="H47" i="22"/>
  <c r="H46" i="22"/>
  <c r="H42" i="22"/>
  <c r="H41" i="22"/>
  <c r="H40" i="22"/>
  <c r="H39" i="22"/>
  <c r="H38" i="22"/>
  <c r="H37" i="22"/>
  <c r="H36" i="22"/>
  <c r="H32" i="22"/>
  <c r="H31" i="22"/>
  <c r="H30" i="22"/>
  <c r="A23" i="22"/>
  <c r="A33" i="22" s="1"/>
  <c r="H29" i="22"/>
  <c r="H28" i="22"/>
  <c r="H27" i="22"/>
  <c r="H26" i="22"/>
  <c r="H22" i="22"/>
  <c r="H21" i="22"/>
  <c r="H20" i="22"/>
  <c r="H19" i="22"/>
  <c r="H18" i="22"/>
  <c r="H17" i="22"/>
  <c r="H16" i="22"/>
  <c r="H12" i="22"/>
  <c r="H11" i="22"/>
  <c r="H53" i="21"/>
  <c r="H52" i="21"/>
  <c r="H51" i="21"/>
  <c r="H50" i="21"/>
  <c r="H49" i="21"/>
  <c r="H45" i="21"/>
  <c r="H44" i="21"/>
  <c r="H43" i="21"/>
  <c r="H42" i="21"/>
  <c r="H41" i="21"/>
  <c r="H40" i="21"/>
  <c r="H39" i="21"/>
  <c r="H35" i="21"/>
  <c r="H34" i="21"/>
  <c r="H33" i="21"/>
  <c r="H32" i="21"/>
  <c r="H31" i="21"/>
  <c r="H30" i="21"/>
  <c r="H29" i="21"/>
  <c r="H25" i="21"/>
  <c r="H24" i="21"/>
  <c r="H23" i="21"/>
  <c r="H22" i="21"/>
  <c r="A26" i="21"/>
  <c r="A36" i="21" s="1"/>
  <c r="H21" i="21"/>
  <c r="H20" i="21"/>
  <c r="H19" i="21"/>
  <c r="H15" i="21"/>
  <c r="H14" i="21"/>
  <c r="H13" i="21"/>
  <c r="H12" i="21"/>
  <c r="H11" i="21"/>
  <c r="H52" i="20"/>
  <c r="H51" i="20"/>
  <c r="H47" i="20"/>
  <c r="H46" i="20"/>
  <c r="H45" i="20"/>
  <c r="H44" i="20"/>
  <c r="H43" i="20"/>
  <c r="H42" i="20"/>
  <c r="H41" i="20"/>
  <c r="H37" i="20"/>
  <c r="H36" i="20"/>
  <c r="H35" i="20"/>
  <c r="H34" i="20"/>
  <c r="H33" i="20"/>
  <c r="H32" i="20"/>
  <c r="H31" i="20"/>
  <c r="H27" i="20"/>
  <c r="H26" i="20"/>
  <c r="H25" i="20"/>
  <c r="H24" i="20"/>
  <c r="H23" i="20"/>
  <c r="H22" i="20"/>
  <c r="H21" i="20"/>
  <c r="H17" i="20"/>
  <c r="H16" i="20"/>
  <c r="H15" i="20"/>
  <c r="H14" i="20"/>
  <c r="H13" i="20"/>
  <c r="H12" i="20"/>
  <c r="H11" i="20"/>
  <c r="H53" i="19"/>
  <c r="A24" i="19"/>
  <c r="A34" i="19" s="1"/>
  <c r="H52" i="19"/>
  <c r="H51" i="19"/>
  <c r="H50" i="19"/>
  <c r="H49" i="19"/>
  <c r="H48" i="19"/>
  <c r="H47" i="19"/>
  <c r="H43" i="19"/>
  <c r="H42" i="19"/>
  <c r="H41" i="19"/>
  <c r="H40" i="19"/>
  <c r="H39" i="19"/>
  <c r="H38" i="19"/>
  <c r="H37" i="19"/>
  <c r="H33" i="19"/>
  <c r="H32" i="19"/>
  <c r="H31" i="19"/>
  <c r="H30" i="19"/>
  <c r="H29" i="19"/>
  <c r="H28" i="19"/>
  <c r="H27" i="19"/>
  <c r="H23" i="19"/>
  <c r="H22" i="19"/>
  <c r="H21" i="19"/>
  <c r="H20" i="19"/>
  <c r="H19" i="19"/>
  <c r="H18" i="19"/>
  <c r="H17" i="19"/>
  <c r="H13" i="19"/>
  <c r="H12" i="19"/>
  <c r="H11" i="19"/>
  <c r="A22" i="17"/>
  <c r="A32" i="17" s="1"/>
  <c r="A42" i="17" s="1"/>
  <c r="A52" i="17" s="1"/>
  <c r="A57" i="17" s="1"/>
  <c r="A22" i="16"/>
  <c r="A32" i="16" s="1"/>
  <c r="A42" i="16" s="1"/>
  <c r="A51" i="16" s="1"/>
  <c r="A25" i="12"/>
  <c r="A35" i="12" s="1"/>
  <c r="A45" i="12" s="1"/>
  <c r="A54" i="12" s="1"/>
  <c r="A26" i="18"/>
  <c r="A36" i="18" s="1"/>
  <c r="H52" i="18"/>
  <c r="H51" i="18"/>
  <c r="H50" i="18"/>
  <c r="H49" i="18"/>
  <c r="H45" i="18"/>
  <c r="H44" i="18"/>
  <c r="H43" i="18"/>
  <c r="H42" i="18"/>
  <c r="H41" i="18"/>
  <c r="H40" i="18"/>
  <c r="H39" i="18"/>
  <c r="H35" i="18"/>
  <c r="H34" i="18"/>
  <c r="H33" i="18"/>
  <c r="H32" i="18"/>
  <c r="H31" i="18"/>
  <c r="H30" i="18"/>
  <c r="H29" i="18"/>
  <c r="H25" i="18"/>
  <c r="H24" i="18"/>
  <c r="H23" i="18"/>
  <c r="H22" i="18"/>
  <c r="H21" i="18"/>
  <c r="H20" i="18"/>
  <c r="H19" i="18"/>
  <c r="H15" i="18"/>
  <c r="H14" i="18"/>
  <c r="H13" i="18"/>
  <c r="H12" i="18"/>
  <c r="H11" i="18"/>
  <c r="H56" i="17"/>
  <c r="H55" i="17"/>
  <c r="H51" i="17"/>
  <c r="H50" i="17"/>
  <c r="H49" i="17"/>
  <c r="H48" i="17"/>
  <c r="H47" i="17"/>
  <c r="H46" i="17"/>
  <c r="H45" i="17"/>
  <c r="H41" i="17"/>
  <c r="H40" i="17"/>
  <c r="H39" i="17"/>
  <c r="H38" i="17"/>
  <c r="H37" i="17"/>
  <c r="H36" i="17"/>
  <c r="H35" i="17"/>
  <c r="H31" i="17"/>
  <c r="H30" i="17"/>
  <c r="H29" i="17"/>
  <c r="H28" i="17"/>
  <c r="H27" i="17"/>
  <c r="H26" i="17"/>
  <c r="H25" i="17"/>
  <c r="H21" i="17"/>
  <c r="H20" i="17"/>
  <c r="H19" i="17"/>
  <c r="H18" i="17"/>
  <c r="H17" i="17"/>
  <c r="H16" i="17"/>
  <c r="H15" i="17"/>
  <c r="H11" i="17"/>
  <c r="H50" i="16"/>
  <c r="H49" i="16"/>
  <c r="H48" i="16"/>
  <c r="H47" i="16"/>
  <c r="H46" i="16"/>
  <c r="H45" i="16"/>
  <c r="H41" i="16"/>
  <c r="H40" i="16"/>
  <c r="H39" i="16"/>
  <c r="H38" i="16"/>
  <c r="H37" i="16"/>
  <c r="H36" i="16"/>
  <c r="H35" i="16"/>
  <c r="H31" i="16"/>
  <c r="H30" i="16"/>
  <c r="H29" i="16"/>
  <c r="H28" i="16"/>
  <c r="H27" i="16"/>
  <c r="H26" i="16"/>
  <c r="H25" i="16"/>
  <c r="H21" i="16"/>
  <c r="H20" i="16"/>
  <c r="H19" i="16"/>
  <c r="H18" i="16"/>
  <c r="H17" i="16"/>
  <c r="H16" i="16"/>
  <c r="H15" i="16"/>
  <c r="H11" i="16"/>
  <c r="B11" i="12"/>
  <c r="G57" i="22" l="1"/>
  <c r="H57" i="22"/>
  <c r="F57" i="22"/>
  <c r="A47" i="26"/>
  <c r="A52" i="25"/>
  <c r="A45" i="24"/>
  <c r="A47" i="23"/>
  <c r="A43" i="22"/>
  <c r="A46" i="21"/>
  <c r="A46" i="18"/>
  <c r="A54" i="26" l="1"/>
  <c r="A54" i="24"/>
  <c r="A53" i="23"/>
  <c r="A54" i="21"/>
  <c r="A44" i="19"/>
  <c r="A54" i="19" s="1"/>
  <c r="A53" i="18"/>
  <c r="H49" i="12" l="1"/>
  <c r="H50" i="12"/>
  <c r="H51" i="12"/>
  <c r="H52" i="12"/>
  <c r="H53" i="12"/>
  <c r="H48" i="12"/>
  <c r="H44" i="12"/>
  <c r="H43" i="12"/>
  <c r="H42" i="12"/>
  <c r="H41" i="12"/>
  <c r="H40" i="12"/>
  <c r="H39" i="12"/>
  <c r="H38" i="12"/>
  <c r="H34" i="12"/>
  <c r="H33" i="12"/>
  <c r="H32" i="12"/>
  <c r="H31" i="12"/>
  <c r="H30" i="12"/>
  <c r="H29" i="12"/>
  <c r="H21" i="12"/>
  <c r="H22" i="12"/>
  <c r="A12" i="12" l="1"/>
  <c r="H11" i="12"/>
  <c r="H20" i="12"/>
  <c r="H19" i="12"/>
  <c r="H18" i="12"/>
  <c r="H14" i="12"/>
  <c r="H13" i="12"/>
  <c r="H28" i="12"/>
  <c r="H24" i="12"/>
  <c r="H23" i="12"/>
  <c r="H12" i="12"/>
  <c r="A13" i="12" l="1"/>
  <c r="B12" i="12"/>
  <c r="B13" i="12" l="1"/>
  <c r="A14" i="12"/>
  <c r="B14" i="12" l="1"/>
  <c r="A18" i="12"/>
  <c r="B18" i="12" l="1"/>
  <c r="A19" i="12"/>
  <c r="B19" i="12" l="1"/>
  <c r="A20" i="12"/>
  <c r="B20" i="12" l="1"/>
  <c r="A21" i="12"/>
  <c r="B21" i="12" l="1"/>
  <c r="A22" i="12"/>
  <c r="B22" i="12" l="1"/>
  <c r="A23" i="12"/>
  <c r="B23" i="12" l="1"/>
  <c r="A24" i="12"/>
  <c r="A28" i="12" l="1"/>
  <c r="B24" i="12"/>
  <c r="B28" i="12" l="1"/>
  <c r="A29" i="12"/>
  <c r="A30" i="12" l="1"/>
  <c r="B29" i="12"/>
  <c r="A31" i="12" l="1"/>
  <c r="B30" i="12"/>
  <c r="A32" i="12" l="1"/>
  <c r="B31" i="12"/>
  <c r="B32" i="12" l="1"/>
  <c r="A33" i="12"/>
  <c r="B33" i="12" l="1"/>
  <c r="A34" i="12"/>
  <c r="B34" i="12" l="1"/>
  <c r="A38" i="12"/>
  <c r="B38" i="12" l="1"/>
  <c r="A39" i="12"/>
  <c r="A40" i="12" l="1"/>
  <c r="B39" i="12"/>
  <c r="A41" i="12" l="1"/>
  <c r="B40" i="12"/>
  <c r="B41" i="12" l="1"/>
  <c r="A42" i="12"/>
  <c r="A43" i="12" l="1"/>
  <c r="B42" i="12"/>
  <c r="A44" i="12" l="1"/>
  <c r="B43" i="12"/>
  <c r="A48" i="12" l="1"/>
  <c r="B44" i="12"/>
  <c r="A49" i="12" l="1"/>
  <c r="B48" i="12"/>
  <c r="A50" i="12" l="1"/>
  <c r="B49" i="12"/>
  <c r="A51" i="12" l="1"/>
  <c r="B50" i="12"/>
  <c r="A52" i="12" l="1"/>
  <c r="B51" i="12"/>
  <c r="A53" i="12" l="1"/>
  <c r="B52" i="12"/>
  <c r="A11" i="16" l="1"/>
  <c r="B53" i="12"/>
  <c r="H45" i="12"/>
  <c r="G45" i="12"/>
  <c r="F15" i="12" l="1"/>
  <c r="F35" i="12"/>
  <c r="H35" i="12"/>
  <c r="H54" i="12"/>
  <c r="H25" i="12"/>
  <c r="H15" i="12"/>
  <c r="G35" i="12"/>
  <c r="G54" i="12"/>
  <c r="G15" i="12"/>
  <c r="G25" i="12"/>
  <c r="F54" i="12"/>
  <c r="F25" i="12"/>
  <c r="A15" i="16"/>
  <c r="B11" i="16"/>
  <c r="H56" i="12" l="1"/>
  <c r="A16" i="16"/>
  <c r="B15" i="16"/>
  <c r="A17" i="16" l="1"/>
  <c r="B16" i="16"/>
  <c r="B17" i="16" l="1"/>
  <c r="A18" i="16"/>
  <c r="B18" i="16" l="1"/>
  <c r="A19" i="16"/>
  <c r="B19" i="16" l="1"/>
  <c r="A20" i="16"/>
  <c r="B20" i="16" l="1"/>
  <c r="A21" i="16"/>
  <c r="A25" i="16" l="1"/>
  <c r="B21" i="16"/>
  <c r="B25" i="16" l="1"/>
  <c r="A26" i="16"/>
  <c r="A27" i="16" l="1"/>
  <c r="B26" i="16"/>
  <c r="B27" i="16" l="1"/>
  <c r="A28" i="16"/>
  <c r="A29" i="16" l="1"/>
  <c r="B28" i="16"/>
  <c r="A30" i="16" l="1"/>
  <c r="B29" i="16"/>
  <c r="A31" i="16" l="1"/>
  <c r="B30" i="16"/>
  <c r="A35" i="16" l="1"/>
  <c r="B31" i="16"/>
  <c r="B35" i="16" l="1"/>
  <c r="A36" i="16"/>
  <c r="A37" i="16" l="1"/>
  <c r="B36" i="16"/>
  <c r="B37" i="16" l="1"/>
  <c r="A38" i="16"/>
  <c r="A39" i="16" l="1"/>
  <c r="B38" i="16"/>
  <c r="B39" i="16" l="1"/>
  <c r="A40" i="16"/>
  <c r="A41" i="16" l="1"/>
  <c r="B40" i="16"/>
  <c r="A45" i="16" l="1"/>
  <c r="B41" i="16"/>
  <c r="B45" i="16" l="1"/>
  <c r="A46" i="16"/>
  <c r="A47" i="16" l="1"/>
  <c r="B46" i="16"/>
  <c r="B47" i="16" l="1"/>
  <c r="A48" i="16"/>
  <c r="A49" i="16" l="1"/>
  <c r="B48" i="16"/>
  <c r="B49" i="16" l="1"/>
  <c r="A50" i="16"/>
  <c r="G32" i="16" l="1"/>
  <c r="G51" i="16"/>
  <c r="F51" i="16"/>
  <c r="A11" i="17"/>
  <c r="B50" i="16"/>
  <c r="F22" i="16" l="1"/>
  <c r="F12" i="16"/>
  <c r="H51" i="16"/>
  <c r="H12" i="16"/>
  <c r="G22" i="16"/>
  <c r="H32" i="16"/>
  <c r="G42" i="16"/>
  <c r="B11" i="17"/>
  <c r="A15" i="17"/>
  <c r="H22" i="16"/>
  <c r="F32" i="16"/>
  <c r="H42" i="16"/>
  <c r="F42" i="16"/>
  <c r="G12" i="16"/>
  <c r="B15" i="17" l="1"/>
  <c r="A16" i="17"/>
  <c r="H53" i="16"/>
  <c r="B16" i="17" l="1"/>
  <c r="A17" i="17"/>
  <c r="A18" i="17" l="1"/>
  <c r="B17" i="17"/>
  <c r="A19" i="17" l="1"/>
  <c r="B18" i="17"/>
  <c r="B19" i="17" l="1"/>
  <c r="A20" i="17"/>
  <c r="A21" i="17" l="1"/>
  <c r="B20" i="17"/>
  <c r="B21" i="17" l="1"/>
  <c r="A25" i="17"/>
  <c r="B25" i="17" l="1"/>
  <c r="A26" i="17"/>
  <c r="B26" i="17" l="1"/>
  <c r="A27" i="17"/>
  <c r="B27" i="17" l="1"/>
  <c r="A28" i="17"/>
  <c r="A29" i="17" l="1"/>
  <c r="B28" i="17"/>
  <c r="B29" i="17" l="1"/>
  <c r="A30" i="17"/>
  <c r="A31" i="17" l="1"/>
  <c r="B30" i="17"/>
  <c r="A35" i="17" l="1"/>
  <c r="B31" i="17"/>
  <c r="B35" i="17" l="1"/>
  <c r="A36" i="17"/>
  <c r="B36" i="17" l="1"/>
  <c r="A37" i="17"/>
  <c r="A38" i="17" l="1"/>
  <c r="B37" i="17"/>
  <c r="A39" i="17" l="1"/>
  <c r="B38" i="17"/>
  <c r="A40" i="17" l="1"/>
  <c r="B39" i="17"/>
  <c r="B40" i="17" l="1"/>
  <c r="A41" i="17"/>
  <c r="B41" i="17" l="1"/>
  <c r="A45" i="17"/>
  <c r="A46" i="17" l="1"/>
  <c r="B45" i="17"/>
  <c r="B46" i="17" l="1"/>
  <c r="A47" i="17"/>
  <c r="A48" i="17" l="1"/>
  <c r="B47" i="17"/>
  <c r="A49" i="17" l="1"/>
  <c r="B48" i="17"/>
  <c r="A50" i="17" l="1"/>
  <c r="B49" i="17"/>
  <c r="B50" i="17" l="1"/>
  <c r="A51" i="17"/>
  <c r="B51" i="17" l="1"/>
  <c r="A55" i="17"/>
  <c r="B55" i="17" l="1"/>
  <c r="A56" i="17"/>
  <c r="F42" i="17" l="1"/>
  <c r="H32" i="17"/>
  <c r="G42" i="17"/>
  <c r="B56" i="17"/>
  <c r="A11" i="18"/>
  <c r="G32" i="17" l="1"/>
  <c r="H57" i="17"/>
  <c r="G57" i="17"/>
  <c r="G52" i="17"/>
  <c r="G12" i="17"/>
  <c r="F32" i="17"/>
  <c r="H12" i="17"/>
  <c r="H52" i="17"/>
  <c r="F22" i="17"/>
  <c r="G22" i="17"/>
  <c r="F52" i="17"/>
  <c r="F12" i="17"/>
  <c r="H42" i="17"/>
  <c r="B11" i="18"/>
  <c r="A12" i="18"/>
  <c r="H22" i="17"/>
  <c r="F57" i="17"/>
  <c r="H59" i="17" l="1"/>
  <c r="B12" i="18"/>
  <c r="A13" i="18"/>
  <c r="B13" i="18" l="1"/>
  <c r="A14" i="18"/>
  <c r="B14" i="18" l="1"/>
  <c r="A15" i="18"/>
  <c r="A19" i="18" l="1"/>
  <c r="B15" i="18"/>
  <c r="A20" i="18" l="1"/>
  <c r="B19" i="18"/>
  <c r="A21" i="18" l="1"/>
  <c r="B20" i="18"/>
  <c r="A22" i="18" l="1"/>
  <c r="B21" i="18"/>
  <c r="A23" i="18" l="1"/>
  <c r="B22" i="18"/>
  <c r="B23" i="18" l="1"/>
  <c r="A24" i="18"/>
  <c r="A25" i="18" l="1"/>
  <c r="B24" i="18"/>
  <c r="A29" i="18" l="1"/>
  <c r="B25" i="18"/>
  <c r="A30" i="18" l="1"/>
  <c r="B29" i="18"/>
  <c r="A31" i="18" l="1"/>
  <c r="B30" i="18"/>
  <c r="A32" i="18" l="1"/>
  <c r="B31" i="18"/>
  <c r="A33" i="18" l="1"/>
  <c r="B32" i="18"/>
  <c r="A34" i="18" l="1"/>
  <c r="B33" i="18"/>
  <c r="A35" i="18" l="1"/>
  <c r="B34" i="18"/>
  <c r="A39" i="18" l="1"/>
  <c r="B35" i="18"/>
  <c r="B39" i="18" l="1"/>
  <c r="A40" i="18"/>
  <c r="B40" i="18" l="1"/>
  <c r="A41" i="18"/>
  <c r="B41" i="18" l="1"/>
  <c r="A42" i="18"/>
  <c r="B42" i="18" l="1"/>
  <c r="A43" i="18"/>
  <c r="B43" i="18" l="1"/>
  <c r="A44" i="18"/>
  <c r="A45" i="18" l="1"/>
  <c r="B44" i="18"/>
  <c r="B45" i="18" l="1"/>
  <c r="A49" i="18"/>
  <c r="A50" i="18" l="1"/>
  <c r="B49" i="18"/>
  <c r="A51" i="18" l="1"/>
  <c r="B50" i="18"/>
  <c r="A52" i="18" l="1"/>
  <c r="B51" i="18"/>
  <c r="A11" i="19" l="1"/>
  <c r="B52" i="18"/>
  <c r="G16" i="18"/>
  <c r="G53" i="18"/>
  <c r="F36" i="18"/>
  <c r="F53" i="18"/>
  <c r="G36" i="18" l="1"/>
  <c r="G26" i="18"/>
  <c r="F16" i="18"/>
  <c r="H53" i="18"/>
  <c r="F26" i="18"/>
  <c r="G46" i="18"/>
  <c r="H46" i="18"/>
  <c r="H16" i="18"/>
  <c r="F46" i="18"/>
  <c r="H26" i="18"/>
  <c r="H36" i="18"/>
  <c r="B11" i="19"/>
  <c r="A12" i="19"/>
  <c r="H55" i="18" l="1"/>
  <c r="A13" i="19"/>
  <c r="B12" i="19"/>
  <c r="A17" i="19" l="1"/>
  <c r="B13" i="19"/>
  <c r="B17" i="19" l="1"/>
  <c r="A18" i="19"/>
  <c r="A19" i="19" l="1"/>
  <c r="B18" i="19"/>
  <c r="B19" i="19" l="1"/>
  <c r="A20" i="19"/>
  <c r="B20" i="19" l="1"/>
  <c r="A21" i="19"/>
  <c r="B21" i="19" l="1"/>
  <c r="A22" i="19"/>
  <c r="B22" i="19" l="1"/>
  <c r="A23" i="19"/>
  <c r="A27" i="19" l="1"/>
  <c r="B23" i="19"/>
  <c r="A28" i="19" l="1"/>
  <c r="B27" i="19"/>
  <c r="B28" i="19" l="1"/>
  <c r="A29" i="19"/>
  <c r="B29" i="19" l="1"/>
  <c r="A30" i="19"/>
  <c r="A31" i="19" l="1"/>
  <c r="B30" i="19"/>
  <c r="A32" i="19" l="1"/>
  <c r="B31" i="19"/>
  <c r="B32" i="19" l="1"/>
  <c r="A33" i="19"/>
  <c r="B33" i="19" l="1"/>
  <c r="A37" i="19"/>
  <c r="A38" i="19" l="1"/>
  <c r="B37" i="19"/>
  <c r="B38" i="19" l="1"/>
  <c r="A39" i="19"/>
  <c r="B39" i="19" l="1"/>
  <c r="A40" i="19"/>
  <c r="A41" i="19" l="1"/>
  <c r="B40" i="19"/>
  <c r="A42" i="19" l="1"/>
  <c r="B41" i="19"/>
  <c r="B42" i="19" l="1"/>
  <c r="A43" i="19"/>
  <c r="A47" i="19" l="1"/>
  <c r="B43" i="19"/>
  <c r="B47" i="19" l="1"/>
  <c r="A48" i="19"/>
  <c r="A49" i="19" l="1"/>
  <c r="B48" i="19"/>
  <c r="B49" i="19" l="1"/>
  <c r="A50" i="19"/>
  <c r="B50" i="19" l="1"/>
  <c r="A51" i="19"/>
  <c r="B51" i="19" l="1"/>
  <c r="A52" i="19"/>
  <c r="B52" i="19" l="1"/>
  <c r="A53" i="19"/>
  <c r="G44" i="19" l="1"/>
  <c r="A11" i="20"/>
  <c r="B53" i="19"/>
  <c r="F24" i="19" l="1"/>
  <c r="G14" i="19"/>
  <c r="F44" i="19"/>
  <c r="F54" i="19"/>
  <c r="G34" i="19"/>
  <c r="F34" i="19"/>
  <c r="F14" i="19"/>
  <c r="B11" i="20"/>
  <c r="A12" i="20"/>
  <c r="H34" i="19"/>
  <c r="H24" i="19"/>
  <c r="H54" i="19"/>
  <c r="G54" i="19"/>
  <c r="H14" i="19"/>
  <c r="G24" i="19"/>
  <c r="H44" i="19"/>
  <c r="B12" i="20" l="1"/>
  <c r="A13" i="20"/>
  <c r="H56" i="19"/>
  <c r="B13" i="20" l="1"/>
  <c r="A14" i="20"/>
  <c r="B14" i="20" l="1"/>
  <c r="A15" i="20"/>
  <c r="B15" i="20" l="1"/>
  <c r="A16" i="20"/>
  <c r="A17" i="20" l="1"/>
  <c r="B16" i="20"/>
  <c r="B17" i="20" l="1"/>
  <c r="A18" i="20" s="1"/>
  <c r="A28" i="20" s="1"/>
  <c r="A38" i="20" s="1"/>
  <c r="A48" i="20" s="1"/>
  <c r="A53" i="20" s="1"/>
  <c r="A21" i="20"/>
  <c r="B21" i="20" l="1"/>
  <c r="A22" i="20"/>
  <c r="A23" i="20" l="1"/>
  <c r="B22" i="20"/>
  <c r="B23" i="20" l="1"/>
  <c r="A24" i="20"/>
  <c r="A25" i="20" l="1"/>
  <c r="B24" i="20"/>
  <c r="B25" i="20" l="1"/>
  <c r="A26" i="20"/>
  <c r="B26" i="20" l="1"/>
  <c r="A27" i="20"/>
  <c r="A31" i="20" l="1"/>
  <c r="B27" i="20"/>
  <c r="A32" i="20" l="1"/>
  <c r="B31" i="20"/>
  <c r="A33" i="20" l="1"/>
  <c r="B32" i="20"/>
  <c r="A34" i="20" l="1"/>
  <c r="B33" i="20"/>
  <c r="B34" i="20" l="1"/>
  <c r="A35" i="20"/>
  <c r="A36" i="20" l="1"/>
  <c r="B35" i="20"/>
  <c r="B36" i="20" l="1"/>
  <c r="A37" i="20"/>
  <c r="B37" i="20" l="1"/>
  <c r="A41" i="20"/>
  <c r="A42" i="20" l="1"/>
  <c r="B41" i="20"/>
  <c r="A43" i="20" l="1"/>
  <c r="B42" i="20"/>
  <c r="A44" i="20" l="1"/>
  <c r="B43" i="20"/>
  <c r="B44" i="20" l="1"/>
  <c r="A45" i="20"/>
  <c r="A46" i="20" l="1"/>
  <c r="B45" i="20"/>
  <c r="A47" i="20" l="1"/>
  <c r="B46" i="20"/>
  <c r="A51" i="20" l="1"/>
  <c r="B47" i="20"/>
  <c r="B51" i="20" l="1"/>
  <c r="A52" i="20"/>
  <c r="G53" i="20" l="1"/>
  <c r="F48" i="20"/>
  <c r="A11" i="21"/>
  <c r="B52" i="20"/>
  <c r="F38" i="20" l="1"/>
  <c r="G28" i="20"/>
  <c r="F28" i="20"/>
  <c r="G48" i="20"/>
  <c r="F53" i="20"/>
  <c r="H48" i="20"/>
  <c r="G38" i="20"/>
  <c r="F18" i="20"/>
  <c r="H38" i="20"/>
  <c r="H53" i="20"/>
  <c r="B11" i="21"/>
  <c r="A12" i="21"/>
  <c r="H18" i="20"/>
  <c r="H28" i="20"/>
  <c r="G18" i="20"/>
  <c r="H55" i="20" l="1"/>
  <c r="B12" i="21"/>
  <c r="A13" i="21"/>
  <c r="B13" i="21" l="1"/>
  <c r="A14" i="21"/>
  <c r="A15" i="21" l="1"/>
  <c r="B14" i="21"/>
  <c r="A19" i="21" l="1"/>
  <c r="B15" i="21"/>
  <c r="B19" i="21" l="1"/>
  <c r="A20" i="21"/>
  <c r="B20" i="21" l="1"/>
  <c r="A21" i="21"/>
  <c r="B21" i="21" l="1"/>
  <c r="A22" i="21"/>
  <c r="B22" i="21" l="1"/>
  <c r="A23" i="21"/>
  <c r="A24" i="21" l="1"/>
  <c r="B23" i="21"/>
  <c r="A25" i="21" l="1"/>
  <c r="B24" i="21"/>
  <c r="A29" i="21" l="1"/>
  <c r="B25" i="21"/>
  <c r="A30" i="21" l="1"/>
  <c r="B29" i="21"/>
  <c r="A31" i="21" l="1"/>
  <c r="B30" i="21"/>
  <c r="B31" i="21" l="1"/>
  <c r="A32" i="21"/>
  <c r="B32" i="21" l="1"/>
  <c r="A33" i="21"/>
  <c r="A34" i="21" l="1"/>
  <c r="B33" i="21"/>
  <c r="A35" i="21" l="1"/>
  <c r="B34" i="21"/>
  <c r="B35" i="21" l="1"/>
  <c r="A39" i="21"/>
  <c r="A40" i="21" l="1"/>
  <c r="B39" i="21"/>
  <c r="A41" i="21" l="1"/>
  <c r="B40" i="21"/>
  <c r="A42" i="21" l="1"/>
  <c r="B41" i="21"/>
  <c r="A43" i="21" l="1"/>
  <c r="B42" i="21"/>
  <c r="A44" i="21" l="1"/>
  <c r="B43" i="21"/>
  <c r="B44" i="21" l="1"/>
  <c r="A45" i="21"/>
  <c r="A49" i="21" l="1"/>
  <c r="B45" i="21"/>
  <c r="A50" i="21" l="1"/>
  <c r="B49" i="21"/>
  <c r="B50" i="21" l="1"/>
  <c r="A51" i="21"/>
  <c r="B51" i="21" l="1"/>
  <c r="A52" i="21"/>
  <c r="A53" i="21" l="1"/>
  <c r="B52" i="21"/>
  <c r="B53" i="21" l="1"/>
  <c r="A11" i="22"/>
  <c r="H16" i="21" l="1"/>
  <c r="F54" i="21"/>
  <c r="G46" i="21"/>
  <c r="G16" i="21"/>
  <c r="F46" i="21"/>
  <c r="F16" i="21"/>
  <c r="F26" i="21"/>
  <c r="G36" i="21"/>
  <c r="H46" i="21"/>
  <c r="H36" i="21"/>
  <c r="H26" i="21"/>
  <c r="F36" i="21"/>
  <c r="G26" i="21"/>
  <c r="B11" i="22"/>
  <c r="A12" i="22"/>
  <c r="G54" i="21"/>
  <c r="H54" i="21"/>
  <c r="H56" i="21" l="1"/>
  <c r="B12" i="22"/>
  <c r="A16" i="22"/>
  <c r="B16" i="22" l="1"/>
  <c r="A17" i="22"/>
  <c r="A18" i="22" l="1"/>
  <c r="B17" i="22"/>
  <c r="A19" i="22" l="1"/>
  <c r="B18" i="22"/>
  <c r="B19" i="22" l="1"/>
  <c r="A20" i="22"/>
  <c r="A21" i="22" l="1"/>
  <c r="B20" i="22"/>
  <c r="B21" i="22" l="1"/>
  <c r="A22" i="22"/>
  <c r="B22" i="22" l="1"/>
  <c r="A26" i="22"/>
  <c r="B26" i="22" l="1"/>
  <c r="A27" i="22"/>
  <c r="B27" i="22" l="1"/>
  <c r="A28" i="22"/>
  <c r="B28" i="22" l="1"/>
  <c r="A29" i="22"/>
  <c r="A30" i="22" l="1"/>
  <c r="B29" i="22"/>
  <c r="A31" i="22" l="1"/>
  <c r="B30" i="22"/>
  <c r="A32" i="22" l="1"/>
  <c r="B31" i="22"/>
  <c r="B32" i="22" l="1"/>
  <c r="A36" i="22"/>
  <c r="B36" i="22" l="1"/>
  <c r="A37" i="22"/>
  <c r="A38" i="22" l="1"/>
  <c r="B37" i="22"/>
  <c r="B38" i="22" l="1"/>
  <c r="A39" i="22"/>
  <c r="B39" i="22" l="1"/>
  <c r="A40" i="22"/>
  <c r="A41" i="22" l="1"/>
  <c r="B40" i="22"/>
  <c r="A42" i="22" l="1"/>
  <c r="B41" i="22"/>
  <c r="A46" i="22" l="1"/>
  <c r="B42" i="22"/>
  <c r="A47" i="22" l="1"/>
  <c r="B46" i="22"/>
  <c r="B47" i="22" l="1"/>
  <c r="A48" i="22"/>
  <c r="B48" i="22" l="1"/>
  <c r="A49" i="22"/>
  <c r="A50" i="22" l="1"/>
  <c r="B49" i="22"/>
  <c r="A51" i="22" l="1"/>
  <c r="B50" i="22"/>
  <c r="A52" i="22" l="1"/>
  <c r="B51" i="22"/>
  <c r="A56" i="22" l="1"/>
  <c r="B52" i="22"/>
  <c r="B56" i="22" l="1"/>
  <c r="A11" i="23"/>
  <c r="F43" i="22"/>
  <c r="G43" i="22" l="1"/>
  <c r="F13" i="22"/>
  <c r="G23" i="22"/>
  <c r="F53" i="22"/>
  <c r="G13" i="22"/>
  <c r="F23" i="22"/>
  <c r="H23" i="22"/>
  <c r="H43" i="22"/>
  <c r="G53" i="22"/>
  <c r="G33" i="22"/>
  <c r="H13" i="22"/>
  <c r="H53" i="22"/>
  <c r="B11" i="23"/>
  <c r="A12" i="23"/>
  <c r="H33" i="22"/>
  <c r="F33" i="22"/>
  <c r="A13" i="23" l="1"/>
  <c r="B12" i="23"/>
  <c r="H59" i="22"/>
  <c r="B13" i="23" l="1"/>
  <c r="A14" i="23"/>
  <c r="A15" i="23" l="1"/>
  <c r="B14" i="23"/>
  <c r="B15" i="23" l="1"/>
  <c r="A16" i="23"/>
  <c r="A20" i="23" l="1"/>
  <c r="B16" i="23"/>
  <c r="A21" i="23" l="1"/>
  <c r="B20" i="23"/>
  <c r="B21" i="23" l="1"/>
  <c r="A22" i="23"/>
  <c r="A23" i="23" l="1"/>
  <c r="B22" i="23"/>
  <c r="B23" i="23" l="1"/>
  <c r="A24" i="23"/>
  <c r="B24" i="23" l="1"/>
  <c r="A25" i="23"/>
  <c r="A26" i="23" l="1"/>
  <c r="B25" i="23"/>
  <c r="A30" i="23" l="1"/>
  <c r="B26" i="23"/>
  <c r="B30" i="23" l="1"/>
  <c r="A31" i="23"/>
  <c r="B31" i="23" l="1"/>
  <c r="A32" i="23"/>
  <c r="B32" i="23" l="1"/>
  <c r="A33" i="23"/>
  <c r="B33" i="23" l="1"/>
  <c r="A34" i="23"/>
  <c r="A35" i="23" l="1"/>
  <c r="B34" i="23"/>
  <c r="B35" i="23" l="1"/>
  <c r="A36" i="23"/>
  <c r="B36" i="23" l="1"/>
  <c r="A40" i="23"/>
  <c r="B40" i="23" l="1"/>
  <c r="A41" i="23"/>
  <c r="A42" i="23" l="1"/>
  <c r="B41" i="23"/>
  <c r="A43" i="23" l="1"/>
  <c r="B42" i="23"/>
  <c r="A44" i="23" l="1"/>
  <c r="B43" i="23"/>
  <c r="B44" i="23" l="1"/>
  <c r="A45" i="23"/>
  <c r="A46" i="23" l="1"/>
  <c r="B45" i="23"/>
  <c r="A50" i="23" l="1"/>
  <c r="B46" i="23"/>
  <c r="A51" i="23" l="1"/>
  <c r="B50" i="23"/>
  <c r="B51" i="23" l="1"/>
  <c r="A52" i="23"/>
  <c r="A11" i="24" l="1"/>
  <c r="B52" i="23"/>
  <c r="F47" i="23" l="1"/>
  <c r="F17" i="23"/>
  <c r="G53" i="23"/>
  <c r="H17" i="23"/>
  <c r="H37" i="23"/>
  <c r="H27" i="23"/>
  <c r="F27" i="23"/>
  <c r="F37" i="23"/>
  <c r="H47" i="23"/>
  <c r="G27" i="23"/>
  <c r="G47" i="23"/>
  <c r="F53" i="23"/>
  <c r="G17" i="23"/>
  <c r="H53" i="23"/>
  <c r="G37" i="23"/>
  <c r="B11" i="24"/>
  <c r="A12" i="24"/>
  <c r="H55" i="23" l="1"/>
  <c r="B12" i="24"/>
  <c r="A13" i="24"/>
  <c r="A14" i="24" l="1"/>
  <c r="B13" i="24"/>
  <c r="A18" i="24" l="1"/>
  <c r="B14" i="24"/>
  <c r="A19" i="24" l="1"/>
  <c r="B18" i="24"/>
  <c r="A20" i="24" l="1"/>
  <c r="B19" i="24"/>
  <c r="A21" i="24" l="1"/>
  <c r="B20" i="24"/>
  <c r="A22" i="24" l="1"/>
  <c r="B21" i="24"/>
  <c r="A23" i="24" l="1"/>
  <c r="B22" i="24"/>
  <c r="A24" i="24" l="1"/>
  <c r="B23" i="24"/>
  <c r="A28" i="24" l="1"/>
  <c r="B24" i="24"/>
  <c r="A29" i="24" l="1"/>
  <c r="B28" i="24"/>
  <c r="A30" i="24" l="1"/>
  <c r="B29" i="24"/>
  <c r="B30" i="24" l="1"/>
  <c r="A31" i="24"/>
  <c r="A32" i="24" l="1"/>
  <c r="B31" i="24"/>
  <c r="B32" i="24" l="1"/>
  <c r="A33" i="24"/>
  <c r="B33" i="24" l="1"/>
  <c r="A34" i="24"/>
  <c r="B34" i="24" l="1"/>
  <c r="A38" i="24"/>
  <c r="B38" i="24" l="1"/>
  <c r="A39" i="24"/>
  <c r="B39" i="24" l="1"/>
  <c r="A40" i="24"/>
  <c r="B40" i="24" l="1"/>
  <c r="A41" i="24"/>
  <c r="A42" i="24" l="1"/>
  <c r="B41" i="24"/>
  <c r="B42" i="24" l="1"/>
  <c r="A43" i="24"/>
  <c r="A44" i="24" l="1"/>
  <c r="B43" i="24"/>
  <c r="A48" i="24" l="1"/>
  <c r="B44" i="24"/>
  <c r="B48" i="24" l="1"/>
  <c r="A49" i="24"/>
  <c r="A50" i="24" l="1"/>
  <c r="B49" i="24"/>
  <c r="A51" i="24" l="1"/>
  <c r="B50" i="24"/>
  <c r="B51" i="24" l="1"/>
  <c r="A52" i="24"/>
  <c r="A53" i="24" l="1"/>
  <c r="B52" i="24"/>
  <c r="A11" i="25" l="1"/>
  <c r="B53" i="24"/>
  <c r="G15" i="24"/>
  <c r="F45" i="24"/>
  <c r="F25" i="24"/>
  <c r="G45" i="24"/>
  <c r="F35" i="24"/>
  <c r="G25" i="24" l="1"/>
  <c r="H25" i="24"/>
  <c r="G54" i="24"/>
  <c r="H35" i="24"/>
  <c r="F54" i="24"/>
  <c r="F15" i="24"/>
  <c r="G35" i="24"/>
  <c r="H15" i="24"/>
  <c r="H45" i="24"/>
  <c r="H54" i="24"/>
  <c r="B11" i="25"/>
  <c r="A15" i="25"/>
  <c r="H56" i="24" l="1"/>
  <c r="A16" i="25"/>
  <c r="B15" i="25"/>
  <c r="B16" i="25" l="1"/>
  <c r="A17" i="25"/>
  <c r="A18" i="25" l="1"/>
  <c r="B17" i="25"/>
  <c r="B18" i="25" l="1"/>
  <c r="A19" i="25"/>
  <c r="A20" i="25" l="1"/>
  <c r="B19" i="25"/>
  <c r="B20" i="25" l="1"/>
  <c r="A21" i="25"/>
  <c r="B21" i="25" l="1"/>
  <c r="A25" i="25"/>
  <c r="A26" i="25" l="1"/>
  <c r="B25" i="25"/>
  <c r="B26" i="25" l="1"/>
  <c r="A27" i="25"/>
  <c r="B27" i="25" l="1"/>
  <c r="A28" i="25"/>
  <c r="B28" i="25" l="1"/>
  <c r="A29" i="25"/>
  <c r="A30" i="25" l="1"/>
  <c r="B29" i="25"/>
  <c r="B30" i="25" l="1"/>
  <c r="A31" i="25"/>
  <c r="A35" i="25" l="1"/>
  <c r="B31" i="25"/>
  <c r="B35" i="25" l="1"/>
  <c r="A36" i="25"/>
  <c r="B36" i="25" l="1"/>
  <c r="A37" i="25"/>
  <c r="B37" i="25" l="1"/>
  <c r="A38" i="25"/>
  <c r="B38" i="25" l="1"/>
  <c r="A39" i="25"/>
  <c r="B39" i="25" l="1"/>
  <c r="A40" i="25"/>
  <c r="B40" i="25" l="1"/>
  <c r="A41" i="25"/>
  <c r="A45" i="25" l="1"/>
  <c r="B41" i="25"/>
  <c r="A46" i="25" l="1"/>
  <c r="B45" i="25"/>
  <c r="A47" i="25" l="1"/>
  <c r="B46" i="25"/>
  <c r="A48" i="25" l="1"/>
  <c r="B47" i="25"/>
  <c r="B48" i="25" l="1"/>
  <c r="A49" i="25"/>
  <c r="B49" i="25" l="1"/>
  <c r="A50" i="25"/>
  <c r="A51" i="25" l="1"/>
  <c r="B50" i="25"/>
  <c r="A55" i="25" l="1"/>
  <c r="B51" i="25"/>
  <c r="A11" i="26" l="1"/>
  <c r="B55" i="25"/>
  <c r="G22" i="25"/>
  <c r="G32" i="25"/>
  <c r="F52" i="25"/>
  <c r="H56" i="25" l="1"/>
  <c r="G56" i="25"/>
  <c r="F56" i="25"/>
  <c r="H32" i="25"/>
  <c r="H22" i="25"/>
  <c r="G42" i="25"/>
  <c r="G12" i="25"/>
  <c r="G52" i="25"/>
  <c r="H12" i="25"/>
  <c r="H52" i="25"/>
  <c r="F22" i="25"/>
  <c r="B11" i="26"/>
  <c r="A12" i="26"/>
  <c r="H42" i="25"/>
  <c r="F32" i="25"/>
  <c r="F42" i="25"/>
  <c r="F12" i="25"/>
  <c r="H58" i="25" l="1"/>
  <c r="B12" i="26"/>
  <c r="A13" i="26"/>
  <c r="A14" i="26" l="1"/>
  <c r="B13" i="26"/>
  <c r="A15" i="26" l="1"/>
  <c r="B14" i="26"/>
  <c r="B15" i="26" l="1"/>
  <c r="A16" i="26"/>
  <c r="A20" i="26" l="1"/>
  <c r="B16" i="26"/>
  <c r="A21" i="26" l="1"/>
  <c r="B20" i="26"/>
  <c r="A22" i="26" l="1"/>
  <c r="B21" i="26"/>
  <c r="B22" i="26" l="1"/>
  <c r="A23" i="26"/>
  <c r="A24" i="26" l="1"/>
  <c r="B23" i="26"/>
  <c r="A25" i="26" l="1"/>
  <c r="B24" i="26"/>
  <c r="A26" i="26" l="1"/>
  <c r="B25" i="26"/>
  <c r="A30" i="26" l="1"/>
  <c r="B26" i="26"/>
  <c r="B30" i="26" l="1"/>
  <c r="A31" i="26"/>
  <c r="B31" i="26" l="1"/>
  <c r="A32" i="26"/>
  <c r="B32" i="26" l="1"/>
  <c r="A33" i="26"/>
  <c r="A34" i="26" l="1"/>
  <c r="B33" i="26"/>
  <c r="B34" i="26" l="1"/>
  <c r="A35" i="26"/>
  <c r="B35" i="26" l="1"/>
  <c r="A36" i="26"/>
  <c r="B36" i="26" l="1"/>
  <c r="A40" i="26"/>
  <c r="B40" i="26" l="1"/>
  <c r="A41" i="26"/>
  <c r="A42" i="26" l="1"/>
  <c r="B41" i="26"/>
  <c r="B42" i="26" l="1"/>
  <c r="A43" i="26"/>
  <c r="A44" i="26" l="1"/>
  <c r="B43" i="26"/>
  <c r="A45" i="26" l="1"/>
  <c r="B44" i="26"/>
  <c r="A46" i="26" l="1"/>
  <c r="B45" i="26"/>
  <c r="A50" i="26" l="1"/>
  <c r="B46" i="26"/>
  <c r="A51" i="26" l="1"/>
  <c r="B50" i="26"/>
  <c r="A52" i="26" l="1"/>
  <c r="B51" i="26"/>
  <c r="B52" i="26" l="1"/>
  <c r="A53" i="26"/>
  <c r="B53" i="26" s="1"/>
  <c r="F17" i="26"/>
  <c r="H37" i="26"/>
  <c r="F54" i="26" l="1"/>
  <c r="G54" i="26"/>
  <c r="H47" i="26"/>
  <c r="G47" i="26"/>
  <c r="H27" i="26"/>
  <c r="H17" i="26"/>
  <c r="F27" i="26"/>
  <c r="F47" i="26"/>
  <c r="G27" i="26"/>
  <c r="F37" i="26"/>
  <c r="G17" i="26"/>
  <c r="H54" i="26"/>
  <c r="G37" i="26"/>
  <c r="H56" i="26" l="1"/>
</calcChain>
</file>

<file path=xl/sharedStrings.xml><?xml version="1.0" encoding="utf-8"?>
<sst xmlns="http://schemas.openxmlformats.org/spreadsheetml/2006/main" count="708" uniqueCount="47">
  <si>
    <t xml:space="preserve">       Dawn InfoTek Inc.</t>
  </si>
  <si>
    <t>Resource Name:</t>
  </si>
  <si>
    <t>Client Manager Name:</t>
  </si>
  <si>
    <t>Office Phone:</t>
  </si>
  <si>
    <t>Date Submitted:</t>
  </si>
  <si>
    <t>Date Beginning:</t>
  </si>
  <si>
    <t>Department Name:</t>
  </si>
  <si>
    <t>Date Ending:</t>
  </si>
  <si>
    <t>Project Leader Name:</t>
  </si>
  <si>
    <t>Date</t>
  </si>
  <si>
    <t>Time Start</t>
  </si>
  <si>
    <t>Time End</t>
  </si>
  <si>
    <t>Activity</t>
  </si>
  <si>
    <t>Regular Hours</t>
  </si>
  <si>
    <t>Approved O/T</t>
  </si>
  <si>
    <t>Hours Billed</t>
  </si>
  <si>
    <t>Total</t>
  </si>
  <si>
    <t>Contractor:</t>
  </si>
  <si>
    <t xml:space="preserve">             1. To be remitted to Manager/Project Leader by the last workday of each month</t>
  </si>
  <si>
    <t>Manager/Project Leader:</t>
  </si>
  <si>
    <t>Holiday: Family Day</t>
  </si>
  <si>
    <t>Holiday: Good Friday</t>
  </si>
  <si>
    <t>Holiday: Victoria Day</t>
  </si>
  <si>
    <t>Holiday: Canada Day</t>
  </si>
  <si>
    <t>Holiday: Civic Holiday</t>
  </si>
  <si>
    <t>Holiday: Labour Day</t>
  </si>
  <si>
    <t>Holiday: Thanksgiving</t>
  </si>
  <si>
    <t>Holiday: Christmas</t>
  </si>
  <si>
    <t>Holiday: Boxing Day</t>
  </si>
  <si>
    <t>Holiday: New Year’s Day</t>
  </si>
  <si>
    <r>
      <t xml:space="preserve">                Please send to </t>
    </r>
    <r>
      <rPr>
        <b/>
        <sz val="10"/>
        <color rgb="FF0404E0"/>
        <rFont val="Arial"/>
        <family val="2"/>
      </rPr>
      <t>timesheet@dawninfotek.com</t>
    </r>
    <r>
      <rPr>
        <b/>
        <sz val="10"/>
        <rFont val="Arial"/>
        <family val="2"/>
      </rPr>
      <t xml:space="preserve"> after your approval monthly.</t>
    </r>
  </si>
  <si>
    <t>Week</t>
  </si>
  <si>
    <t>Total of Week 1</t>
  </si>
  <si>
    <t>Total of Week 5</t>
  </si>
  <si>
    <t>Total of Week 9</t>
  </si>
  <si>
    <t>Total of Week 14</t>
  </si>
  <si>
    <t>Total of Week 18</t>
  </si>
  <si>
    <t>Total of Week 27</t>
  </si>
  <si>
    <t>Total of Week 31</t>
  </si>
  <si>
    <t>Total of Week 36</t>
  </si>
  <si>
    <t>Total of Week 40</t>
  </si>
  <si>
    <t>Total of Week 44</t>
  </si>
  <si>
    <t>Total of Week 49</t>
  </si>
  <si>
    <t>Email Address:</t>
  </si>
  <si>
    <t>Bank Holiday: National Day for Truth &amp; Reconciliation</t>
  </si>
  <si>
    <t>Bank Holiday: Remembrance Day</t>
  </si>
  <si>
    <t>Observed Holiday: Boxing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</si>
</sst>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[$-409]h:mm\ AM/PM"/>
    <numFmt numFmtId="166" formatCode="0.00_ ;[Red]\-0.00\ "/>
    <numFmt numFmtId="167" formatCode="dddd\,\ \ yyyy\-mm\-dd"/>
  </numFmts>
  <fonts count="13" x14ac:knownFonts="1">
    <font>
      <sz val="11"/>
      <color theme="1"/>
      <name val="Arial"/>
    </font>
    <font>
      <sz val="11"/>
      <color theme="1"/>
      <name val="Calibri"/>
      <family val="2"/>
    </font>
    <font>
      <b/>
      <sz val="14"/>
      <color theme="1"/>
      <name val="Arial"/>
      <family val="2"/>
    </font>
    <font>
      <sz val="11"/>
      <name val="Arial"/>
      <family val="2"/>
    </font>
    <font>
      <b/>
      <sz val="12"/>
      <color theme="1"/>
      <name val="Arial"/>
      <family val="2"/>
    </font>
    <font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b/>
      <sz val="10"/>
      <name val="Arial"/>
      <family val="2"/>
    </font>
    <font>
      <sz val="11"/>
      <color theme="1"/>
      <name val="Arial"/>
      <family val="2"/>
    </font>
    <font>
      <b/>
      <sz val="10"/>
      <color rgb="FF0404E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C0C0C0"/>
        <bgColor rgb="FFC0C0C0"/>
      </patternFill>
    </fill>
    <fill>
      <patternFill patternType="solid">
        <fgColor theme="6" tint="0.79998168889431442"/>
        <bgColor rgb="FFC0C0C0"/>
      </patternFill>
    </fill>
    <fill>
      <patternFill patternType="solid">
        <fgColor theme="8" tint="0.59999389629810485"/>
        <bgColor rgb="FF8EAADB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1" fillId="3" borderId="11" xfId="0" applyFont="1" applyFill="1" applyBorder="1"/>
    <xf numFmtId="0" fontId="1" fillId="3" borderId="16" xfId="0" applyFont="1" applyFill="1" applyBorder="1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3" xfId="0" applyFont="1" applyBorder="1"/>
    <xf numFmtId="164" fontId="1" fillId="0" borderId="13" xfId="0" applyNumberFormat="1" applyFont="1" applyBorder="1"/>
    <xf numFmtId="0" fontId="1" fillId="0" borderId="14" xfId="0" applyFont="1" applyBorder="1"/>
    <xf numFmtId="0" fontId="6" fillId="0" borderId="13" xfId="0" applyFont="1" applyBorder="1"/>
    <xf numFmtId="2" fontId="8" fillId="0" borderId="13" xfId="0" applyNumberFormat="1" applyFont="1" applyBorder="1"/>
    <xf numFmtId="2" fontId="6" fillId="0" borderId="14" xfId="0" applyNumberFormat="1" applyFont="1" applyBorder="1"/>
    <xf numFmtId="0" fontId="9" fillId="4" borderId="18" xfId="0" applyFont="1" applyFill="1" applyBorder="1"/>
    <xf numFmtId="164" fontId="9" fillId="4" borderId="18" xfId="0" applyNumberFormat="1" applyFont="1" applyFill="1" applyBorder="1"/>
    <xf numFmtId="2" fontId="9" fillId="4" borderId="16" xfId="0" applyNumberFormat="1" applyFont="1" applyFill="1" applyBorder="1"/>
    <xf numFmtId="0" fontId="1" fillId="0" borderId="0" xfId="0" applyFont="1" applyAlignment="1">
      <alignment horizontal="left"/>
    </xf>
    <xf numFmtId="164" fontId="1" fillId="0" borderId="0" xfId="0" applyNumberFormat="1" applyFont="1"/>
    <xf numFmtId="0" fontId="6" fillId="0" borderId="0" xfId="0" applyFont="1"/>
    <xf numFmtId="0" fontId="6" fillId="0" borderId="0" xfId="0" applyFont="1" applyAlignment="1">
      <alignment horizontal="left"/>
    </xf>
    <xf numFmtId="164" fontId="6" fillId="0" borderId="0" xfId="0" applyNumberFormat="1" applyFont="1"/>
    <xf numFmtId="0" fontId="6" fillId="0" borderId="0" xfId="0" applyFont="1" applyAlignment="1">
      <alignment horizontal="right"/>
    </xf>
    <xf numFmtId="0" fontId="1" fillId="0" borderId="0" xfId="0" applyFont="1" applyAlignment="1">
      <alignment horizontal="right"/>
    </xf>
    <xf numFmtId="167" fontId="6" fillId="2" borderId="11" xfId="0" applyNumberFormat="1" applyFont="1" applyFill="1" applyBorder="1" applyAlignment="1">
      <alignment horizontal="right"/>
    </xf>
    <xf numFmtId="167" fontId="1" fillId="0" borderId="12" xfId="0" applyNumberFormat="1" applyFont="1" applyBorder="1"/>
    <xf numFmtId="167" fontId="6" fillId="0" borderId="12" xfId="0" applyNumberFormat="1" applyFont="1" applyBorder="1"/>
    <xf numFmtId="167" fontId="9" fillId="4" borderId="17" xfId="0" applyNumberFormat="1" applyFont="1" applyFill="1" applyBorder="1"/>
    <xf numFmtId="167" fontId="0" fillId="0" borderId="0" xfId="0" applyNumberFormat="1"/>
    <xf numFmtId="167" fontId="6" fillId="0" borderId="0" xfId="0" applyNumberFormat="1" applyFont="1"/>
    <xf numFmtId="167" fontId="6" fillId="0" borderId="19" xfId="0" applyNumberFormat="1" applyFont="1" applyBorder="1"/>
    <xf numFmtId="0" fontId="0" fillId="0" borderId="7" xfId="0" applyBorder="1"/>
    <xf numFmtId="0" fontId="6" fillId="0" borderId="7" xfId="0" applyFont="1" applyBorder="1" applyAlignment="1">
      <alignment horizontal="right"/>
    </xf>
    <xf numFmtId="0" fontId="1" fillId="0" borderId="7" xfId="0" applyFont="1" applyBorder="1" applyAlignment="1">
      <alignment horizontal="left"/>
    </xf>
    <xf numFmtId="164" fontId="1" fillId="0" borderId="7" xfId="0" applyNumberFormat="1" applyFont="1" applyBorder="1"/>
    <xf numFmtId="0" fontId="6" fillId="0" borderId="7" xfId="0" applyFont="1" applyBorder="1" applyAlignment="1">
      <alignment horizontal="left"/>
    </xf>
    <xf numFmtId="164" fontId="6" fillId="0" borderId="7" xfId="0" applyNumberFormat="1" applyFont="1" applyBorder="1"/>
    <xf numFmtId="0" fontId="6" fillId="0" borderId="7" xfId="0" applyFont="1" applyBorder="1"/>
    <xf numFmtId="0" fontId="1" fillId="0" borderId="7" xfId="0" applyFont="1" applyBorder="1"/>
    <xf numFmtId="167" fontId="6" fillId="0" borderId="7" xfId="0" applyNumberFormat="1" applyFont="1" applyBorder="1"/>
    <xf numFmtId="0" fontId="11" fillId="0" borderId="0" xfId="0" applyFont="1"/>
    <xf numFmtId="166" fontId="8" fillId="0" borderId="7" xfId="0" applyNumberFormat="1" applyFont="1" applyBorder="1"/>
    <xf numFmtId="166" fontId="6" fillId="0" borderId="7" xfId="0" applyNumberFormat="1" applyFont="1" applyBorder="1"/>
    <xf numFmtId="167" fontId="6" fillId="5" borderId="17" xfId="0" applyNumberFormat="1" applyFont="1" applyFill="1" applyBorder="1" applyAlignment="1">
      <alignment horizontal="center"/>
    </xf>
    <xf numFmtId="0" fontId="6" fillId="5" borderId="17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164" fontId="6" fillId="5" borderId="11" xfId="0" applyNumberFormat="1" applyFont="1" applyFill="1" applyBorder="1" applyAlignment="1">
      <alignment horizontal="center"/>
    </xf>
    <xf numFmtId="167" fontId="6" fillId="5" borderId="21" xfId="0" applyNumberFormat="1" applyFont="1" applyFill="1" applyBorder="1"/>
    <xf numFmtId="0" fontId="6" fillId="5" borderId="21" xfId="0" applyFont="1" applyFill="1" applyBorder="1"/>
    <xf numFmtId="166" fontId="8" fillId="5" borderId="21" xfId="0" applyNumberFormat="1" applyFont="1" applyFill="1" applyBorder="1"/>
    <xf numFmtId="166" fontId="6" fillId="5" borderId="21" xfId="0" applyNumberFormat="1" applyFont="1" applyFill="1" applyBorder="1"/>
    <xf numFmtId="167" fontId="1" fillId="6" borderId="1" xfId="0" applyNumberFormat="1" applyFont="1" applyFill="1" applyBorder="1"/>
    <xf numFmtId="0" fontId="1" fillId="6" borderId="2" xfId="0" applyFont="1" applyFill="1" applyBorder="1" applyAlignment="1">
      <alignment horizontal="right"/>
    </xf>
    <xf numFmtId="164" fontId="1" fillId="6" borderId="2" xfId="0" applyNumberFormat="1" applyFont="1" applyFill="1" applyBorder="1"/>
    <xf numFmtId="0" fontId="1" fillId="6" borderId="2" xfId="0" applyFont="1" applyFill="1" applyBorder="1"/>
    <xf numFmtId="0" fontId="1" fillId="6" borderId="4" xfId="0" applyFont="1" applyFill="1" applyBorder="1"/>
    <xf numFmtId="167" fontId="1" fillId="6" borderId="5" xfId="0" applyNumberFormat="1" applyFont="1" applyFill="1" applyBorder="1"/>
    <xf numFmtId="0" fontId="1" fillId="6" borderId="6" xfId="0" applyFont="1" applyFill="1" applyBorder="1" applyAlignment="1">
      <alignment horizontal="right"/>
    </xf>
    <xf numFmtId="164" fontId="1" fillId="6" borderId="6" xfId="0" applyNumberFormat="1" applyFont="1" applyFill="1" applyBorder="1"/>
    <xf numFmtId="0" fontId="1" fillId="6" borderId="6" xfId="0" applyFont="1" applyFill="1" applyBorder="1"/>
    <xf numFmtId="0" fontId="1" fillId="6" borderId="8" xfId="0" applyFont="1" applyFill="1" applyBorder="1"/>
    <xf numFmtId="167" fontId="4" fillId="6" borderId="5" xfId="0" applyNumberFormat="1" applyFont="1" applyFill="1" applyBorder="1"/>
    <xf numFmtId="0" fontId="4" fillId="6" borderId="6" xfId="0" applyFont="1" applyFill="1" applyBorder="1" applyAlignment="1">
      <alignment horizontal="right"/>
    </xf>
    <xf numFmtId="164" fontId="5" fillId="6" borderId="9" xfId="0" applyNumberFormat="1" applyFont="1" applyFill="1" applyBorder="1"/>
    <xf numFmtId="0" fontId="5" fillId="6" borderId="9" xfId="0" applyFont="1" applyFill="1" applyBorder="1"/>
    <xf numFmtId="0" fontId="1" fillId="6" borderId="10" xfId="0" applyFont="1" applyFill="1" applyBorder="1"/>
    <xf numFmtId="0" fontId="6" fillId="5" borderId="21" xfId="0" applyFont="1" applyFill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9" fillId="4" borderId="18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167" fontId="1" fillId="0" borderId="11" xfId="0" applyNumberFormat="1" applyFont="1" applyBorder="1" applyAlignment="1">
      <alignment horizontal="right"/>
    </xf>
    <xf numFmtId="165" fontId="1" fillId="0" borderId="11" xfId="0" applyNumberFormat="1" applyFont="1" applyBorder="1"/>
    <xf numFmtId="0" fontId="1" fillId="0" borderId="11" xfId="0" applyFont="1" applyBorder="1" applyAlignment="1">
      <alignment horizontal="center"/>
    </xf>
    <xf numFmtId="166" fontId="1" fillId="0" borderId="11" xfId="0" applyNumberFormat="1" applyFont="1" applyBorder="1"/>
    <xf numFmtId="0" fontId="7" fillId="0" borderId="11" xfId="0" applyFont="1" applyBorder="1" applyAlignment="1">
      <alignment horizontal="center"/>
    </xf>
    <xf numFmtId="167" fontId="1" fillId="0" borderId="20" xfId="0" applyNumberFormat="1" applyFont="1" applyBorder="1" applyAlignment="1">
      <alignment horizontal="right"/>
    </xf>
    <xf numFmtId="0" fontId="1" fillId="0" borderId="20" xfId="0" applyFont="1" applyBorder="1" applyAlignment="1">
      <alignment horizontal="center"/>
    </xf>
    <xf numFmtId="0" fontId="3" fillId="0" borderId="13" xfId="0" applyFont="1" applyBorder="1"/>
    <xf numFmtId="0" fontId="6" fillId="0" borderId="12" xfId="0" applyFont="1" applyBorder="1"/>
    <xf numFmtId="1" fontId="1" fillId="0" borderId="20" xfId="0" applyNumberFormat="1" applyFont="1" applyBorder="1" applyAlignment="1">
      <alignment horizontal="center"/>
    </xf>
    <xf numFmtId="1" fontId="6" fillId="5" borderId="21" xfId="0" applyNumberFormat="1" applyFont="1" applyFill="1" applyBorder="1" applyAlignment="1">
      <alignment horizontal="center"/>
    </xf>
    <xf numFmtId="1" fontId="1" fillId="6" borderId="3" xfId="0" applyNumberFormat="1" applyFont="1" applyFill="1" applyBorder="1" applyAlignment="1">
      <alignment horizontal="center"/>
    </xf>
    <xf numFmtId="1" fontId="1" fillId="6" borderId="7" xfId="0" applyNumberFormat="1" applyFont="1" applyFill="1" applyBorder="1" applyAlignment="1">
      <alignment horizontal="center"/>
    </xf>
    <xf numFmtId="1" fontId="4" fillId="6" borderId="7" xfId="0" applyNumberFormat="1" applyFont="1" applyFill="1" applyBorder="1" applyAlignment="1">
      <alignment horizontal="center"/>
    </xf>
    <xf numFmtId="1" fontId="6" fillId="0" borderId="18" xfId="0" applyNumberFormat="1" applyFont="1" applyBorder="1" applyAlignment="1">
      <alignment horizontal="center"/>
    </xf>
    <xf numFmtId="1" fontId="6" fillId="5" borderId="17" xfId="0" applyNumberFormat="1" applyFont="1" applyFill="1" applyBorder="1" applyAlignment="1">
      <alignment horizontal="center"/>
    </xf>
    <xf numFmtId="1" fontId="6" fillId="0" borderId="7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9" fillId="4" borderId="18" xfId="0" applyNumberFormat="1" applyFont="1" applyFill="1" applyBorder="1" applyAlignment="1">
      <alignment horizontal="center"/>
    </xf>
    <xf numFmtId="1" fontId="0" fillId="0" borderId="0" xfId="0" applyNumberFormat="1" applyAlignment="1">
      <alignment horizontal="center"/>
    </xf>
    <xf numFmtId="1" fontId="6" fillId="0" borderId="0" xfId="0" applyNumberFormat="1" applyFont="1" applyAlignment="1">
      <alignment horizontal="center"/>
    </xf>
    <xf numFmtId="164" fontId="6" fillId="3" borderId="12" xfId="0" applyNumberFormat="1" applyFont="1" applyFill="1" applyBorder="1" applyAlignment="1">
      <alignment horizontal="right"/>
    </xf>
    <xf numFmtId="0" fontId="3" fillId="0" borderId="14" xfId="0" applyFont="1" applyBorder="1"/>
    <xf numFmtId="164" fontId="6" fillId="3" borderId="15" xfId="0" applyNumberFormat="1" applyFont="1" applyFill="1" applyBorder="1" applyAlignment="1">
      <alignment horizontal="right"/>
    </xf>
    <xf numFmtId="167" fontId="6" fillId="0" borderId="17" xfId="0" applyNumberFormat="1" applyFont="1" applyBorder="1" applyAlignment="1">
      <alignment horizontal="center"/>
    </xf>
    <xf numFmtId="167" fontId="6" fillId="0" borderId="18" xfId="0" applyNumberFormat="1" applyFont="1" applyBorder="1" applyAlignment="1">
      <alignment horizontal="center"/>
    </xf>
    <xf numFmtId="167" fontId="6" fillId="0" borderId="16" xfId="0" applyNumberFormat="1" applyFont="1" applyBorder="1" applyAlignment="1">
      <alignment horizontal="center"/>
    </xf>
    <xf numFmtId="0" fontId="2" fillId="6" borderId="3" xfId="0" applyFont="1" applyFill="1" applyBorder="1" applyAlignment="1">
      <alignment vertical="center"/>
    </xf>
    <xf numFmtId="0" fontId="2" fillId="6" borderId="7" xfId="0" applyFont="1" applyFill="1" applyBorder="1" applyAlignment="1">
      <alignment vertical="center"/>
    </xf>
    <xf numFmtId="0" fontId="2" fillId="6" borderId="19" xfId="0" applyFont="1" applyFill="1" applyBorder="1" applyAlignment="1">
      <alignment vertical="center"/>
    </xf>
  </cellXfs>
  <cellStyles count="1">
    <cellStyle name="Normal" xfId="0" builtinId="0"/>
  </cellStyles>
  <dxfs count="70">
    <dxf>
      <font>
        <color auto="1"/>
      </font>
      <fill>
        <patternFill>
          <bgColor theme="8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auto="1"/>
      </font>
      <fill>
        <patternFill>
          <bgColor theme="8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auto="1"/>
      </font>
      <fill>
        <patternFill>
          <bgColor theme="8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auto="1"/>
      </font>
      <fill>
        <patternFill>
          <bgColor theme="8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auto="1"/>
      </font>
      <fill>
        <patternFill>
          <bgColor theme="8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auto="1"/>
      </font>
      <fill>
        <patternFill>
          <bgColor theme="8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auto="1"/>
      </font>
      <fill>
        <patternFill>
          <bgColor theme="8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auto="1"/>
      </font>
      <fill>
        <patternFill>
          <bgColor theme="8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auto="1"/>
      </font>
      <fill>
        <patternFill>
          <bgColor theme="8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auto="1"/>
      </font>
      <fill>
        <patternFill>
          <bgColor theme="8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auto="1"/>
      </font>
      <fill>
        <patternFill>
          <bgColor theme="8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auto="1"/>
      </font>
      <fill>
        <patternFill>
          <bgColor theme="8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auto="1"/>
      </font>
      <fill>
        <patternFill>
          <bgColor theme="8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auto="1"/>
      </font>
      <fill>
        <patternFill>
          <bgColor theme="8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auto="1"/>
      </font>
      <fill>
        <patternFill>
          <bgColor theme="8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auto="1"/>
      </font>
      <fill>
        <patternFill>
          <bgColor theme="8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auto="1"/>
      </font>
      <fill>
        <patternFill>
          <bgColor theme="8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auto="1"/>
      </font>
      <fill>
        <patternFill>
          <bgColor theme="8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auto="1"/>
      </font>
      <fill>
        <patternFill>
          <bgColor theme="8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auto="1"/>
      </font>
      <fill>
        <patternFill>
          <bgColor theme="8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auto="1"/>
      </font>
      <fill>
        <patternFill>
          <bgColor theme="8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auto="1"/>
      </font>
      <fill>
        <patternFill>
          <bgColor theme="8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auto="1"/>
      </font>
      <fill>
        <patternFill>
          <bgColor theme="8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auto="1"/>
      </font>
      <fill>
        <patternFill>
          <bgColor theme="8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auto="1"/>
      </font>
      <fill>
        <patternFill>
          <bgColor theme="8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auto="1"/>
      </font>
      <fill>
        <patternFill>
          <bgColor theme="8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auto="1"/>
      </font>
      <fill>
        <patternFill>
          <bgColor theme="8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auto="1"/>
      </font>
      <fill>
        <patternFill>
          <bgColor theme="8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auto="1"/>
      </font>
      <fill>
        <patternFill>
          <bgColor theme="8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auto="1"/>
      </font>
      <fill>
        <patternFill>
          <bgColor theme="8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auto="1"/>
      </font>
      <fill>
        <patternFill>
          <bgColor theme="8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auto="1"/>
      </font>
      <fill>
        <patternFill>
          <bgColor theme="8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auto="1"/>
      </font>
      <fill>
        <patternFill>
          <bgColor theme="8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auto="1"/>
      </font>
      <fill>
        <patternFill>
          <bgColor theme="8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auto="1"/>
      </font>
      <fill>
        <patternFill>
          <bgColor theme="8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0C60B-08CE-464E-8B57-4F292FAF28D8}">
  <dimension ref="A1:AA996"/>
  <sheetViews>
    <sheetView topLeftCell="A4" zoomScaleNormal="100" workbookViewId="0">
      <selection activeCell="F48" sqref="F48:F53"/>
    </sheetView>
  </sheetViews>
  <sheetFormatPr defaultColWidth="12.5" defaultRowHeight="14.25" x14ac:dyDescent="0.2"/>
  <cols>
    <col min="1" max="1" width="20.25" style="25" bestFit="1" customWidth="1"/>
    <col min="2" max="2" width="7.375" style="89" bestFit="1" customWidth="1"/>
    <col min="3" max="3" width="11" customWidth="1"/>
    <col min="4" max="4" width="11.25" customWidth="1"/>
    <col min="5" max="5" width="28" style="69" customWidth="1"/>
    <col min="7" max="7" width="12" customWidth="1"/>
    <col min="8" max="8" width="19" customWidth="1"/>
    <col min="9" max="9" width="7.75" customWidth="1"/>
    <col min="10" max="10" width="94.25" bestFit="1" customWidth="1"/>
    <col min="11" max="13" width="7.75" customWidth="1"/>
    <col min="14" max="14" width="9" customWidth="1"/>
    <col min="15" max="27" width="7.75" customWidth="1"/>
  </cols>
  <sheetData>
    <row r="1" spans="1:27" ht="17.25" customHeight="1" x14ac:dyDescent="0.25">
      <c r="A1" s="48"/>
      <c r="B1" s="81"/>
      <c r="C1" s="49"/>
      <c r="D1" s="49"/>
      <c r="E1" s="97" t="s">
        <v>0</v>
      </c>
      <c r="F1" s="50"/>
      <c r="G1" s="51"/>
      <c r="H1" s="52"/>
      <c r="K1" s="28"/>
      <c r="L1" s="28"/>
      <c r="M1" s="28"/>
      <c r="N1" s="28"/>
      <c r="O1" s="28"/>
      <c r="P1" s="28"/>
    </row>
    <row r="2" spans="1:27" ht="17.25" customHeight="1" x14ac:dyDescent="0.25">
      <c r="A2" s="53"/>
      <c r="B2" s="82"/>
      <c r="C2" s="54"/>
      <c r="D2" s="54"/>
      <c r="E2" s="98"/>
      <c r="F2" s="55"/>
      <c r="G2" s="56"/>
      <c r="H2" s="57"/>
      <c r="J2" s="26" t="s">
        <v>17</v>
      </c>
      <c r="K2" s="29"/>
      <c r="L2" s="29"/>
      <c r="M2" s="30"/>
      <c r="N2" s="31"/>
      <c r="O2" s="28"/>
      <c r="P2" s="28"/>
    </row>
    <row r="3" spans="1:27" ht="15.75" x14ac:dyDescent="0.25">
      <c r="A3" s="58"/>
      <c r="B3" s="83"/>
      <c r="C3" s="59"/>
      <c r="D3" s="59"/>
      <c r="E3" s="99"/>
      <c r="F3" s="60"/>
      <c r="G3" s="61"/>
      <c r="H3" s="62"/>
      <c r="J3" s="27" t="s">
        <v>18</v>
      </c>
      <c r="K3" s="29"/>
      <c r="L3" s="29"/>
      <c r="M3" s="32"/>
      <c r="N3" s="33"/>
      <c r="O3" s="34"/>
      <c r="P3" s="35"/>
    </row>
    <row r="4" spans="1:27" ht="15" x14ac:dyDescent="0.25">
      <c r="A4" s="21" t="s">
        <v>1</v>
      </c>
      <c r="B4" s="94"/>
      <c r="C4" s="95"/>
      <c r="D4" s="95"/>
      <c r="E4" s="96"/>
      <c r="F4" s="91" t="s">
        <v>2</v>
      </c>
      <c r="G4" s="92"/>
      <c r="H4" s="1"/>
      <c r="J4" s="25"/>
      <c r="K4" s="20"/>
      <c r="L4" s="20"/>
      <c r="M4" s="14"/>
      <c r="N4" s="15"/>
    </row>
    <row r="5" spans="1:27" ht="15" x14ac:dyDescent="0.25">
      <c r="A5" s="21" t="s">
        <v>43</v>
      </c>
      <c r="B5" s="94"/>
      <c r="C5" s="95"/>
      <c r="D5" s="95"/>
      <c r="E5" s="96"/>
      <c r="F5" s="91" t="s">
        <v>3</v>
      </c>
      <c r="G5" s="92"/>
      <c r="H5" s="1"/>
      <c r="J5" s="26" t="s">
        <v>19</v>
      </c>
      <c r="K5" s="19"/>
      <c r="L5" s="19"/>
      <c r="M5" s="14"/>
      <c r="N5" s="15"/>
    </row>
    <row r="6" spans="1:27" ht="15" x14ac:dyDescent="0.25">
      <c r="A6" s="21" t="s">
        <v>4</v>
      </c>
      <c r="B6" s="94"/>
      <c r="C6" s="95"/>
      <c r="D6" s="95"/>
      <c r="E6" s="96"/>
      <c r="F6" s="91" t="s">
        <v>6</v>
      </c>
      <c r="G6" s="92"/>
      <c r="H6" s="1"/>
      <c r="J6" s="26" t="s">
        <v>30</v>
      </c>
      <c r="K6" s="19"/>
      <c r="L6" s="19"/>
      <c r="M6" s="14"/>
      <c r="N6" s="15"/>
    </row>
    <row r="7" spans="1:27" ht="15" x14ac:dyDescent="0.25">
      <c r="A7" s="21" t="s">
        <v>5</v>
      </c>
      <c r="B7" s="94"/>
      <c r="C7" s="95"/>
      <c r="D7" s="95"/>
      <c r="E7" s="96"/>
      <c r="F7" s="91" t="s">
        <v>8</v>
      </c>
      <c r="G7" s="92"/>
      <c r="H7" s="1"/>
    </row>
    <row r="8" spans="1:27" ht="15" x14ac:dyDescent="0.25">
      <c r="A8" s="21" t="s">
        <v>7</v>
      </c>
      <c r="B8" s="94"/>
      <c r="C8" s="95"/>
      <c r="D8" s="95"/>
      <c r="E8" s="96"/>
      <c r="F8" s="93"/>
      <c r="G8" s="92"/>
      <c r="H8" s="2"/>
    </row>
    <row r="9" spans="1:27" ht="15" x14ac:dyDescent="0.25">
      <c r="A9" s="78"/>
      <c r="B9" s="84"/>
      <c r="C9" s="77"/>
      <c r="D9" s="77"/>
      <c r="E9" s="77"/>
      <c r="F9" s="77"/>
      <c r="G9" s="77"/>
      <c r="H9" s="77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ht="15" x14ac:dyDescent="0.25">
      <c r="A10" s="40" t="s">
        <v>9</v>
      </c>
      <c r="B10" s="85" t="s">
        <v>31</v>
      </c>
      <c r="C10" s="41" t="s">
        <v>10</v>
      </c>
      <c r="D10" s="41" t="s">
        <v>11</v>
      </c>
      <c r="E10" s="42" t="s">
        <v>12</v>
      </c>
      <c r="F10" s="43" t="s">
        <v>13</v>
      </c>
      <c r="G10" s="42" t="s">
        <v>14</v>
      </c>
      <c r="H10" s="42" t="s">
        <v>15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1:27" s="37" customFormat="1" ht="15" x14ac:dyDescent="0.25">
      <c r="A11" s="75">
        <v>46023</v>
      </c>
      <c r="B11" s="79">
        <f>WEEKNUM(A11, 2)</f>
        <v>1</v>
      </c>
      <c r="C11" s="71"/>
      <c r="D11" s="71"/>
      <c r="E11" s="76" t="s">
        <v>29</v>
      </c>
      <c r="F11" s="73"/>
      <c r="G11" s="73"/>
      <c r="H11" s="73">
        <f t="shared" ref="H11" si="0">SUM(F11:G11)</f>
        <v>0</v>
      </c>
    </row>
    <row r="12" spans="1:27" s="37" customFormat="1" ht="15" x14ac:dyDescent="0.25">
      <c r="A12" s="70">
        <f>A11+1</f>
        <v>46024</v>
      </c>
      <c r="B12" s="79">
        <f t="shared" ref="B12:B18" si="1">WEEKNUM(A12, 2)</f>
        <v>1</v>
      </c>
      <c r="C12" s="71"/>
      <c r="D12" s="71"/>
      <c r="E12" s="72"/>
      <c r="F12" s="73"/>
      <c r="G12" s="73"/>
      <c r="H12" s="73">
        <f>SUM(F12:G12)</f>
        <v>0</v>
      </c>
    </row>
    <row r="13" spans="1:27" s="37" customFormat="1" ht="15" x14ac:dyDescent="0.25">
      <c r="A13" s="70">
        <f>A12+1</f>
        <v>46025</v>
      </c>
      <c r="B13" s="79">
        <f t="shared" si="1"/>
        <v>1</v>
      </c>
      <c r="C13" s="71"/>
      <c r="D13" s="71"/>
      <c r="E13" s="72"/>
      <c r="F13" s="73"/>
      <c r="G13" s="73"/>
      <c r="H13" s="73">
        <f t="shared" ref="H13:H18" si="2">SUM(F13:G13)</f>
        <v>0</v>
      </c>
    </row>
    <row r="14" spans="1:27" s="37" customFormat="1" ht="15" x14ac:dyDescent="0.25">
      <c r="A14" s="70">
        <f t="shared" ref="A14" si="3">A13+1</f>
        <v>46026</v>
      </c>
      <c r="B14" s="79">
        <f t="shared" si="1"/>
        <v>1</v>
      </c>
      <c r="C14" s="71"/>
      <c r="D14" s="71"/>
      <c r="E14" s="72"/>
      <c r="F14" s="73"/>
      <c r="G14" s="73"/>
      <c r="H14" s="73">
        <f t="shared" si="2"/>
        <v>0</v>
      </c>
    </row>
    <row r="15" spans="1:27" s="28" customFormat="1" ht="15.75" customHeight="1" x14ac:dyDescent="0.2">
      <c r="A15" s="44" t="s">
        <v>32</v>
      </c>
      <c r="B15" s="80"/>
      <c r="C15" s="45"/>
      <c r="D15" s="45"/>
      <c r="E15" s="63"/>
      <c r="F15" s="46">
        <f ca="1">SUMIF($B:$E,RIGHT($A15,2),F:F)</f>
        <v>0</v>
      </c>
      <c r="G15" s="46">
        <f ca="1">SUMIF($B:$E,RIGHT($A15,2),G:G)</f>
        <v>0</v>
      </c>
      <c r="H15" s="47">
        <f ca="1">SUMIF($B:$E,RIGHT($A15,2),H:H)</f>
        <v>0</v>
      </c>
    </row>
    <row r="16" spans="1:27" s="28" customFormat="1" ht="15.75" customHeight="1" x14ac:dyDescent="0.2">
      <c r="A16" s="36"/>
      <c r="B16" s="86"/>
      <c r="C16" s="34"/>
      <c r="D16" s="34"/>
      <c r="E16" s="64"/>
      <c r="F16" s="38"/>
      <c r="G16" s="38"/>
      <c r="H16" s="39"/>
    </row>
    <row r="17" spans="1:27" ht="15" x14ac:dyDescent="0.25">
      <c r="A17" s="40" t="s">
        <v>9</v>
      </c>
      <c r="B17" s="85" t="s">
        <v>31</v>
      </c>
      <c r="C17" s="41" t="s">
        <v>10</v>
      </c>
      <c r="D17" s="41" t="s">
        <v>11</v>
      </c>
      <c r="E17" s="42" t="s">
        <v>12</v>
      </c>
      <c r="F17" s="43" t="s">
        <v>13</v>
      </c>
      <c r="G17" s="42" t="s">
        <v>14</v>
      </c>
      <c r="H17" s="42" t="s">
        <v>15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spans="1:27" ht="15.75" customHeight="1" x14ac:dyDescent="0.25">
      <c r="A18" s="70">
        <f>A14+1</f>
        <v>46027</v>
      </c>
      <c r="B18" s="79">
        <f t="shared" si="1"/>
        <v>2</v>
      </c>
      <c r="C18" s="71"/>
      <c r="D18" s="71"/>
      <c r="E18" s="72"/>
      <c r="F18" s="73"/>
      <c r="G18" s="73"/>
      <c r="H18" s="73">
        <f t="shared" si="2"/>
        <v>0</v>
      </c>
    </row>
    <row r="19" spans="1:27" ht="15.75" customHeight="1" x14ac:dyDescent="0.25">
      <c r="A19" s="70">
        <f>A18+1</f>
        <v>46028</v>
      </c>
      <c r="B19" s="79">
        <f>WEEKNUM(A19, 2)</f>
        <v>2</v>
      </c>
      <c r="C19" s="71"/>
      <c r="D19" s="71"/>
      <c r="E19" s="74"/>
      <c r="F19" s="73"/>
      <c r="G19" s="73"/>
      <c r="H19" s="73">
        <f>SUM(F19:G19)</f>
        <v>0</v>
      </c>
    </row>
    <row r="20" spans="1:27" ht="15.75" customHeight="1" x14ac:dyDescent="0.25">
      <c r="A20" s="70">
        <f>A19+1</f>
        <v>46029</v>
      </c>
      <c r="B20" s="79">
        <f t="shared" ref="B20:B28" si="4">WEEKNUM(A20, 2)</f>
        <v>2</v>
      </c>
      <c r="C20" s="71"/>
      <c r="D20" s="71"/>
      <c r="E20" s="72"/>
      <c r="F20" s="73"/>
      <c r="G20" s="73"/>
      <c r="H20" s="73">
        <f>SUM(F20:G20)</f>
        <v>0</v>
      </c>
    </row>
    <row r="21" spans="1:27" ht="15.75" customHeight="1" x14ac:dyDescent="0.25">
      <c r="A21" s="70">
        <f>A20+1</f>
        <v>46030</v>
      </c>
      <c r="B21" s="79">
        <f t="shared" si="4"/>
        <v>2</v>
      </c>
      <c r="C21" s="71"/>
      <c r="D21" s="71"/>
      <c r="E21" s="74"/>
      <c r="F21" s="73"/>
      <c r="G21" s="73"/>
      <c r="H21" s="73">
        <f t="shared" ref="H21:H28" si="5">SUM(F21:G21)</f>
        <v>0</v>
      </c>
    </row>
    <row r="22" spans="1:27" ht="15.75" customHeight="1" x14ac:dyDescent="0.25">
      <c r="A22" s="70">
        <f t="shared" ref="A22:A24" si="6">A21+1</f>
        <v>46031</v>
      </c>
      <c r="B22" s="79">
        <f t="shared" si="4"/>
        <v>2</v>
      </c>
      <c r="C22" s="71"/>
      <c r="D22" s="71"/>
      <c r="E22" s="72"/>
      <c r="F22" s="73"/>
      <c r="G22" s="73"/>
      <c r="H22" s="73">
        <f t="shared" si="5"/>
        <v>0</v>
      </c>
    </row>
    <row r="23" spans="1:27" ht="15.75" customHeight="1" x14ac:dyDescent="0.25">
      <c r="A23" s="70">
        <f t="shared" si="6"/>
        <v>46032</v>
      </c>
      <c r="B23" s="79">
        <f t="shared" si="4"/>
        <v>2</v>
      </c>
      <c r="C23" s="71"/>
      <c r="D23" s="71"/>
      <c r="E23" s="74"/>
      <c r="F23" s="73"/>
      <c r="G23" s="73"/>
      <c r="H23" s="73">
        <f t="shared" si="5"/>
        <v>0</v>
      </c>
    </row>
    <row r="24" spans="1:27" ht="15.75" customHeight="1" x14ac:dyDescent="0.25">
      <c r="A24" s="70">
        <f t="shared" si="6"/>
        <v>46033</v>
      </c>
      <c r="B24" s="79">
        <f>WEEKNUM(A24, 2)</f>
        <v>2</v>
      </c>
      <c r="C24" s="71"/>
      <c r="D24" s="71"/>
      <c r="E24" s="72"/>
      <c r="F24" s="73"/>
      <c r="G24" s="73"/>
      <c r="H24" s="73">
        <f t="shared" si="5"/>
        <v>0</v>
      </c>
    </row>
    <row r="25" spans="1:27" s="28" customFormat="1" ht="15.75" customHeight="1" x14ac:dyDescent="0.2">
      <c r="A25" s="44" t="str">
        <f>"Total of Week "&amp;RIGHT(A15,2)+1</f>
        <v>Total of Week 2</v>
      </c>
      <c r="B25" s="80"/>
      <c r="C25" s="45"/>
      <c r="D25" s="45"/>
      <c r="E25" s="63"/>
      <c r="F25" s="46">
        <f ca="1">SUMIF($B:$E,RIGHT($A25,2),F:F)</f>
        <v>0</v>
      </c>
      <c r="G25" s="46">
        <f ca="1">SUMIF($B:$E,RIGHT($A25,2),G:G)</f>
        <v>0</v>
      </c>
      <c r="H25" s="47">
        <f ca="1">SUMIF($B:$E,RIGHT($A25,2),H:H)</f>
        <v>0</v>
      </c>
    </row>
    <row r="26" spans="1:27" ht="15.75" customHeight="1" x14ac:dyDescent="0.25">
      <c r="A26" s="22"/>
      <c r="B26" s="87"/>
      <c r="C26" s="5"/>
      <c r="D26" s="5"/>
      <c r="E26" s="65"/>
      <c r="F26" s="6"/>
      <c r="G26" s="5"/>
      <c r="H26" s="7"/>
    </row>
    <row r="27" spans="1:27" ht="15" x14ac:dyDescent="0.25">
      <c r="A27" s="40" t="s">
        <v>9</v>
      </c>
      <c r="B27" s="85" t="s">
        <v>31</v>
      </c>
      <c r="C27" s="41" t="s">
        <v>10</v>
      </c>
      <c r="D27" s="41" t="s">
        <v>11</v>
      </c>
      <c r="E27" s="42" t="s">
        <v>12</v>
      </c>
      <c r="F27" s="43" t="s">
        <v>13</v>
      </c>
      <c r="G27" s="42" t="s">
        <v>14</v>
      </c>
      <c r="H27" s="42" t="s">
        <v>15</v>
      </c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spans="1:27" ht="15.75" customHeight="1" x14ac:dyDescent="0.25">
      <c r="A28" s="70">
        <f>A24+1</f>
        <v>46034</v>
      </c>
      <c r="B28" s="79">
        <f t="shared" si="4"/>
        <v>3</v>
      </c>
      <c r="C28" s="71"/>
      <c r="D28" s="71"/>
      <c r="E28" s="72"/>
      <c r="F28" s="73"/>
      <c r="G28" s="73"/>
      <c r="H28" s="73">
        <f t="shared" si="5"/>
        <v>0</v>
      </c>
    </row>
    <row r="29" spans="1:27" ht="15.75" customHeight="1" x14ac:dyDescent="0.25">
      <c r="A29" s="70">
        <f>A28+1</f>
        <v>46035</v>
      </c>
      <c r="B29" s="79">
        <f>WEEKNUM(A29, 2)</f>
        <v>3</v>
      </c>
      <c r="C29" s="71"/>
      <c r="D29" s="71"/>
      <c r="E29" s="74"/>
      <c r="F29" s="73"/>
      <c r="G29" s="73"/>
      <c r="H29" s="73">
        <f>SUM(F29:G29)</f>
        <v>0</v>
      </c>
    </row>
    <row r="30" spans="1:27" ht="15.75" customHeight="1" x14ac:dyDescent="0.25">
      <c r="A30" s="70">
        <f>A29+1</f>
        <v>46036</v>
      </c>
      <c r="B30" s="79">
        <f t="shared" ref="B30:B38" si="7">WEEKNUM(A30, 2)</f>
        <v>3</v>
      </c>
      <c r="C30" s="71"/>
      <c r="D30" s="71"/>
      <c r="E30" s="72"/>
      <c r="F30" s="73"/>
      <c r="G30" s="73"/>
      <c r="H30" s="73">
        <f>SUM(F30:G30)</f>
        <v>0</v>
      </c>
    </row>
    <row r="31" spans="1:27" ht="15.75" customHeight="1" x14ac:dyDescent="0.25">
      <c r="A31" s="70">
        <f>A30+1</f>
        <v>46037</v>
      </c>
      <c r="B31" s="79">
        <f t="shared" si="7"/>
        <v>3</v>
      </c>
      <c r="C31" s="71"/>
      <c r="D31" s="71"/>
      <c r="E31" s="74"/>
      <c r="F31" s="73"/>
      <c r="G31" s="73"/>
      <c r="H31" s="73">
        <f t="shared" ref="H31:H38" si="8">SUM(F31:G31)</f>
        <v>0</v>
      </c>
    </row>
    <row r="32" spans="1:27" ht="15.75" customHeight="1" x14ac:dyDescent="0.25">
      <c r="A32" s="70">
        <f t="shared" ref="A32:A34" si="9">A31+1</f>
        <v>46038</v>
      </c>
      <c r="B32" s="79">
        <f t="shared" si="7"/>
        <v>3</v>
      </c>
      <c r="C32" s="71"/>
      <c r="D32" s="71"/>
      <c r="E32" s="72"/>
      <c r="F32" s="73"/>
      <c r="G32" s="73"/>
      <c r="H32" s="73">
        <f t="shared" si="8"/>
        <v>0</v>
      </c>
    </row>
    <row r="33" spans="1:27" ht="15.75" customHeight="1" x14ac:dyDescent="0.25">
      <c r="A33" s="70">
        <f t="shared" si="9"/>
        <v>46039</v>
      </c>
      <c r="B33" s="79">
        <f t="shared" si="7"/>
        <v>3</v>
      </c>
      <c r="C33" s="71"/>
      <c r="D33" s="71"/>
      <c r="E33" s="74"/>
      <c r="F33" s="73"/>
      <c r="G33" s="73"/>
      <c r="H33" s="73">
        <f t="shared" si="8"/>
        <v>0</v>
      </c>
    </row>
    <row r="34" spans="1:27" ht="15.75" customHeight="1" x14ac:dyDescent="0.25">
      <c r="A34" s="70">
        <f t="shared" si="9"/>
        <v>46040</v>
      </c>
      <c r="B34" s="79">
        <f>WEEKNUM(A34, 2)</f>
        <v>3</v>
      </c>
      <c r="C34" s="71"/>
      <c r="D34" s="71"/>
      <c r="E34" s="72"/>
      <c r="F34" s="73"/>
      <c r="G34" s="73"/>
      <c r="H34" s="73">
        <f t="shared" si="8"/>
        <v>0</v>
      </c>
    </row>
    <row r="35" spans="1:27" s="28" customFormat="1" ht="15.75" customHeight="1" x14ac:dyDescent="0.2">
      <c r="A35" s="44" t="str">
        <f>"Total of Week "&amp;RIGHT(A25,2)+1</f>
        <v>Total of Week 3</v>
      </c>
      <c r="B35" s="80"/>
      <c r="C35" s="45"/>
      <c r="D35" s="45"/>
      <c r="E35" s="63"/>
      <c r="F35" s="46">
        <f ca="1">SUMIF($B:$E,RIGHT($A35,2),F:F)</f>
        <v>0</v>
      </c>
      <c r="G35" s="46">
        <f ca="1">SUMIF($B:$E,RIGHT($A35,2),G:G)</f>
        <v>0</v>
      </c>
      <c r="H35" s="47">
        <f ca="1">SUMIF($B:$E,RIGHT($A35,2),H:H)</f>
        <v>0</v>
      </c>
    </row>
    <row r="36" spans="1:27" ht="15.75" customHeight="1" x14ac:dyDescent="0.25">
      <c r="A36" s="22"/>
      <c r="B36" s="87"/>
      <c r="C36" s="5"/>
      <c r="D36" s="5"/>
      <c r="E36" s="65"/>
      <c r="F36" s="6"/>
      <c r="G36" s="5"/>
      <c r="H36" s="7"/>
    </row>
    <row r="37" spans="1:27" ht="15" x14ac:dyDescent="0.25">
      <c r="A37" s="40" t="s">
        <v>9</v>
      </c>
      <c r="B37" s="85" t="s">
        <v>31</v>
      </c>
      <c r="C37" s="41" t="s">
        <v>10</v>
      </c>
      <c r="D37" s="41" t="s">
        <v>11</v>
      </c>
      <c r="E37" s="42" t="s">
        <v>12</v>
      </c>
      <c r="F37" s="43" t="s">
        <v>13</v>
      </c>
      <c r="G37" s="42" t="s">
        <v>14</v>
      </c>
      <c r="H37" s="42" t="s">
        <v>15</v>
      </c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spans="1:27" ht="15.75" customHeight="1" x14ac:dyDescent="0.25">
      <c r="A38" s="70">
        <f>A34+1</f>
        <v>46041</v>
      </c>
      <c r="B38" s="79">
        <f t="shared" si="7"/>
        <v>4</v>
      </c>
      <c r="C38" s="71"/>
      <c r="D38" s="71"/>
      <c r="E38" s="72"/>
      <c r="F38" s="73"/>
      <c r="G38" s="73"/>
      <c r="H38" s="73">
        <f t="shared" si="8"/>
        <v>0</v>
      </c>
    </row>
    <row r="39" spans="1:27" ht="15.75" customHeight="1" x14ac:dyDescent="0.25">
      <c r="A39" s="70">
        <f>A38+1</f>
        <v>46042</v>
      </c>
      <c r="B39" s="79">
        <f>WEEKNUM(A39, 2)</f>
        <v>4</v>
      </c>
      <c r="C39" s="71"/>
      <c r="D39" s="71"/>
      <c r="E39" s="74"/>
      <c r="F39" s="73"/>
      <c r="G39" s="73"/>
      <c r="H39" s="73">
        <f>SUM(F39:G39)</f>
        <v>0</v>
      </c>
    </row>
    <row r="40" spans="1:27" ht="15.75" customHeight="1" x14ac:dyDescent="0.25">
      <c r="A40" s="70">
        <f>A39+1</f>
        <v>46043</v>
      </c>
      <c r="B40" s="79">
        <f t="shared" ref="B40:B48" si="10">WEEKNUM(A40, 2)</f>
        <v>4</v>
      </c>
      <c r="C40" s="71"/>
      <c r="D40" s="71"/>
      <c r="E40" s="72"/>
      <c r="F40" s="73"/>
      <c r="G40" s="73"/>
      <c r="H40" s="73">
        <f>SUM(F40:G40)</f>
        <v>0</v>
      </c>
    </row>
    <row r="41" spans="1:27" ht="15.75" customHeight="1" x14ac:dyDescent="0.25">
      <c r="A41" s="70">
        <f>A40+1</f>
        <v>46044</v>
      </c>
      <c r="B41" s="79">
        <f t="shared" si="10"/>
        <v>4</v>
      </c>
      <c r="C41" s="71"/>
      <c r="D41" s="71"/>
      <c r="E41" s="74"/>
      <c r="F41" s="73"/>
      <c r="G41" s="73"/>
      <c r="H41" s="73">
        <f t="shared" ref="H41:H48" si="11">SUM(F41:G41)</f>
        <v>0</v>
      </c>
    </row>
    <row r="42" spans="1:27" ht="15.75" customHeight="1" x14ac:dyDescent="0.25">
      <c r="A42" s="70">
        <f t="shared" ref="A42:A44" si="12">A41+1</f>
        <v>46045</v>
      </c>
      <c r="B42" s="79">
        <f t="shared" si="10"/>
        <v>4</v>
      </c>
      <c r="C42" s="71"/>
      <c r="D42" s="71"/>
      <c r="E42" s="72"/>
      <c r="F42" s="73"/>
      <c r="G42" s="73"/>
      <c r="H42" s="73">
        <f t="shared" si="11"/>
        <v>0</v>
      </c>
    </row>
    <row r="43" spans="1:27" ht="15.75" customHeight="1" x14ac:dyDescent="0.25">
      <c r="A43" s="70">
        <f t="shared" si="12"/>
        <v>46046</v>
      </c>
      <c r="B43" s="79">
        <f t="shared" si="10"/>
        <v>4</v>
      </c>
      <c r="C43" s="71"/>
      <c r="D43" s="71"/>
      <c r="E43" s="74"/>
      <c r="F43" s="73"/>
      <c r="G43" s="73"/>
      <c r="H43" s="73">
        <f t="shared" si="11"/>
        <v>0</v>
      </c>
    </row>
    <row r="44" spans="1:27" ht="15.75" customHeight="1" x14ac:dyDescent="0.25">
      <c r="A44" s="70">
        <f t="shared" si="12"/>
        <v>46047</v>
      </c>
      <c r="B44" s="79">
        <f>WEEKNUM(A44, 2)</f>
        <v>4</v>
      </c>
      <c r="C44" s="71"/>
      <c r="D44" s="71"/>
      <c r="E44" s="72"/>
      <c r="F44" s="73"/>
      <c r="G44" s="73"/>
      <c r="H44" s="73">
        <f t="shared" si="11"/>
        <v>0</v>
      </c>
    </row>
    <row r="45" spans="1:27" s="28" customFormat="1" ht="15.75" customHeight="1" x14ac:dyDescent="0.2">
      <c r="A45" s="44" t="str">
        <f>"Total of Week "&amp;RIGHT(A35,2)+1</f>
        <v>Total of Week 4</v>
      </c>
      <c r="B45" s="80"/>
      <c r="C45" s="45"/>
      <c r="D45" s="45"/>
      <c r="E45" s="63"/>
      <c r="F45" s="46">
        <f ca="1">SUMIF($B:$E,RIGHT($A45,2),F:F)</f>
        <v>0</v>
      </c>
      <c r="G45" s="46">
        <f ca="1">SUMIF($B:$E,RIGHT($A45,2),G:G)</f>
        <v>0</v>
      </c>
      <c r="H45" s="47">
        <f ca="1">SUMIF($B:$E,RIGHT($A45,2),H:H)</f>
        <v>0</v>
      </c>
    </row>
    <row r="46" spans="1:27" ht="15.75" customHeight="1" x14ac:dyDescent="0.25">
      <c r="A46" s="22"/>
      <c r="B46" s="87"/>
      <c r="C46" s="5"/>
      <c r="D46" s="5"/>
      <c r="E46" s="65"/>
      <c r="F46" s="6"/>
      <c r="G46" s="5"/>
      <c r="H46" s="7"/>
    </row>
    <row r="47" spans="1:27" ht="15" x14ac:dyDescent="0.25">
      <c r="A47" s="40" t="s">
        <v>9</v>
      </c>
      <c r="B47" s="85" t="s">
        <v>31</v>
      </c>
      <c r="C47" s="41" t="s">
        <v>10</v>
      </c>
      <c r="D47" s="41" t="s">
        <v>11</v>
      </c>
      <c r="E47" s="42" t="s">
        <v>12</v>
      </c>
      <c r="F47" s="43" t="s">
        <v>13</v>
      </c>
      <c r="G47" s="42" t="s">
        <v>14</v>
      </c>
      <c r="H47" s="42" t="s">
        <v>15</v>
      </c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spans="1:27" ht="15.75" customHeight="1" x14ac:dyDescent="0.25">
      <c r="A48" s="70">
        <f>A44+1</f>
        <v>46048</v>
      </c>
      <c r="B48" s="79">
        <f t="shared" si="10"/>
        <v>5</v>
      </c>
      <c r="C48" s="71"/>
      <c r="D48" s="71"/>
      <c r="E48" s="72"/>
      <c r="F48" s="73"/>
      <c r="G48" s="73"/>
      <c r="H48" s="73">
        <f t="shared" si="11"/>
        <v>0</v>
      </c>
    </row>
    <row r="49" spans="1:27" ht="15.75" customHeight="1" x14ac:dyDescent="0.25">
      <c r="A49" s="70">
        <f>A48+1</f>
        <v>46049</v>
      </c>
      <c r="B49" s="79">
        <f>WEEKNUM(A49, 2)</f>
        <v>5</v>
      </c>
      <c r="C49" s="71"/>
      <c r="D49" s="71"/>
      <c r="E49" s="74"/>
      <c r="F49" s="73"/>
      <c r="G49" s="73"/>
      <c r="H49" s="73">
        <f>SUM(F49:G49)</f>
        <v>0</v>
      </c>
    </row>
    <row r="50" spans="1:27" ht="15.75" customHeight="1" x14ac:dyDescent="0.25">
      <c r="A50" s="70">
        <f>A49+1</f>
        <v>46050</v>
      </c>
      <c r="B50" s="79">
        <f t="shared" ref="B50:B53" si="13">WEEKNUM(A50, 2)</f>
        <v>5</v>
      </c>
      <c r="C50" s="71"/>
      <c r="D50" s="71"/>
      <c r="E50" s="72"/>
      <c r="F50" s="73"/>
      <c r="G50" s="73"/>
      <c r="H50" s="73">
        <f>SUM(F50:G50)</f>
        <v>0</v>
      </c>
    </row>
    <row r="51" spans="1:27" ht="15.75" customHeight="1" x14ac:dyDescent="0.25">
      <c r="A51" s="70">
        <f>A50+1</f>
        <v>46051</v>
      </c>
      <c r="B51" s="79">
        <f t="shared" si="13"/>
        <v>5</v>
      </c>
      <c r="C51" s="71"/>
      <c r="D51" s="71"/>
      <c r="E51" s="74"/>
      <c r="F51" s="73"/>
      <c r="G51" s="73"/>
      <c r="H51" s="73">
        <f>SUM(F51:G51)</f>
        <v>0</v>
      </c>
    </row>
    <row r="52" spans="1:27" ht="15.75" customHeight="1" x14ac:dyDescent="0.25">
      <c r="A52" s="70">
        <f t="shared" ref="A52:A53" si="14">A51+1</f>
        <v>46052</v>
      </c>
      <c r="B52" s="79">
        <f t="shared" si="13"/>
        <v>5</v>
      </c>
      <c r="C52" s="71"/>
      <c r="D52" s="71"/>
      <c r="E52" s="72"/>
      <c r="F52" s="73"/>
      <c r="G52" s="73"/>
      <c r="H52" s="73">
        <f t="shared" ref="H52:H53" si="15">SUM(F52:G52)</f>
        <v>0</v>
      </c>
    </row>
    <row r="53" spans="1:27" ht="15.75" customHeight="1" x14ac:dyDescent="0.25">
      <c r="A53" s="70">
        <f t="shared" si="14"/>
        <v>46053</v>
      </c>
      <c r="B53" s="79">
        <f t="shared" si="13"/>
        <v>5</v>
      </c>
      <c r="C53" s="71"/>
      <c r="D53" s="71"/>
      <c r="E53" s="74"/>
      <c r="F53" s="73"/>
      <c r="G53" s="73"/>
      <c r="H53" s="73">
        <f t="shared" si="15"/>
        <v>0</v>
      </c>
    </row>
    <row r="54" spans="1:27" s="28" customFormat="1" ht="15.75" customHeight="1" x14ac:dyDescent="0.2">
      <c r="A54" s="44" t="str">
        <f>"Total of Week "&amp;RIGHT(A45,2)+1</f>
        <v>Total of Week 5</v>
      </c>
      <c r="B54" s="80"/>
      <c r="C54" s="45"/>
      <c r="D54" s="45"/>
      <c r="E54" s="63"/>
      <c r="F54" s="46">
        <f ca="1">SUMIF($B:$E,RIGHT($A54,2),F:F)</f>
        <v>0</v>
      </c>
      <c r="G54" s="46">
        <f ca="1">SUMIF($B:$E,RIGHT($A54,2),G:G)</f>
        <v>0</v>
      </c>
      <c r="H54" s="47">
        <f ca="1">SUMIF($B:$E,RIGHT($A54,2),H:H)</f>
        <v>0</v>
      </c>
    </row>
    <row r="55" spans="1:27" ht="12" customHeight="1" x14ac:dyDescent="0.25">
      <c r="A55" s="23"/>
      <c r="B55" s="84"/>
      <c r="C55" s="8"/>
      <c r="D55" s="8"/>
      <c r="E55" s="66"/>
      <c r="F55" s="9"/>
      <c r="G55" s="9"/>
      <c r="H55" s="10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 ht="15.75" customHeight="1" x14ac:dyDescent="0.25">
      <c r="A56" s="24" t="s">
        <v>16</v>
      </c>
      <c r="B56" s="88"/>
      <c r="C56" s="11"/>
      <c r="D56" s="11"/>
      <c r="E56" s="67"/>
      <c r="F56" s="12"/>
      <c r="G56" s="11"/>
      <c r="H56" s="13">
        <f ca="1">SUMIF(A7:A55,"*Total of week*",H7:H55)</f>
        <v>0</v>
      </c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1:27" ht="15.75" customHeight="1" x14ac:dyDescent="0.25">
      <c r="E57" s="4"/>
      <c r="F57" s="15"/>
      <c r="O57" s="3"/>
      <c r="P57" s="3"/>
      <c r="R57" s="3"/>
    </row>
    <row r="58" spans="1:27" ht="15.75" customHeight="1" x14ac:dyDescent="0.25">
      <c r="E58" s="4"/>
      <c r="F58" s="15"/>
      <c r="O58" s="3"/>
    </row>
    <row r="59" spans="1:27" ht="15.75" customHeight="1" x14ac:dyDescent="0.25">
      <c r="A59" s="26"/>
      <c r="B59" s="90"/>
      <c r="C59" s="17"/>
      <c r="D59" s="16"/>
      <c r="E59" s="4"/>
      <c r="F59" s="15"/>
    </row>
    <row r="60" spans="1:27" ht="15.75" customHeight="1" x14ac:dyDescent="0.25">
      <c r="A60" s="26"/>
      <c r="B60" s="90"/>
      <c r="C60" s="16"/>
      <c r="D60" s="16"/>
      <c r="E60" s="68"/>
      <c r="F60" s="18"/>
      <c r="G60" s="16"/>
      <c r="H60" s="3"/>
    </row>
    <row r="61" spans="1:27" ht="15.75" customHeight="1" x14ac:dyDescent="0.25">
      <c r="A61" s="26"/>
      <c r="B61" s="90"/>
      <c r="C61" s="19"/>
      <c r="D61" s="19"/>
      <c r="E61" s="4"/>
      <c r="F61" s="15"/>
    </row>
    <row r="62" spans="1:27" s="28" customFormat="1" ht="15.75" customHeight="1" x14ac:dyDescent="0.25">
      <c r="A62" s="36"/>
      <c r="B62" s="86"/>
      <c r="C62" s="29"/>
      <c r="D62" s="29"/>
      <c r="E62" s="64"/>
      <c r="F62" s="33"/>
      <c r="G62" s="34"/>
      <c r="H62" s="35"/>
    </row>
    <row r="63" spans="1:27" ht="15.75" customHeight="1" x14ac:dyDescent="0.25">
      <c r="C63" s="20"/>
      <c r="D63" s="20"/>
      <c r="E63" s="4"/>
      <c r="F63" s="15"/>
    </row>
    <row r="64" spans="1:27" ht="15.75" customHeight="1" x14ac:dyDescent="0.25">
      <c r="A64" s="26"/>
      <c r="B64" s="90"/>
      <c r="C64" s="19"/>
      <c r="D64" s="19"/>
      <c r="E64" s="4"/>
      <c r="F64" s="15"/>
    </row>
    <row r="65" spans="1:6" ht="15.75" customHeight="1" x14ac:dyDescent="0.25">
      <c r="A65" s="26"/>
      <c r="B65" s="90"/>
      <c r="C65" s="19"/>
      <c r="D65" s="19"/>
      <c r="E65" s="4"/>
      <c r="F65" s="15"/>
    </row>
    <row r="66" spans="1:6" ht="15.75" customHeight="1" x14ac:dyDescent="0.2"/>
    <row r="67" spans="1:6" ht="15.75" customHeight="1" x14ac:dyDescent="0.2"/>
    <row r="68" spans="1:6" ht="15.75" customHeight="1" x14ac:dyDescent="0.2"/>
    <row r="69" spans="1:6" ht="15.75" customHeight="1" x14ac:dyDescent="0.2"/>
    <row r="70" spans="1:6" ht="15.75" customHeight="1" x14ac:dyDescent="0.2"/>
    <row r="71" spans="1:6" ht="15.75" customHeight="1" x14ac:dyDescent="0.2"/>
    <row r="72" spans="1:6" ht="15.75" customHeight="1" x14ac:dyDescent="0.2"/>
    <row r="73" spans="1:6" ht="15.75" customHeight="1" x14ac:dyDescent="0.2"/>
    <row r="74" spans="1:6" ht="15.75" customHeight="1" x14ac:dyDescent="0.2"/>
    <row r="75" spans="1:6" ht="15.75" customHeight="1" x14ac:dyDescent="0.2"/>
    <row r="76" spans="1:6" ht="15.75" customHeight="1" x14ac:dyDescent="0.2"/>
    <row r="77" spans="1:6" ht="15.75" customHeight="1" x14ac:dyDescent="0.2"/>
    <row r="78" spans="1:6" ht="15.75" customHeight="1" x14ac:dyDescent="0.2"/>
    <row r="79" spans="1:6" ht="15.75" customHeight="1" x14ac:dyDescent="0.2"/>
    <row r="80" spans="1:6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</sheetData>
  <mergeCells count="11">
    <mergeCell ref="E1:E3"/>
    <mergeCell ref="F4:G4"/>
    <mergeCell ref="F5:G5"/>
    <mergeCell ref="B4:E4"/>
    <mergeCell ref="B6:E6"/>
    <mergeCell ref="B5:E5"/>
    <mergeCell ref="F7:G7"/>
    <mergeCell ref="F8:G8"/>
    <mergeCell ref="B8:E8"/>
    <mergeCell ref="B7:E7"/>
    <mergeCell ref="F6:G6"/>
  </mergeCells>
  <conditionalFormatting sqref="A4:B8 A9:H1048576">
    <cfRule type="expression" dxfId="69" priority="1">
      <formula>ISNUMBER(SEARCH("Holiday", $E4))</formula>
    </cfRule>
    <cfRule type="expression" dxfId="68" priority="2">
      <formula>AND(WEEKDAY($A4,2)&lt;6, $A4&lt;&gt;"")</formula>
    </cfRule>
  </conditionalFormatting>
  <conditionalFormatting sqref="A1:H3 F4:H8">
    <cfRule type="expression" dxfId="67" priority="4">
      <formula>ISNUMBER(SEARCH("Holiday", $E1))</formula>
    </cfRule>
    <cfRule type="expression" dxfId="66" priority="5">
      <formula>AND(WEEKDAY($A1,2)&lt;6, $A1&lt;&gt;"")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E5DD0-B32B-46DE-9406-F639435B570F}">
  <dimension ref="A1:AA993"/>
  <sheetViews>
    <sheetView topLeftCell="A4" zoomScaleNormal="100" workbookViewId="0">
      <selection activeCell="E36" sqref="E36"/>
    </sheetView>
  </sheetViews>
  <sheetFormatPr defaultColWidth="12.5" defaultRowHeight="14.25" x14ac:dyDescent="0.2"/>
  <cols>
    <col min="1" max="1" width="20.25" style="25" bestFit="1" customWidth="1"/>
    <col min="2" max="2" width="7.375" style="89" bestFit="1" customWidth="1"/>
    <col min="3" max="3" width="11" customWidth="1"/>
    <col min="4" max="4" width="11.25" customWidth="1"/>
    <col min="5" max="5" width="28" style="69" customWidth="1"/>
    <col min="7" max="7" width="12" customWidth="1"/>
    <col min="8" max="8" width="19" customWidth="1"/>
    <col min="9" max="9" width="7.75" customWidth="1"/>
    <col min="10" max="10" width="94.25" bestFit="1" customWidth="1"/>
    <col min="11" max="13" width="7.75" customWidth="1"/>
    <col min="14" max="14" width="9" customWidth="1"/>
    <col min="15" max="27" width="7.75" customWidth="1"/>
  </cols>
  <sheetData>
    <row r="1" spans="1:27" ht="17.25" customHeight="1" x14ac:dyDescent="0.25">
      <c r="A1" s="48"/>
      <c r="B1" s="81"/>
      <c r="C1" s="49"/>
      <c r="D1" s="49"/>
      <c r="E1" s="97" t="s">
        <v>0</v>
      </c>
      <c r="F1" s="50"/>
      <c r="G1" s="51"/>
      <c r="H1" s="52"/>
      <c r="K1" s="28"/>
      <c r="L1" s="28"/>
      <c r="M1" s="28"/>
      <c r="N1" s="28"/>
      <c r="O1" s="28"/>
      <c r="P1" s="28"/>
    </row>
    <row r="2" spans="1:27" ht="17.25" customHeight="1" x14ac:dyDescent="0.25">
      <c r="A2" s="53"/>
      <c r="B2" s="82"/>
      <c r="C2" s="54"/>
      <c r="D2" s="54"/>
      <c r="E2" s="98"/>
      <c r="F2" s="55"/>
      <c r="G2" s="56"/>
      <c r="H2" s="57"/>
      <c r="J2" s="26" t="s">
        <v>17</v>
      </c>
      <c r="K2" s="29"/>
      <c r="L2" s="29"/>
      <c r="M2" s="30"/>
      <c r="N2" s="31"/>
      <c r="O2" s="28"/>
      <c r="P2" s="28"/>
    </row>
    <row r="3" spans="1:27" ht="15.75" x14ac:dyDescent="0.25">
      <c r="A3" s="58"/>
      <c r="B3" s="83"/>
      <c r="C3" s="59"/>
      <c r="D3" s="59"/>
      <c r="E3" s="99"/>
      <c r="F3" s="60"/>
      <c r="G3" s="61"/>
      <c r="H3" s="62"/>
      <c r="J3" s="27" t="s">
        <v>18</v>
      </c>
      <c r="K3" s="29"/>
      <c r="L3" s="29"/>
      <c r="M3" s="32"/>
      <c r="N3" s="33"/>
      <c r="O3" s="34"/>
      <c r="P3" s="35"/>
    </row>
    <row r="4" spans="1:27" ht="15" x14ac:dyDescent="0.25">
      <c r="A4" s="21" t="s">
        <v>1</v>
      </c>
      <c r="B4" s="94"/>
      <c r="C4" s="95"/>
      <c r="D4" s="95"/>
      <c r="E4" s="96"/>
      <c r="F4" s="91" t="s">
        <v>2</v>
      </c>
      <c r="G4" s="92"/>
      <c r="H4" s="1"/>
      <c r="J4" s="25"/>
      <c r="K4" s="20"/>
      <c r="L4" s="20"/>
      <c r="M4" s="14"/>
      <c r="N4" s="15"/>
    </row>
    <row r="5" spans="1:27" ht="15" x14ac:dyDescent="0.25">
      <c r="A5" s="21" t="s">
        <v>43</v>
      </c>
      <c r="B5" s="94"/>
      <c r="C5" s="95"/>
      <c r="D5" s="95"/>
      <c r="E5" s="96"/>
      <c r="F5" s="91" t="s">
        <v>3</v>
      </c>
      <c r="G5" s="92"/>
      <c r="H5" s="1"/>
      <c r="J5" s="26" t="s">
        <v>19</v>
      </c>
      <c r="K5" s="19"/>
      <c r="L5" s="19"/>
      <c r="M5" s="14"/>
      <c r="N5" s="15"/>
    </row>
    <row r="6" spans="1:27" ht="15" x14ac:dyDescent="0.25">
      <c r="A6" s="21" t="s">
        <v>4</v>
      </c>
      <c r="B6" s="94"/>
      <c r="C6" s="95"/>
      <c r="D6" s="95"/>
      <c r="E6" s="96"/>
      <c r="F6" s="91" t="s">
        <v>6</v>
      </c>
      <c r="G6" s="92"/>
      <c r="H6" s="1"/>
      <c r="J6" s="26" t="s">
        <v>30</v>
      </c>
      <c r="K6" s="19"/>
      <c r="L6" s="19"/>
      <c r="M6" s="14"/>
      <c r="N6" s="15"/>
    </row>
    <row r="7" spans="1:27" ht="15" x14ac:dyDescent="0.25">
      <c r="A7" s="21" t="s">
        <v>5</v>
      </c>
      <c r="B7" s="94"/>
      <c r="C7" s="95"/>
      <c r="D7" s="95"/>
      <c r="E7" s="96"/>
      <c r="F7" s="91" t="s">
        <v>8</v>
      </c>
      <c r="G7" s="92"/>
      <c r="H7" s="1"/>
    </row>
    <row r="8" spans="1:27" ht="15" x14ac:dyDescent="0.25">
      <c r="A8" s="21" t="s">
        <v>7</v>
      </c>
      <c r="B8" s="94"/>
      <c r="C8" s="95"/>
      <c r="D8" s="95"/>
      <c r="E8" s="96"/>
      <c r="F8" s="93"/>
      <c r="G8" s="92"/>
      <c r="H8" s="2"/>
    </row>
    <row r="9" spans="1:27" ht="15" x14ac:dyDescent="0.25">
      <c r="A9" s="78"/>
      <c r="B9" s="84"/>
      <c r="C9" s="77"/>
      <c r="D9" s="77"/>
      <c r="E9" s="77"/>
      <c r="F9" s="77"/>
      <c r="G9" s="77"/>
      <c r="H9" s="77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ht="15" x14ac:dyDescent="0.25">
      <c r="A10" s="40" t="s">
        <v>9</v>
      </c>
      <c r="B10" s="85" t="s">
        <v>31</v>
      </c>
      <c r="C10" s="41" t="s">
        <v>10</v>
      </c>
      <c r="D10" s="41" t="s">
        <v>11</v>
      </c>
      <c r="E10" s="42" t="s">
        <v>12</v>
      </c>
      <c r="F10" s="43" t="s">
        <v>13</v>
      </c>
      <c r="G10" s="42" t="s">
        <v>14</v>
      </c>
      <c r="H10" s="42" t="s">
        <v>15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1:27" s="37" customFormat="1" ht="15" x14ac:dyDescent="0.25">
      <c r="A11" s="75">
        <f>'January 2026'!A53+1</f>
        <v>46054</v>
      </c>
      <c r="B11" s="79">
        <f>WEEKNUM(A11, 2)</f>
        <v>5</v>
      </c>
      <c r="C11" s="71"/>
      <c r="D11" s="71"/>
      <c r="E11" s="76"/>
      <c r="F11" s="73"/>
      <c r="G11" s="73"/>
      <c r="H11" s="73">
        <f t="shared" ref="H11" si="0">SUM(F11:G11)</f>
        <v>0</v>
      </c>
    </row>
    <row r="12" spans="1:27" s="28" customFormat="1" ht="15.75" customHeight="1" x14ac:dyDescent="0.2">
      <c r="A12" s="44" t="s">
        <v>33</v>
      </c>
      <c r="B12" s="80"/>
      <c r="C12" s="45"/>
      <c r="D12" s="45"/>
      <c r="E12" s="63"/>
      <c r="F12" s="46">
        <f ca="1">SUMIF($B:$E,RIGHT($A12,2),F:F)</f>
        <v>0</v>
      </c>
      <c r="G12" s="46">
        <f ca="1">SUMIF($B:$E,RIGHT($A12,2),G:G)</f>
        <v>0</v>
      </c>
      <c r="H12" s="47">
        <f ca="1">SUMIF($B:$E,RIGHT($A12,2),H:H)</f>
        <v>0</v>
      </c>
    </row>
    <row r="13" spans="1:27" s="28" customFormat="1" ht="15.75" customHeight="1" x14ac:dyDescent="0.2">
      <c r="A13" s="36"/>
      <c r="B13" s="86"/>
      <c r="C13" s="34"/>
      <c r="D13" s="34"/>
      <c r="E13" s="64"/>
      <c r="F13" s="38"/>
      <c r="G13" s="38"/>
      <c r="H13" s="39"/>
    </row>
    <row r="14" spans="1:27" ht="15" x14ac:dyDescent="0.25">
      <c r="A14" s="40" t="s">
        <v>9</v>
      </c>
      <c r="B14" s="85" t="s">
        <v>31</v>
      </c>
      <c r="C14" s="41" t="s">
        <v>10</v>
      </c>
      <c r="D14" s="41" t="s">
        <v>11</v>
      </c>
      <c r="E14" s="42" t="s">
        <v>12</v>
      </c>
      <c r="F14" s="43" t="s">
        <v>13</v>
      </c>
      <c r="G14" s="42" t="s">
        <v>14</v>
      </c>
      <c r="H14" s="42" t="s">
        <v>15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spans="1:27" s="37" customFormat="1" ht="15" x14ac:dyDescent="0.25">
      <c r="A15" s="70">
        <f>A11+1</f>
        <v>46055</v>
      </c>
      <c r="B15" s="79">
        <f t="shared" ref="B15:B18" si="1">WEEKNUM(A15, 2)</f>
        <v>6</v>
      </c>
      <c r="C15" s="71"/>
      <c r="D15" s="71"/>
      <c r="E15" s="72"/>
      <c r="F15" s="73"/>
      <c r="G15" s="73"/>
      <c r="H15" s="73">
        <f>SUM(F15:G15)</f>
        <v>0</v>
      </c>
    </row>
    <row r="16" spans="1:27" s="37" customFormat="1" ht="15" x14ac:dyDescent="0.25">
      <c r="A16" s="70">
        <f>A15+1</f>
        <v>46056</v>
      </c>
      <c r="B16" s="79">
        <f t="shared" si="1"/>
        <v>6</v>
      </c>
      <c r="C16" s="71"/>
      <c r="D16" s="71"/>
      <c r="E16" s="72"/>
      <c r="F16" s="73"/>
      <c r="G16" s="73"/>
      <c r="H16" s="73">
        <f t="shared" ref="H16:H18" si="2">SUM(F16:G16)</f>
        <v>0</v>
      </c>
    </row>
    <row r="17" spans="1:27" s="37" customFormat="1" ht="15" x14ac:dyDescent="0.25">
      <c r="A17" s="70">
        <f t="shared" ref="A17:A18" si="3">A16+1</f>
        <v>46057</v>
      </c>
      <c r="B17" s="79">
        <f t="shared" si="1"/>
        <v>6</v>
      </c>
      <c r="C17" s="71"/>
      <c r="D17" s="71"/>
      <c r="E17" s="72"/>
      <c r="F17" s="73"/>
      <c r="G17" s="73"/>
      <c r="H17" s="73">
        <f t="shared" si="2"/>
        <v>0</v>
      </c>
    </row>
    <row r="18" spans="1:27" ht="15.75" customHeight="1" x14ac:dyDescent="0.25">
      <c r="A18" s="70">
        <f t="shared" si="3"/>
        <v>46058</v>
      </c>
      <c r="B18" s="79">
        <f t="shared" si="1"/>
        <v>6</v>
      </c>
      <c r="C18" s="71"/>
      <c r="D18" s="71"/>
      <c r="E18" s="72"/>
      <c r="F18" s="73"/>
      <c r="G18" s="73"/>
      <c r="H18" s="73">
        <f t="shared" si="2"/>
        <v>0</v>
      </c>
    </row>
    <row r="19" spans="1:27" ht="15.75" customHeight="1" x14ac:dyDescent="0.25">
      <c r="A19" s="70">
        <f>A18+1</f>
        <v>46059</v>
      </c>
      <c r="B19" s="79">
        <f>WEEKNUM(A19, 2)</f>
        <v>6</v>
      </c>
      <c r="C19" s="71"/>
      <c r="D19" s="71"/>
      <c r="E19" s="74"/>
      <c r="F19" s="73"/>
      <c r="G19" s="73"/>
      <c r="H19" s="73">
        <f>SUM(F19:G19)</f>
        <v>0</v>
      </c>
    </row>
    <row r="20" spans="1:27" ht="15.75" customHeight="1" x14ac:dyDescent="0.25">
      <c r="A20" s="70">
        <f>A19+1</f>
        <v>46060</v>
      </c>
      <c r="B20" s="79">
        <f t="shared" ref="B20:B28" si="4">WEEKNUM(A20, 2)</f>
        <v>6</v>
      </c>
      <c r="C20" s="71"/>
      <c r="D20" s="71"/>
      <c r="E20" s="72"/>
      <c r="F20" s="73"/>
      <c r="G20" s="73"/>
      <c r="H20" s="73">
        <f>SUM(F20:G20)</f>
        <v>0</v>
      </c>
    </row>
    <row r="21" spans="1:27" ht="15.75" customHeight="1" x14ac:dyDescent="0.25">
      <c r="A21" s="70">
        <f>A20+1</f>
        <v>46061</v>
      </c>
      <c r="B21" s="79">
        <f t="shared" si="4"/>
        <v>6</v>
      </c>
      <c r="C21" s="71"/>
      <c r="D21" s="71"/>
      <c r="E21" s="74"/>
      <c r="F21" s="73"/>
      <c r="G21" s="73"/>
      <c r="H21" s="73">
        <f t="shared" ref="H21:H28" si="5">SUM(F21:G21)</f>
        <v>0</v>
      </c>
    </row>
    <row r="22" spans="1:27" s="28" customFormat="1" ht="15.75" customHeight="1" x14ac:dyDescent="0.2">
      <c r="A22" s="44" t="str">
        <f>"Total of Week "&amp;RIGHT(A12,2)+1</f>
        <v>Total of Week 6</v>
      </c>
      <c r="B22" s="80"/>
      <c r="C22" s="45"/>
      <c r="D22" s="45"/>
      <c r="E22" s="63"/>
      <c r="F22" s="46">
        <f ca="1">SUMIF($B:$E,RIGHT($A22,2),F:F)</f>
        <v>0</v>
      </c>
      <c r="G22" s="46">
        <f ca="1">SUMIF($B:$E,RIGHT($A22,2),G:G)</f>
        <v>0</v>
      </c>
      <c r="H22" s="47">
        <f ca="1">SUMIF($B:$E,RIGHT($A22,2),H:H)</f>
        <v>0</v>
      </c>
    </row>
    <row r="23" spans="1:27" ht="15.75" customHeight="1" x14ac:dyDescent="0.25">
      <c r="A23" s="22"/>
      <c r="B23" s="87"/>
      <c r="C23" s="5"/>
      <c r="D23" s="5"/>
      <c r="E23" s="65"/>
      <c r="F23" s="6"/>
      <c r="G23" s="5"/>
      <c r="H23" s="7"/>
    </row>
    <row r="24" spans="1:27" ht="15" x14ac:dyDescent="0.25">
      <c r="A24" s="40" t="s">
        <v>9</v>
      </c>
      <c r="B24" s="85" t="s">
        <v>31</v>
      </c>
      <c r="C24" s="41" t="s">
        <v>10</v>
      </c>
      <c r="D24" s="41" t="s">
        <v>11</v>
      </c>
      <c r="E24" s="42" t="s">
        <v>12</v>
      </c>
      <c r="F24" s="43" t="s">
        <v>13</v>
      </c>
      <c r="G24" s="42" t="s">
        <v>14</v>
      </c>
      <c r="H24" s="42" t="s">
        <v>15</v>
      </c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spans="1:27" ht="15.75" customHeight="1" x14ac:dyDescent="0.25">
      <c r="A25" s="70">
        <f>A21+1</f>
        <v>46062</v>
      </c>
      <c r="B25" s="79">
        <f t="shared" si="4"/>
        <v>7</v>
      </c>
      <c r="C25" s="71"/>
      <c r="D25" s="71"/>
      <c r="E25" s="72"/>
      <c r="F25" s="73"/>
      <c r="G25" s="73"/>
      <c r="H25" s="73">
        <f t="shared" si="5"/>
        <v>0</v>
      </c>
    </row>
    <row r="26" spans="1:27" ht="15.75" customHeight="1" x14ac:dyDescent="0.25">
      <c r="A26" s="70">
        <f>A25+1</f>
        <v>46063</v>
      </c>
      <c r="B26" s="79">
        <f t="shared" si="4"/>
        <v>7</v>
      </c>
      <c r="C26" s="71"/>
      <c r="D26" s="71"/>
      <c r="E26" s="74"/>
      <c r="F26" s="73"/>
      <c r="G26" s="73"/>
      <c r="H26" s="73">
        <f t="shared" si="5"/>
        <v>0</v>
      </c>
    </row>
    <row r="27" spans="1:27" ht="15.75" customHeight="1" x14ac:dyDescent="0.25">
      <c r="A27" s="70">
        <f t="shared" ref="A27:A28" si="6">A26+1</f>
        <v>46064</v>
      </c>
      <c r="B27" s="79">
        <f>WEEKNUM(A27, 2)</f>
        <v>7</v>
      </c>
      <c r="C27" s="71"/>
      <c r="D27" s="71"/>
      <c r="E27" s="72"/>
      <c r="F27" s="73"/>
      <c r="G27" s="73"/>
      <c r="H27" s="73">
        <f t="shared" si="5"/>
        <v>0</v>
      </c>
    </row>
    <row r="28" spans="1:27" ht="15.75" customHeight="1" x14ac:dyDescent="0.25">
      <c r="A28" s="70">
        <f t="shared" si="6"/>
        <v>46065</v>
      </c>
      <c r="B28" s="79">
        <f t="shared" si="4"/>
        <v>7</v>
      </c>
      <c r="C28" s="71"/>
      <c r="D28" s="71"/>
      <c r="E28" s="72"/>
      <c r="F28" s="73"/>
      <c r="G28" s="73"/>
      <c r="H28" s="73">
        <f t="shared" si="5"/>
        <v>0</v>
      </c>
    </row>
    <row r="29" spans="1:27" ht="15.75" customHeight="1" x14ac:dyDescent="0.25">
      <c r="A29" s="70">
        <f>A28+1</f>
        <v>46066</v>
      </c>
      <c r="B29" s="79">
        <f>WEEKNUM(A29, 2)</f>
        <v>7</v>
      </c>
      <c r="C29" s="71"/>
      <c r="D29" s="71"/>
      <c r="E29" s="74"/>
      <c r="F29" s="73"/>
      <c r="G29" s="73"/>
      <c r="H29" s="73">
        <f>SUM(F29:G29)</f>
        <v>0</v>
      </c>
    </row>
    <row r="30" spans="1:27" ht="15.75" customHeight="1" x14ac:dyDescent="0.25">
      <c r="A30" s="70">
        <f>A29+1</f>
        <v>46067</v>
      </c>
      <c r="B30" s="79">
        <f t="shared" ref="B30:B38" si="7">WEEKNUM(A30, 2)</f>
        <v>7</v>
      </c>
      <c r="C30" s="71"/>
      <c r="D30" s="71"/>
      <c r="E30" s="72"/>
      <c r="F30" s="73"/>
      <c r="G30" s="73"/>
      <c r="H30" s="73">
        <f>SUM(F30:G30)</f>
        <v>0</v>
      </c>
    </row>
    <row r="31" spans="1:27" ht="15.75" customHeight="1" x14ac:dyDescent="0.25">
      <c r="A31" s="70">
        <f>A30+1</f>
        <v>46068</v>
      </c>
      <c r="B31" s="79">
        <f t="shared" si="7"/>
        <v>7</v>
      </c>
      <c r="C31" s="71"/>
      <c r="D31" s="71"/>
      <c r="E31" s="74"/>
      <c r="F31" s="73"/>
      <c r="G31" s="73"/>
      <c r="H31" s="73">
        <f t="shared" ref="H31:H38" si="8">SUM(F31:G31)</f>
        <v>0</v>
      </c>
    </row>
    <row r="32" spans="1:27" s="28" customFormat="1" ht="15.75" customHeight="1" x14ac:dyDescent="0.2">
      <c r="A32" s="44" t="str">
        <f>"Total of Week "&amp;RIGHT(A22,2)+1</f>
        <v>Total of Week 7</v>
      </c>
      <c r="B32" s="80"/>
      <c r="C32" s="45"/>
      <c r="D32" s="45"/>
      <c r="E32" s="63"/>
      <c r="F32" s="46">
        <f ca="1">SUMIF($B:$E,RIGHT($A32,2),F:F)</f>
        <v>0</v>
      </c>
      <c r="G32" s="46">
        <f ca="1">SUMIF($B:$E,RIGHT($A32,2),G:G)</f>
        <v>0</v>
      </c>
      <c r="H32" s="47">
        <f ca="1">SUMIF($B:$E,RIGHT($A32,2),H:H)</f>
        <v>0</v>
      </c>
    </row>
    <row r="33" spans="1:27" ht="15.75" customHeight="1" x14ac:dyDescent="0.25">
      <c r="A33" s="22"/>
      <c r="B33" s="87"/>
      <c r="C33" s="5"/>
      <c r="D33" s="5"/>
      <c r="E33" s="65"/>
      <c r="F33" s="6"/>
      <c r="G33" s="5"/>
      <c r="H33" s="7"/>
    </row>
    <row r="34" spans="1:27" ht="15" x14ac:dyDescent="0.25">
      <c r="A34" s="40" t="s">
        <v>9</v>
      </c>
      <c r="B34" s="85" t="s">
        <v>31</v>
      </c>
      <c r="C34" s="41" t="s">
        <v>10</v>
      </c>
      <c r="D34" s="41" t="s">
        <v>11</v>
      </c>
      <c r="E34" s="42" t="s">
        <v>12</v>
      </c>
      <c r="F34" s="43" t="s">
        <v>13</v>
      </c>
      <c r="G34" s="42" t="s">
        <v>14</v>
      </c>
      <c r="H34" s="42" t="s">
        <v>15</v>
      </c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spans="1:27" ht="15.75" customHeight="1" x14ac:dyDescent="0.25">
      <c r="A35" s="70">
        <f>A31+1</f>
        <v>46069</v>
      </c>
      <c r="B35" s="79">
        <f t="shared" si="7"/>
        <v>8</v>
      </c>
      <c r="C35" s="71"/>
      <c r="D35" s="71"/>
      <c r="E35" s="72" t="s">
        <v>20</v>
      </c>
      <c r="F35" s="73"/>
      <c r="G35" s="73"/>
      <c r="H35" s="73">
        <f t="shared" si="8"/>
        <v>0</v>
      </c>
    </row>
    <row r="36" spans="1:27" ht="15.75" customHeight="1" x14ac:dyDescent="0.25">
      <c r="A36" s="70">
        <f>A35+1</f>
        <v>46070</v>
      </c>
      <c r="B36" s="79">
        <f t="shared" si="7"/>
        <v>8</v>
      </c>
      <c r="C36" s="71"/>
      <c r="D36" s="71"/>
      <c r="E36" s="74"/>
      <c r="F36" s="73"/>
      <c r="G36" s="73"/>
      <c r="H36" s="73">
        <f t="shared" si="8"/>
        <v>0</v>
      </c>
    </row>
    <row r="37" spans="1:27" ht="15.75" customHeight="1" x14ac:dyDescent="0.25">
      <c r="A37" s="70">
        <f t="shared" ref="A37:A38" si="9">A36+1</f>
        <v>46071</v>
      </c>
      <c r="B37" s="79">
        <f>WEEKNUM(A37, 2)</f>
        <v>8</v>
      </c>
      <c r="C37" s="71"/>
      <c r="D37" s="71"/>
      <c r="E37" s="72"/>
      <c r="F37" s="73"/>
      <c r="G37" s="73"/>
      <c r="H37" s="73">
        <f t="shared" si="8"/>
        <v>0</v>
      </c>
    </row>
    <row r="38" spans="1:27" ht="15.75" customHeight="1" x14ac:dyDescent="0.25">
      <c r="A38" s="70">
        <f t="shared" si="9"/>
        <v>46072</v>
      </c>
      <c r="B38" s="79">
        <f t="shared" si="7"/>
        <v>8</v>
      </c>
      <c r="C38" s="71"/>
      <c r="D38" s="71"/>
      <c r="E38" s="72"/>
      <c r="F38" s="73"/>
      <c r="G38" s="73"/>
      <c r="H38" s="73">
        <f t="shared" si="8"/>
        <v>0</v>
      </c>
    </row>
    <row r="39" spans="1:27" ht="15.75" customHeight="1" x14ac:dyDescent="0.25">
      <c r="A39" s="70">
        <f>A38+1</f>
        <v>46073</v>
      </c>
      <c r="B39" s="79">
        <f>WEEKNUM(A39, 2)</f>
        <v>8</v>
      </c>
      <c r="C39" s="71"/>
      <c r="D39" s="71"/>
      <c r="E39" s="74"/>
      <c r="F39" s="73"/>
      <c r="G39" s="73"/>
      <c r="H39" s="73">
        <f>SUM(F39:G39)</f>
        <v>0</v>
      </c>
    </row>
    <row r="40" spans="1:27" ht="15.75" customHeight="1" x14ac:dyDescent="0.25">
      <c r="A40" s="70">
        <f>A39+1</f>
        <v>46074</v>
      </c>
      <c r="B40" s="79">
        <f t="shared" ref="B40:B48" si="10">WEEKNUM(A40, 2)</f>
        <v>8</v>
      </c>
      <c r="C40" s="71"/>
      <c r="D40" s="71"/>
      <c r="E40" s="72"/>
      <c r="F40" s="73"/>
      <c r="G40" s="73"/>
      <c r="H40" s="73">
        <f>SUM(F40:G40)</f>
        <v>0</v>
      </c>
    </row>
    <row r="41" spans="1:27" ht="15.75" customHeight="1" x14ac:dyDescent="0.25">
      <c r="A41" s="70">
        <f>A40+1</f>
        <v>46075</v>
      </c>
      <c r="B41" s="79">
        <f t="shared" si="10"/>
        <v>8</v>
      </c>
      <c r="C41" s="71"/>
      <c r="D41" s="71"/>
      <c r="E41" s="74"/>
      <c r="F41" s="73"/>
      <c r="G41" s="73"/>
      <c r="H41" s="73">
        <f t="shared" ref="H41:H48" si="11">SUM(F41:G41)</f>
        <v>0</v>
      </c>
    </row>
    <row r="42" spans="1:27" s="28" customFormat="1" ht="15.75" customHeight="1" x14ac:dyDescent="0.2">
      <c r="A42" s="44" t="str">
        <f>"Total of Week "&amp;RIGHT(A32,2)+1</f>
        <v>Total of Week 8</v>
      </c>
      <c r="B42" s="80"/>
      <c r="C42" s="45"/>
      <c r="D42" s="45"/>
      <c r="E42" s="63"/>
      <c r="F42" s="46">
        <f ca="1">SUMIF($B:$E,RIGHT($A42,2),F:F)</f>
        <v>0</v>
      </c>
      <c r="G42" s="46">
        <f ca="1">SUMIF($B:$E,RIGHT($A42,2),G:G)</f>
        <v>0</v>
      </c>
      <c r="H42" s="47">
        <f ca="1">SUMIF($B:$E,RIGHT($A42,2),H:H)</f>
        <v>0</v>
      </c>
    </row>
    <row r="43" spans="1:27" ht="15.75" customHeight="1" x14ac:dyDescent="0.25">
      <c r="A43" s="22"/>
      <c r="B43" s="87"/>
      <c r="C43" s="5"/>
      <c r="D43" s="5"/>
      <c r="E43" s="65"/>
      <c r="F43" s="6"/>
      <c r="G43" s="5"/>
      <c r="H43" s="7"/>
    </row>
    <row r="44" spans="1:27" ht="15" x14ac:dyDescent="0.25">
      <c r="A44" s="40" t="s">
        <v>9</v>
      </c>
      <c r="B44" s="85" t="s">
        <v>31</v>
      </c>
      <c r="C44" s="41" t="s">
        <v>10</v>
      </c>
      <c r="D44" s="41" t="s">
        <v>11</v>
      </c>
      <c r="E44" s="42" t="s">
        <v>12</v>
      </c>
      <c r="F44" s="43" t="s">
        <v>13</v>
      </c>
      <c r="G44" s="42" t="s">
        <v>14</v>
      </c>
      <c r="H44" s="42" t="s">
        <v>15</v>
      </c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spans="1:27" ht="15.75" customHeight="1" x14ac:dyDescent="0.25">
      <c r="A45" s="70">
        <f>A41+1</f>
        <v>46076</v>
      </c>
      <c r="B45" s="79">
        <f t="shared" si="10"/>
        <v>9</v>
      </c>
      <c r="C45" s="71"/>
      <c r="D45" s="71"/>
      <c r="E45" s="72"/>
      <c r="F45" s="73"/>
      <c r="G45" s="73"/>
      <c r="H45" s="73">
        <f t="shared" si="11"/>
        <v>0</v>
      </c>
    </row>
    <row r="46" spans="1:27" ht="15.75" customHeight="1" x14ac:dyDescent="0.25">
      <c r="A46" s="70">
        <f>A45+1</f>
        <v>46077</v>
      </c>
      <c r="B46" s="79">
        <f t="shared" si="10"/>
        <v>9</v>
      </c>
      <c r="C46" s="71"/>
      <c r="D46" s="71"/>
      <c r="E46" s="74"/>
      <c r="F46" s="73"/>
      <c r="G46" s="73"/>
      <c r="H46" s="73">
        <f t="shared" si="11"/>
        <v>0</v>
      </c>
    </row>
    <row r="47" spans="1:27" ht="15.75" customHeight="1" x14ac:dyDescent="0.25">
      <c r="A47" s="70">
        <f t="shared" ref="A47:A48" si="12">A46+1</f>
        <v>46078</v>
      </c>
      <c r="B47" s="79">
        <f>WEEKNUM(A47, 2)</f>
        <v>9</v>
      </c>
      <c r="C47" s="71"/>
      <c r="D47" s="71"/>
      <c r="E47" s="72"/>
      <c r="F47" s="73"/>
      <c r="G47" s="73"/>
      <c r="H47" s="73">
        <f t="shared" si="11"/>
        <v>0</v>
      </c>
    </row>
    <row r="48" spans="1:27" ht="15.75" customHeight="1" x14ac:dyDescent="0.25">
      <c r="A48" s="70">
        <f t="shared" si="12"/>
        <v>46079</v>
      </c>
      <c r="B48" s="79">
        <f t="shared" si="10"/>
        <v>9</v>
      </c>
      <c r="C48" s="71"/>
      <c r="D48" s="71"/>
      <c r="E48" s="72"/>
      <c r="F48" s="73"/>
      <c r="G48" s="73"/>
      <c r="H48" s="73">
        <f t="shared" si="11"/>
        <v>0</v>
      </c>
    </row>
    <row r="49" spans="1:27" ht="15.75" customHeight="1" x14ac:dyDescent="0.25">
      <c r="A49" s="70">
        <f>A48+1</f>
        <v>46080</v>
      </c>
      <c r="B49" s="79">
        <f>WEEKNUM(A49, 2)</f>
        <v>9</v>
      </c>
      <c r="C49" s="71"/>
      <c r="D49" s="71"/>
      <c r="E49" s="74"/>
      <c r="F49" s="73"/>
      <c r="G49" s="73"/>
      <c r="H49" s="73">
        <f>SUM(F49:G49)</f>
        <v>0</v>
      </c>
    </row>
    <row r="50" spans="1:27" ht="15.75" customHeight="1" x14ac:dyDescent="0.25">
      <c r="A50" s="70">
        <f>A49+1</f>
        <v>46081</v>
      </c>
      <c r="B50" s="79">
        <f t="shared" ref="B50" si="13">WEEKNUM(A50, 2)</f>
        <v>9</v>
      </c>
      <c r="C50" s="71"/>
      <c r="D50" s="71"/>
      <c r="E50" s="72"/>
      <c r="F50" s="73"/>
      <c r="G50" s="73"/>
      <c r="H50" s="73">
        <f>SUM(F50:G50)</f>
        <v>0</v>
      </c>
    </row>
    <row r="51" spans="1:27" s="28" customFormat="1" ht="15.75" customHeight="1" x14ac:dyDescent="0.2">
      <c r="A51" s="44" t="str">
        <f>"Total of Week "&amp;RIGHT(A42,2)+1</f>
        <v>Total of Week 9</v>
      </c>
      <c r="B51" s="80"/>
      <c r="C51" s="45"/>
      <c r="D51" s="45"/>
      <c r="E51" s="63"/>
      <c r="F51" s="46">
        <f ca="1">SUMIF($B:$E,RIGHT($A51,2),F:F)</f>
        <v>0</v>
      </c>
      <c r="G51" s="46">
        <f ca="1">SUMIF($B:$E,RIGHT($A51,2),G:G)</f>
        <v>0</v>
      </c>
      <c r="H51" s="47">
        <f ca="1">SUMIF($B:$E,RIGHT($A51,2),H:H)</f>
        <v>0</v>
      </c>
    </row>
    <row r="52" spans="1:27" ht="12" customHeight="1" x14ac:dyDescent="0.25">
      <c r="A52" s="23"/>
      <c r="B52" s="84"/>
      <c r="C52" s="8"/>
      <c r="D52" s="8"/>
      <c r="E52" s="66"/>
      <c r="F52" s="9"/>
      <c r="G52" s="9"/>
      <c r="H52" s="10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 ht="15.75" customHeight="1" x14ac:dyDescent="0.25">
      <c r="A53" s="24" t="s">
        <v>16</v>
      </c>
      <c r="B53" s="88"/>
      <c r="C53" s="11"/>
      <c r="D53" s="11"/>
      <c r="E53" s="67"/>
      <c r="F53" s="12"/>
      <c r="G53" s="11"/>
      <c r="H53" s="13">
        <f ca="1">SUMIF(A7:A52,"*Total of week*",H7:H52)</f>
        <v>0</v>
      </c>
      <c r="I53" s="3"/>
      <c r="J53" s="3"/>
      <c r="K53" s="3"/>
      <c r="L53" s="3"/>
      <c r="M53" s="3"/>
      <c r="N53" s="3"/>
      <c r="O53" s="3"/>
      <c r="P53" s="3"/>
      <c r="Q53" s="3"/>
      <c r="R53" s="3"/>
    </row>
    <row r="54" spans="1:27" ht="15.75" customHeight="1" x14ac:dyDescent="0.25">
      <c r="E54" s="4"/>
      <c r="F54" s="15"/>
      <c r="O54" s="3"/>
      <c r="P54" s="3"/>
      <c r="R54" s="3"/>
    </row>
    <row r="55" spans="1:27" ht="15.75" customHeight="1" x14ac:dyDescent="0.25">
      <c r="E55" s="4"/>
      <c r="F55" s="15"/>
      <c r="O55" s="3"/>
    </row>
    <row r="56" spans="1:27" ht="15.75" customHeight="1" x14ac:dyDescent="0.25">
      <c r="A56" s="26"/>
      <c r="B56" s="90"/>
      <c r="C56" s="17"/>
      <c r="D56" s="16"/>
      <c r="E56" s="4"/>
      <c r="F56" s="15"/>
    </row>
    <row r="57" spans="1:27" ht="15.75" customHeight="1" x14ac:dyDescent="0.25">
      <c r="A57" s="26"/>
      <c r="B57" s="90"/>
      <c r="C57" s="16"/>
      <c r="D57" s="16"/>
      <c r="E57" s="68"/>
      <c r="F57" s="18"/>
      <c r="G57" s="16"/>
      <c r="H57" s="3"/>
    </row>
    <row r="58" spans="1:27" ht="15.75" customHeight="1" x14ac:dyDescent="0.25">
      <c r="A58" s="26"/>
      <c r="B58" s="90"/>
      <c r="C58" s="19"/>
      <c r="D58" s="19"/>
      <c r="E58" s="4"/>
      <c r="F58" s="15"/>
    </row>
    <row r="59" spans="1:27" s="28" customFormat="1" ht="15.75" customHeight="1" x14ac:dyDescent="0.25">
      <c r="A59" s="36"/>
      <c r="B59" s="86"/>
      <c r="C59" s="29"/>
      <c r="D59" s="29"/>
      <c r="E59" s="64"/>
      <c r="F59" s="33"/>
      <c r="G59" s="34"/>
      <c r="H59" s="35"/>
    </row>
    <row r="60" spans="1:27" ht="15.75" customHeight="1" x14ac:dyDescent="0.25">
      <c r="C60" s="20"/>
      <c r="D60" s="20"/>
      <c r="E60" s="4"/>
      <c r="F60" s="15"/>
    </row>
    <row r="61" spans="1:27" ht="15.75" customHeight="1" x14ac:dyDescent="0.25">
      <c r="A61" s="26"/>
      <c r="B61" s="90"/>
      <c r="C61" s="19"/>
      <c r="D61" s="19"/>
      <c r="E61" s="4"/>
      <c r="F61" s="15"/>
    </row>
    <row r="62" spans="1:27" ht="15.75" customHeight="1" x14ac:dyDescent="0.25">
      <c r="A62" s="26"/>
      <c r="B62" s="90"/>
      <c r="C62" s="19"/>
      <c r="D62" s="19"/>
      <c r="E62" s="4"/>
      <c r="F62" s="15"/>
    </row>
    <row r="63" spans="1:27" ht="15.75" customHeight="1" x14ac:dyDescent="0.2"/>
    <row r="64" spans="1:27" ht="15.75" customHeight="1" x14ac:dyDescent="0.2"/>
    <row r="65" spans="2:27" ht="15.75" customHeight="1" x14ac:dyDescent="0.2"/>
    <row r="66" spans="2:27" ht="15.75" customHeight="1" x14ac:dyDescent="0.2"/>
    <row r="67" spans="2:27" ht="15.75" customHeight="1" x14ac:dyDescent="0.2"/>
    <row r="68" spans="2:27" ht="15.75" customHeight="1" x14ac:dyDescent="0.2"/>
    <row r="69" spans="2:27" ht="15.75" customHeight="1" x14ac:dyDescent="0.2"/>
    <row r="70" spans="2:27" ht="15.75" customHeight="1" x14ac:dyDescent="0.2"/>
    <row r="71" spans="2:27" ht="15.75" customHeight="1" x14ac:dyDescent="0.2"/>
    <row r="72" spans="2:27" ht="15.75" customHeight="1" x14ac:dyDescent="0.2"/>
    <row r="73" spans="2:27" ht="15.75" customHeight="1" x14ac:dyDescent="0.2"/>
    <row r="74" spans="2:27" ht="15.75" customHeight="1" x14ac:dyDescent="0.2"/>
    <row r="75" spans="2:27" ht="15.75" customHeight="1" x14ac:dyDescent="0.2"/>
    <row r="76" spans="2:27" ht="15.75" customHeight="1" x14ac:dyDescent="0.2"/>
    <row r="77" spans="2:27" ht="15.75" customHeight="1" x14ac:dyDescent="0.2"/>
    <row r="78" spans="2:27" s="25" customFormat="1" ht="15.75" customHeight="1" x14ac:dyDescent="0.2">
      <c r="B78" s="89"/>
      <c r="C78"/>
      <c r="D78"/>
      <c r="E78" s="69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2:27" s="25" customFormat="1" ht="15.75" customHeight="1" x14ac:dyDescent="0.2">
      <c r="B79" s="89"/>
      <c r="C79"/>
      <c r="D79"/>
      <c r="E79" s="6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</row>
    <row r="80" spans="2:27" s="25" customFormat="1" ht="15.75" customHeight="1" x14ac:dyDescent="0.2">
      <c r="B80" s="89"/>
      <c r="C80"/>
      <c r="D80"/>
      <c r="E80" s="69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</row>
    <row r="81" spans="2:27" s="25" customFormat="1" ht="15.75" customHeight="1" x14ac:dyDescent="0.2">
      <c r="B81" s="89"/>
      <c r="C81"/>
      <c r="D81"/>
      <c r="E81" s="69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</row>
    <row r="82" spans="2:27" s="25" customFormat="1" ht="15.75" customHeight="1" x14ac:dyDescent="0.2">
      <c r="B82" s="89"/>
      <c r="C82"/>
      <c r="D82"/>
      <c r="E82" s="69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2:27" s="25" customFormat="1" ht="15.75" customHeight="1" x14ac:dyDescent="0.2">
      <c r="B83" s="89"/>
      <c r="C83"/>
      <c r="D83"/>
      <c r="E83" s="69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</row>
    <row r="84" spans="2:27" s="25" customFormat="1" ht="15.75" customHeight="1" x14ac:dyDescent="0.2">
      <c r="B84" s="89"/>
      <c r="C84"/>
      <c r="D84"/>
      <c r="E84" s="69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</row>
    <row r="85" spans="2:27" s="25" customFormat="1" ht="15.75" customHeight="1" x14ac:dyDescent="0.2">
      <c r="B85" s="89"/>
      <c r="C85"/>
      <c r="D85"/>
      <c r="E85" s="69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</row>
    <row r="86" spans="2:27" s="25" customFormat="1" ht="15.75" customHeight="1" x14ac:dyDescent="0.2">
      <c r="B86" s="89"/>
      <c r="C86"/>
      <c r="D86"/>
      <c r="E86" s="69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</row>
    <row r="87" spans="2:27" s="25" customFormat="1" ht="15.75" customHeight="1" x14ac:dyDescent="0.2">
      <c r="B87" s="89"/>
      <c r="C87"/>
      <c r="D87"/>
      <c r="E87" s="69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</row>
    <row r="88" spans="2:27" s="25" customFormat="1" ht="15.75" customHeight="1" x14ac:dyDescent="0.2">
      <c r="B88" s="89"/>
      <c r="C88"/>
      <c r="D88"/>
      <c r="E88" s="69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</row>
    <row r="89" spans="2:27" s="25" customFormat="1" ht="15.75" customHeight="1" x14ac:dyDescent="0.2">
      <c r="B89" s="89"/>
      <c r="C89"/>
      <c r="D89"/>
      <c r="E89" s="6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</row>
    <row r="90" spans="2:27" s="25" customFormat="1" ht="15.75" customHeight="1" x14ac:dyDescent="0.2">
      <c r="B90" s="89"/>
      <c r="C90"/>
      <c r="D90"/>
      <c r="E90" s="69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2:27" s="25" customFormat="1" ht="15.75" customHeight="1" x14ac:dyDescent="0.2">
      <c r="B91" s="89"/>
      <c r="C91"/>
      <c r="D91"/>
      <c r="E91" s="69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</row>
    <row r="92" spans="2:27" s="25" customFormat="1" ht="15.75" customHeight="1" x14ac:dyDescent="0.2">
      <c r="B92" s="89"/>
      <c r="C92"/>
      <c r="D92"/>
      <c r="E92" s="69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2:27" s="25" customFormat="1" ht="15.75" customHeight="1" x14ac:dyDescent="0.2">
      <c r="B93" s="89"/>
      <c r="C93"/>
      <c r="D93"/>
      <c r="E93" s="69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</row>
    <row r="94" spans="2:27" s="25" customFormat="1" ht="15.75" customHeight="1" x14ac:dyDescent="0.2">
      <c r="B94" s="89"/>
      <c r="C94"/>
      <c r="D94"/>
      <c r="E94" s="69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</row>
    <row r="95" spans="2:27" s="25" customFormat="1" ht="15.75" customHeight="1" x14ac:dyDescent="0.2">
      <c r="B95" s="89"/>
      <c r="C95"/>
      <c r="D95"/>
      <c r="E95" s="69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</row>
    <row r="96" spans="2:27" s="25" customFormat="1" ht="15.75" customHeight="1" x14ac:dyDescent="0.2">
      <c r="B96" s="89"/>
      <c r="C96"/>
      <c r="D96"/>
      <c r="E96" s="69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</row>
    <row r="97" spans="2:27" s="25" customFormat="1" ht="15.75" customHeight="1" x14ac:dyDescent="0.2">
      <c r="B97" s="89"/>
      <c r="C97"/>
      <c r="D97"/>
      <c r="E97" s="69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</row>
    <row r="98" spans="2:27" s="25" customFormat="1" ht="15.75" customHeight="1" x14ac:dyDescent="0.2">
      <c r="B98" s="89"/>
      <c r="C98"/>
      <c r="D98"/>
      <c r="E98" s="69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</row>
    <row r="99" spans="2:27" s="25" customFormat="1" ht="15.75" customHeight="1" x14ac:dyDescent="0.2">
      <c r="B99" s="89"/>
      <c r="C99"/>
      <c r="D99"/>
      <c r="E99" s="6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</row>
    <row r="100" spans="2:27" s="25" customFormat="1" ht="15.75" customHeight="1" x14ac:dyDescent="0.2">
      <c r="B100" s="89"/>
      <c r="C100"/>
      <c r="D100"/>
      <c r="E100" s="69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</row>
    <row r="101" spans="2:27" s="25" customFormat="1" ht="15.75" customHeight="1" x14ac:dyDescent="0.2">
      <c r="B101" s="89"/>
      <c r="C101"/>
      <c r="D101"/>
      <c r="E101" s="69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</row>
    <row r="102" spans="2:27" s="25" customFormat="1" ht="15.75" customHeight="1" x14ac:dyDescent="0.2">
      <c r="B102" s="89"/>
      <c r="C102"/>
      <c r="D102"/>
      <c r="E102" s="69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2:27" s="25" customFormat="1" ht="15.75" customHeight="1" x14ac:dyDescent="0.2">
      <c r="B103" s="89"/>
      <c r="C103"/>
      <c r="D103"/>
      <c r="E103" s="69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</row>
    <row r="104" spans="2:27" s="25" customFormat="1" ht="15.75" customHeight="1" x14ac:dyDescent="0.2">
      <c r="B104" s="89"/>
      <c r="C104"/>
      <c r="D104"/>
      <c r="E104" s="69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</row>
    <row r="105" spans="2:27" s="25" customFormat="1" ht="15.75" customHeight="1" x14ac:dyDescent="0.2">
      <c r="B105" s="89"/>
      <c r="C105"/>
      <c r="D105"/>
      <c r="E105" s="69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</row>
    <row r="106" spans="2:27" s="25" customFormat="1" ht="15.75" customHeight="1" x14ac:dyDescent="0.2">
      <c r="B106" s="89"/>
      <c r="C106"/>
      <c r="D106"/>
      <c r="E106" s="69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</row>
    <row r="107" spans="2:27" s="25" customFormat="1" ht="15.75" customHeight="1" x14ac:dyDescent="0.2">
      <c r="B107" s="89"/>
      <c r="C107"/>
      <c r="D107"/>
      <c r="E107" s="69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</row>
    <row r="108" spans="2:27" s="25" customFormat="1" ht="15.75" customHeight="1" x14ac:dyDescent="0.2">
      <c r="B108" s="89"/>
      <c r="C108"/>
      <c r="D108"/>
      <c r="E108" s="69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</row>
    <row r="109" spans="2:27" s="25" customFormat="1" ht="15.75" customHeight="1" x14ac:dyDescent="0.2">
      <c r="B109" s="89"/>
      <c r="C109"/>
      <c r="D109"/>
      <c r="E109" s="6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</row>
    <row r="110" spans="2:27" s="25" customFormat="1" ht="15.75" customHeight="1" x14ac:dyDescent="0.2">
      <c r="B110" s="89"/>
      <c r="C110"/>
      <c r="D110"/>
      <c r="E110" s="69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</row>
    <row r="111" spans="2:27" s="25" customFormat="1" ht="15.75" customHeight="1" x14ac:dyDescent="0.2">
      <c r="B111" s="89"/>
      <c r="C111"/>
      <c r="D111"/>
      <c r="E111" s="69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2:27" s="25" customFormat="1" ht="15.75" customHeight="1" x14ac:dyDescent="0.2">
      <c r="B112" s="89"/>
      <c r="C112"/>
      <c r="D112"/>
      <c r="E112" s="69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</row>
    <row r="113" spans="2:27" s="25" customFormat="1" ht="15.75" customHeight="1" x14ac:dyDescent="0.2">
      <c r="B113" s="89"/>
      <c r="C113"/>
      <c r="D113"/>
      <c r="E113" s="69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</row>
    <row r="114" spans="2:27" s="25" customFormat="1" ht="15.75" customHeight="1" x14ac:dyDescent="0.2">
      <c r="B114" s="89"/>
      <c r="C114"/>
      <c r="D114"/>
      <c r="E114" s="69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2:27" s="25" customFormat="1" ht="15.75" customHeight="1" x14ac:dyDescent="0.2">
      <c r="B115" s="89"/>
      <c r="C115"/>
      <c r="D115"/>
      <c r="E115" s="69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</row>
    <row r="116" spans="2:27" s="25" customFormat="1" ht="15.75" customHeight="1" x14ac:dyDescent="0.2">
      <c r="B116" s="89"/>
      <c r="C116"/>
      <c r="D116"/>
      <c r="E116" s="69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</row>
    <row r="117" spans="2:27" s="25" customFormat="1" ht="15.75" customHeight="1" x14ac:dyDescent="0.2">
      <c r="B117" s="89"/>
      <c r="C117"/>
      <c r="D117"/>
      <c r="E117" s="69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</row>
    <row r="118" spans="2:27" s="25" customFormat="1" ht="15.75" customHeight="1" x14ac:dyDescent="0.2">
      <c r="B118" s="89"/>
      <c r="C118"/>
      <c r="D118"/>
      <c r="E118" s="69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</row>
    <row r="119" spans="2:27" s="25" customFormat="1" ht="15.75" customHeight="1" x14ac:dyDescent="0.2">
      <c r="B119" s="89"/>
      <c r="C119"/>
      <c r="D119"/>
      <c r="E119" s="6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</row>
    <row r="120" spans="2:27" s="25" customFormat="1" ht="15.75" customHeight="1" x14ac:dyDescent="0.2">
      <c r="B120" s="89"/>
      <c r="C120"/>
      <c r="D120"/>
      <c r="E120" s="69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</row>
    <row r="121" spans="2:27" s="25" customFormat="1" ht="15.75" customHeight="1" x14ac:dyDescent="0.2">
      <c r="B121" s="89"/>
      <c r="C121"/>
      <c r="D121"/>
      <c r="E121" s="69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</row>
    <row r="122" spans="2:27" s="25" customFormat="1" ht="15.75" customHeight="1" x14ac:dyDescent="0.2">
      <c r="B122" s="89"/>
      <c r="C122"/>
      <c r="D122"/>
      <c r="E122" s="69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</row>
    <row r="123" spans="2:27" s="25" customFormat="1" ht="15.75" customHeight="1" x14ac:dyDescent="0.2">
      <c r="B123" s="89"/>
      <c r="C123"/>
      <c r="D123"/>
      <c r="E123" s="69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2:27" s="25" customFormat="1" ht="15.75" customHeight="1" x14ac:dyDescent="0.2">
      <c r="B124" s="89"/>
      <c r="C124"/>
      <c r="D124"/>
      <c r="E124" s="69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</row>
    <row r="125" spans="2:27" s="25" customFormat="1" ht="15.75" customHeight="1" x14ac:dyDescent="0.2">
      <c r="B125" s="89"/>
      <c r="C125"/>
      <c r="D125"/>
      <c r="E125" s="69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</row>
    <row r="126" spans="2:27" s="25" customFormat="1" ht="15.75" customHeight="1" x14ac:dyDescent="0.2">
      <c r="B126" s="89"/>
      <c r="C126"/>
      <c r="D126"/>
      <c r="E126" s="69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</row>
    <row r="127" spans="2:27" s="25" customFormat="1" ht="15.75" customHeight="1" x14ac:dyDescent="0.2">
      <c r="B127" s="89"/>
      <c r="C127"/>
      <c r="D127"/>
      <c r="E127" s="69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</row>
    <row r="128" spans="2:27" s="25" customFormat="1" ht="15.75" customHeight="1" x14ac:dyDescent="0.2">
      <c r="B128" s="89"/>
      <c r="C128"/>
      <c r="D128"/>
      <c r="E128" s="69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</row>
    <row r="129" spans="2:27" s="25" customFormat="1" ht="15.75" customHeight="1" x14ac:dyDescent="0.2">
      <c r="B129" s="89"/>
      <c r="C129"/>
      <c r="D129"/>
      <c r="E129" s="6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</row>
    <row r="130" spans="2:27" s="25" customFormat="1" ht="15.75" customHeight="1" x14ac:dyDescent="0.2">
      <c r="B130" s="89"/>
      <c r="C130"/>
      <c r="D130"/>
      <c r="E130" s="69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</row>
    <row r="131" spans="2:27" s="25" customFormat="1" ht="15.75" customHeight="1" x14ac:dyDescent="0.2">
      <c r="B131" s="89"/>
      <c r="C131"/>
      <c r="D131"/>
      <c r="E131" s="69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</row>
    <row r="132" spans="2:27" s="25" customFormat="1" ht="15.75" customHeight="1" x14ac:dyDescent="0.2">
      <c r="B132" s="89"/>
      <c r="C132"/>
      <c r="D132"/>
      <c r="E132" s="69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</row>
    <row r="133" spans="2:27" s="25" customFormat="1" ht="15.75" customHeight="1" x14ac:dyDescent="0.2">
      <c r="B133" s="89"/>
      <c r="C133"/>
      <c r="D133"/>
      <c r="E133" s="69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</row>
    <row r="134" spans="2:27" s="25" customFormat="1" ht="15.75" customHeight="1" x14ac:dyDescent="0.2">
      <c r="B134" s="89"/>
      <c r="C134"/>
      <c r="D134"/>
      <c r="E134" s="69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</row>
    <row r="135" spans="2:27" s="25" customFormat="1" ht="15.75" customHeight="1" x14ac:dyDescent="0.2">
      <c r="B135" s="89"/>
      <c r="C135"/>
      <c r="D135"/>
      <c r="E135" s="69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</row>
    <row r="136" spans="2:27" s="25" customFormat="1" ht="15.75" customHeight="1" x14ac:dyDescent="0.2">
      <c r="B136" s="89"/>
      <c r="C136"/>
      <c r="D136"/>
      <c r="E136" s="69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</row>
    <row r="137" spans="2:27" s="25" customFormat="1" ht="15.75" customHeight="1" x14ac:dyDescent="0.2">
      <c r="B137" s="89"/>
      <c r="C137"/>
      <c r="D137"/>
      <c r="E137" s="69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</row>
    <row r="138" spans="2:27" s="25" customFormat="1" ht="15.75" customHeight="1" x14ac:dyDescent="0.2">
      <c r="B138" s="89"/>
      <c r="C138"/>
      <c r="D138"/>
      <c r="E138" s="69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</row>
    <row r="139" spans="2:27" s="25" customFormat="1" ht="15.75" customHeight="1" x14ac:dyDescent="0.2">
      <c r="B139" s="89"/>
      <c r="C139"/>
      <c r="D139"/>
      <c r="E139" s="6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</row>
    <row r="140" spans="2:27" s="25" customFormat="1" ht="15.75" customHeight="1" x14ac:dyDescent="0.2">
      <c r="B140" s="89"/>
      <c r="C140"/>
      <c r="D140"/>
      <c r="E140" s="69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</row>
    <row r="141" spans="2:27" s="25" customFormat="1" ht="15.75" customHeight="1" x14ac:dyDescent="0.2">
      <c r="B141" s="89"/>
      <c r="C141"/>
      <c r="D141"/>
      <c r="E141" s="69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</row>
    <row r="142" spans="2:27" s="25" customFormat="1" ht="15.75" customHeight="1" x14ac:dyDescent="0.2">
      <c r="B142" s="89"/>
      <c r="C142"/>
      <c r="D142"/>
      <c r="E142" s="69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</row>
    <row r="143" spans="2:27" s="25" customFormat="1" ht="15.75" customHeight="1" x14ac:dyDescent="0.2">
      <c r="B143" s="89"/>
      <c r="C143"/>
      <c r="D143"/>
      <c r="E143" s="69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</row>
    <row r="144" spans="2:27" s="25" customFormat="1" ht="15.75" customHeight="1" x14ac:dyDescent="0.2">
      <c r="B144" s="89"/>
      <c r="C144"/>
      <c r="D144"/>
      <c r="E144" s="69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</row>
    <row r="145" spans="2:27" s="25" customFormat="1" ht="15.75" customHeight="1" x14ac:dyDescent="0.2">
      <c r="B145" s="89"/>
      <c r="C145"/>
      <c r="D145"/>
      <c r="E145" s="69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</row>
    <row r="146" spans="2:27" s="25" customFormat="1" ht="15.75" customHeight="1" x14ac:dyDescent="0.2">
      <c r="B146" s="89"/>
      <c r="C146"/>
      <c r="D146"/>
      <c r="E146" s="69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</row>
    <row r="147" spans="2:27" s="25" customFormat="1" ht="15.75" customHeight="1" x14ac:dyDescent="0.2">
      <c r="B147" s="89"/>
      <c r="C147"/>
      <c r="D147"/>
      <c r="E147" s="69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</row>
    <row r="148" spans="2:27" s="25" customFormat="1" ht="15.75" customHeight="1" x14ac:dyDescent="0.2">
      <c r="B148" s="89"/>
      <c r="C148"/>
      <c r="D148"/>
      <c r="E148" s="69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</row>
    <row r="149" spans="2:27" s="25" customFormat="1" ht="15.75" customHeight="1" x14ac:dyDescent="0.2">
      <c r="B149" s="89"/>
      <c r="C149"/>
      <c r="D149"/>
      <c r="E149" s="6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</row>
    <row r="150" spans="2:27" s="25" customFormat="1" ht="15.75" customHeight="1" x14ac:dyDescent="0.2">
      <c r="B150" s="89"/>
      <c r="C150"/>
      <c r="D150"/>
      <c r="E150" s="69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</row>
    <row r="151" spans="2:27" s="25" customFormat="1" ht="15.75" customHeight="1" x14ac:dyDescent="0.2">
      <c r="B151" s="89"/>
      <c r="C151"/>
      <c r="D151"/>
      <c r="E151" s="69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</row>
    <row r="152" spans="2:27" s="25" customFormat="1" ht="15.75" customHeight="1" x14ac:dyDescent="0.2">
      <c r="B152" s="89"/>
      <c r="C152"/>
      <c r="D152"/>
      <c r="E152" s="69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</row>
    <row r="153" spans="2:27" s="25" customFormat="1" ht="15.75" customHeight="1" x14ac:dyDescent="0.2">
      <c r="B153" s="89"/>
      <c r="C153"/>
      <c r="D153"/>
      <c r="E153" s="69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</row>
    <row r="154" spans="2:27" s="25" customFormat="1" ht="15.75" customHeight="1" x14ac:dyDescent="0.2">
      <c r="B154" s="89"/>
      <c r="C154"/>
      <c r="D154"/>
      <c r="E154" s="69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</row>
    <row r="155" spans="2:27" s="25" customFormat="1" ht="15.75" customHeight="1" x14ac:dyDescent="0.2">
      <c r="B155" s="89"/>
      <c r="C155"/>
      <c r="D155"/>
      <c r="E155" s="69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</row>
    <row r="156" spans="2:27" s="25" customFormat="1" ht="15.75" customHeight="1" x14ac:dyDescent="0.2">
      <c r="B156" s="89"/>
      <c r="C156"/>
      <c r="D156"/>
      <c r="E156" s="69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</row>
    <row r="157" spans="2:27" s="25" customFormat="1" ht="15.75" customHeight="1" x14ac:dyDescent="0.2">
      <c r="B157" s="89"/>
      <c r="C157"/>
      <c r="D157"/>
      <c r="E157" s="69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</row>
    <row r="158" spans="2:27" s="25" customFormat="1" ht="15.75" customHeight="1" x14ac:dyDescent="0.2">
      <c r="B158" s="89"/>
      <c r="C158"/>
      <c r="D158"/>
      <c r="E158" s="69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</row>
    <row r="159" spans="2:27" s="25" customFormat="1" ht="15.75" customHeight="1" x14ac:dyDescent="0.2">
      <c r="B159" s="89"/>
      <c r="C159"/>
      <c r="D159"/>
      <c r="E159" s="6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</row>
    <row r="160" spans="2:27" s="25" customFormat="1" ht="15.75" customHeight="1" x14ac:dyDescent="0.2">
      <c r="B160" s="89"/>
      <c r="C160"/>
      <c r="D160"/>
      <c r="E160" s="69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</row>
    <row r="161" spans="2:27" s="25" customFormat="1" ht="15.75" customHeight="1" x14ac:dyDescent="0.2">
      <c r="B161" s="89"/>
      <c r="C161"/>
      <c r="D161"/>
      <c r="E161" s="69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</row>
    <row r="162" spans="2:27" s="25" customFormat="1" ht="15.75" customHeight="1" x14ac:dyDescent="0.2">
      <c r="B162" s="89"/>
      <c r="C162"/>
      <c r="D162"/>
      <c r="E162" s="69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</row>
    <row r="163" spans="2:27" s="25" customFormat="1" ht="15.75" customHeight="1" x14ac:dyDescent="0.2">
      <c r="B163" s="89"/>
      <c r="C163"/>
      <c r="D163"/>
      <c r="E163" s="69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</row>
    <row r="164" spans="2:27" s="25" customFormat="1" ht="15.75" customHeight="1" x14ac:dyDescent="0.2">
      <c r="B164" s="89"/>
      <c r="C164"/>
      <c r="D164"/>
      <c r="E164" s="69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</row>
    <row r="165" spans="2:27" s="25" customFormat="1" ht="15.75" customHeight="1" x14ac:dyDescent="0.2">
      <c r="B165" s="89"/>
      <c r="C165"/>
      <c r="D165"/>
      <c r="E165" s="69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</row>
    <row r="166" spans="2:27" s="25" customFormat="1" ht="15.75" customHeight="1" x14ac:dyDescent="0.2">
      <c r="B166" s="89"/>
      <c r="C166"/>
      <c r="D166"/>
      <c r="E166" s="69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</row>
    <row r="167" spans="2:27" s="25" customFormat="1" ht="15.75" customHeight="1" x14ac:dyDescent="0.2">
      <c r="B167" s="89"/>
      <c r="C167"/>
      <c r="D167"/>
      <c r="E167" s="69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</row>
    <row r="168" spans="2:27" s="25" customFormat="1" ht="15.75" customHeight="1" x14ac:dyDescent="0.2">
      <c r="B168" s="89"/>
      <c r="C168"/>
      <c r="D168"/>
      <c r="E168" s="69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</row>
    <row r="169" spans="2:27" s="25" customFormat="1" ht="15.75" customHeight="1" x14ac:dyDescent="0.2">
      <c r="B169" s="89"/>
      <c r="C169"/>
      <c r="D169"/>
      <c r="E169" s="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</row>
    <row r="170" spans="2:27" s="25" customFormat="1" ht="15.75" customHeight="1" x14ac:dyDescent="0.2">
      <c r="B170" s="89"/>
      <c r="C170"/>
      <c r="D170"/>
      <c r="E170" s="69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</row>
    <row r="171" spans="2:27" s="25" customFormat="1" ht="15.75" customHeight="1" x14ac:dyDescent="0.2">
      <c r="B171" s="89"/>
      <c r="C171"/>
      <c r="D171"/>
      <c r="E171" s="69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</row>
    <row r="172" spans="2:27" s="25" customFormat="1" ht="15.75" customHeight="1" x14ac:dyDescent="0.2">
      <c r="B172" s="89"/>
      <c r="C172"/>
      <c r="D172"/>
      <c r="E172" s="69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</row>
    <row r="173" spans="2:27" s="25" customFormat="1" ht="15.75" customHeight="1" x14ac:dyDescent="0.2">
      <c r="B173" s="89"/>
      <c r="C173"/>
      <c r="D173"/>
      <c r="E173" s="69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</row>
    <row r="174" spans="2:27" s="25" customFormat="1" ht="15.75" customHeight="1" x14ac:dyDescent="0.2">
      <c r="B174" s="89"/>
      <c r="C174"/>
      <c r="D174"/>
      <c r="E174" s="69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</row>
    <row r="175" spans="2:27" s="25" customFormat="1" ht="15.75" customHeight="1" x14ac:dyDescent="0.2">
      <c r="B175" s="89"/>
      <c r="C175"/>
      <c r="D175"/>
      <c r="E175" s="69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</row>
    <row r="176" spans="2:27" s="25" customFormat="1" ht="15.75" customHeight="1" x14ac:dyDescent="0.2">
      <c r="B176" s="89"/>
      <c r="C176"/>
      <c r="D176"/>
      <c r="E176" s="69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</row>
    <row r="177" spans="2:27" s="25" customFormat="1" ht="15.75" customHeight="1" x14ac:dyDescent="0.2">
      <c r="B177" s="89"/>
      <c r="C177"/>
      <c r="D177"/>
      <c r="E177" s="69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</row>
    <row r="178" spans="2:27" s="25" customFormat="1" ht="15.75" customHeight="1" x14ac:dyDescent="0.2">
      <c r="B178" s="89"/>
      <c r="C178"/>
      <c r="D178"/>
      <c r="E178" s="69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</row>
    <row r="179" spans="2:27" s="25" customFormat="1" ht="15.75" customHeight="1" x14ac:dyDescent="0.2">
      <c r="B179" s="89"/>
      <c r="C179"/>
      <c r="D179"/>
      <c r="E179" s="6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</row>
    <row r="180" spans="2:27" s="25" customFormat="1" ht="15.75" customHeight="1" x14ac:dyDescent="0.2">
      <c r="B180" s="89"/>
      <c r="C180"/>
      <c r="D180"/>
      <c r="E180" s="69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</row>
    <row r="181" spans="2:27" s="25" customFormat="1" ht="15.75" customHeight="1" x14ac:dyDescent="0.2">
      <c r="B181" s="89"/>
      <c r="C181"/>
      <c r="D181"/>
      <c r="E181" s="69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</row>
    <row r="182" spans="2:27" s="25" customFormat="1" ht="15.75" customHeight="1" x14ac:dyDescent="0.2">
      <c r="B182" s="89"/>
      <c r="C182"/>
      <c r="D182"/>
      <c r="E182" s="69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</row>
    <row r="183" spans="2:27" s="25" customFormat="1" ht="15.75" customHeight="1" x14ac:dyDescent="0.2">
      <c r="B183" s="89"/>
      <c r="C183"/>
      <c r="D183"/>
      <c r="E183" s="69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</row>
    <row r="184" spans="2:27" s="25" customFormat="1" ht="15.75" customHeight="1" x14ac:dyDescent="0.2">
      <c r="B184" s="89"/>
      <c r="C184"/>
      <c r="D184"/>
      <c r="E184" s="69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</row>
    <row r="185" spans="2:27" s="25" customFormat="1" ht="15.75" customHeight="1" x14ac:dyDescent="0.2">
      <c r="B185" s="89"/>
      <c r="C185"/>
      <c r="D185"/>
      <c r="E185" s="69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</row>
    <row r="186" spans="2:27" s="25" customFormat="1" ht="15.75" customHeight="1" x14ac:dyDescent="0.2">
      <c r="B186" s="89"/>
      <c r="C186"/>
      <c r="D186"/>
      <c r="E186" s="69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</row>
    <row r="187" spans="2:27" s="25" customFormat="1" ht="15.75" customHeight="1" x14ac:dyDescent="0.2">
      <c r="B187" s="89"/>
      <c r="C187"/>
      <c r="D187"/>
      <c r="E187" s="69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</row>
    <row r="188" spans="2:27" s="25" customFormat="1" ht="15.75" customHeight="1" x14ac:dyDescent="0.2">
      <c r="B188" s="89"/>
      <c r="C188"/>
      <c r="D188"/>
      <c r="E188" s="69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</row>
    <row r="189" spans="2:27" s="25" customFormat="1" ht="15.75" customHeight="1" x14ac:dyDescent="0.2">
      <c r="B189" s="89"/>
      <c r="C189"/>
      <c r="D189"/>
      <c r="E189" s="6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</row>
    <row r="190" spans="2:27" s="25" customFormat="1" ht="15.75" customHeight="1" x14ac:dyDescent="0.2">
      <c r="B190" s="89"/>
      <c r="C190"/>
      <c r="D190"/>
      <c r="E190" s="69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</row>
    <row r="191" spans="2:27" s="25" customFormat="1" ht="15.75" customHeight="1" x14ac:dyDescent="0.2">
      <c r="B191" s="89"/>
      <c r="C191"/>
      <c r="D191"/>
      <c r="E191" s="69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</row>
    <row r="192" spans="2:27" s="25" customFormat="1" ht="15.75" customHeight="1" x14ac:dyDescent="0.2">
      <c r="B192" s="89"/>
      <c r="C192"/>
      <c r="D192"/>
      <c r="E192" s="69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</row>
    <row r="193" spans="2:27" s="25" customFormat="1" ht="15.75" customHeight="1" x14ac:dyDescent="0.2">
      <c r="B193" s="89"/>
      <c r="C193"/>
      <c r="D193"/>
      <c r="E193" s="69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</row>
    <row r="194" spans="2:27" s="25" customFormat="1" ht="15.75" customHeight="1" x14ac:dyDescent="0.2">
      <c r="B194" s="89"/>
      <c r="C194"/>
      <c r="D194"/>
      <c r="E194" s="69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</row>
    <row r="195" spans="2:27" s="25" customFormat="1" ht="15.75" customHeight="1" x14ac:dyDescent="0.2">
      <c r="B195" s="89"/>
      <c r="C195"/>
      <c r="D195"/>
      <c r="E195" s="69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</row>
    <row r="196" spans="2:27" s="25" customFormat="1" ht="15.75" customHeight="1" x14ac:dyDescent="0.2">
      <c r="B196" s="89"/>
      <c r="C196"/>
      <c r="D196"/>
      <c r="E196" s="69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</row>
    <row r="197" spans="2:27" s="25" customFormat="1" ht="15.75" customHeight="1" x14ac:dyDescent="0.2">
      <c r="B197" s="89"/>
      <c r="C197"/>
      <c r="D197"/>
      <c r="E197" s="69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</row>
    <row r="198" spans="2:27" s="25" customFormat="1" ht="15.75" customHeight="1" x14ac:dyDescent="0.2">
      <c r="B198" s="89"/>
      <c r="C198"/>
      <c r="D198"/>
      <c r="E198" s="69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</row>
    <row r="199" spans="2:27" s="25" customFormat="1" ht="15.75" customHeight="1" x14ac:dyDescent="0.2">
      <c r="B199" s="89"/>
      <c r="C199"/>
      <c r="D199"/>
      <c r="E199" s="6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</row>
    <row r="200" spans="2:27" s="25" customFormat="1" ht="15.75" customHeight="1" x14ac:dyDescent="0.2">
      <c r="B200" s="89"/>
      <c r="C200"/>
      <c r="D200"/>
      <c r="E200" s="69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</row>
    <row r="201" spans="2:27" s="25" customFormat="1" ht="15.75" customHeight="1" x14ac:dyDescent="0.2">
      <c r="B201" s="89"/>
      <c r="C201"/>
      <c r="D201"/>
      <c r="E201" s="69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</row>
    <row r="202" spans="2:27" s="25" customFormat="1" ht="15.75" customHeight="1" x14ac:dyDescent="0.2">
      <c r="B202" s="89"/>
      <c r="C202"/>
      <c r="D202"/>
      <c r="E202" s="69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</row>
    <row r="203" spans="2:27" s="25" customFormat="1" ht="15.75" customHeight="1" x14ac:dyDescent="0.2">
      <c r="B203" s="89"/>
      <c r="C203"/>
      <c r="D203"/>
      <c r="E203" s="69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</row>
    <row r="204" spans="2:27" s="25" customFormat="1" ht="15.75" customHeight="1" x14ac:dyDescent="0.2">
      <c r="B204" s="89"/>
      <c r="C204"/>
      <c r="D204"/>
      <c r="E204" s="69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</row>
    <row r="205" spans="2:27" s="25" customFormat="1" ht="15.75" customHeight="1" x14ac:dyDescent="0.2">
      <c r="B205" s="89"/>
      <c r="C205"/>
      <c r="D205"/>
      <c r="E205" s="69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</row>
    <row r="206" spans="2:27" s="25" customFormat="1" ht="15.75" customHeight="1" x14ac:dyDescent="0.2">
      <c r="B206" s="89"/>
      <c r="C206"/>
      <c r="D206"/>
      <c r="E206" s="69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</row>
    <row r="207" spans="2:27" s="25" customFormat="1" ht="15.75" customHeight="1" x14ac:dyDescent="0.2">
      <c r="B207" s="89"/>
      <c r="C207"/>
      <c r="D207"/>
      <c r="E207" s="69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</row>
    <row r="208" spans="2:27" s="25" customFormat="1" ht="15.75" customHeight="1" x14ac:dyDescent="0.2">
      <c r="B208" s="89"/>
      <c r="C208"/>
      <c r="D208"/>
      <c r="E208" s="69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</row>
    <row r="209" spans="2:27" s="25" customFormat="1" ht="15.75" customHeight="1" x14ac:dyDescent="0.2">
      <c r="B209" s="89"/>
      <c r="C209"/>
      <c r="D209"/>
      <c r="E209" s="6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</row>
    <row r="210" spans="2:27" s="25" customFormat="1" ht="15.75" customHeight="1" x14ac:dyDescent="0.2">
      <c r="B210" s="89"/>
      <c r="C210"/>
      <c r="D210"/>
      <c r="E210" s="69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</row>
    <row r="211" spans="2:27" s="25" customFormat="1" ht="15.75" customHeight="1" x14ac:dyDescent="0.2">
      <c r="B211" s="89"/>
      <c r="C211"/>
      <c r="D211"/>
      <c r="E211" s="69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</row>
    <row r="212" spans="2:27" s="25" customFormat="1" ht="15.75" customHeight="1" x14ac:dyDescent="0.2">
      <c r="B212" s="89"/>
      <c r="C212"/>
      <c r="D212"/>
      <c r="E212" s="69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</row>
    <row r="213" spans="2:27" s="25" customFormat="1" ht="15.75" customHeight="1" x14ac:dyDescent="0.2">
      <c r="B213" s="89"/>
      <c r="C213"/>
      <c r="D213"/>
      <c r="E213" s="69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</row>
    <row r="214" spans="2:27" s="25" customFormat="1" ht="15.75" customHeight="1" x14ac:dyDescent="0.2">
      <c r="B214" s="89"/>
      <c r="C214"/>
      <c r="D214"/>
      <c r="E214" s="69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</row>
    <row r="215" spans="2:27" s="25" customFormat="1" ht="15.75" customHeight="1" x14ac:dyDescent="0.2">
      <c r="B215" s="89"/>
      <c r="C215"/>
      <c r="D215"/>
      <c r="E215" s="69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</row>
    <row r="216" spans="2:27" s="25" customFormat="1" ht="15.75" customHeight="1" x14ac:dyDescent="0.2">
      <c r="B216" s="89"/>
      <c r="C216"/>
      <c r="D216"/>
      <c r="E216" s="69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</row>
    <row r="217" spans="2:27" s="25" customFormat="1" ht="15.75" customHeight="1" x14ac:dyDescent="0.2">
      <c r="B217" s="89"/>
      <c r="C217"/>
      <c r="D217"/>
      <c r="E217" s="69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</row>
    <row r="218" spans="2:27" s="25" customFormat="1" ht="15.75" customHeight="1" x14ac:dyDescent="0.2">
      <c r="B218" s="89"/>
      <c r="C218"/>
      <c r="D218"/>
      <c r="E218" s="69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</row>
    <row r="219" spans="2:27" s="25" customFormat="1" ht="15.75" customHeight="1" x14ac:dyDescent="0.2">
      <c r="B219" s="89"/>
      <c r="C219"/>
      <c r="D219"/>
      <c r="E219" s="6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</row>
    <row r="220" spans="2:27" s="25" customFormat="1" ht="15.75" customHeight="1" x14ac:dyDescent="0.2">
      <c r="B220" s="89"/>
      <c r="C220"/>
      <c r="D220"/>
      <c r="E220" s="69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</row>
    <row r="221" spans="2:27" s="25" customFormat="1" ht="15.75" customHeight="1" x14ac:dyDescent="0.2">
      <c r="B221" s="89"/>
      <c r="C221"/>
      <c r="D221"/>
      <c r="E221" s="69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</row>
    <row r="222" spans="2:27" s="25" customFormat="1" ht="15.75" customHeight="1" x14ac:dyDescent="0.2">
      <c r="B222" s="89"/>
      <c r="C222"/>
      <c r="D222"/>
      <c r="E222" s="69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</row>
    <row r="223" spans="2:27" s="25" customFormat="1" ht="15.75" customHeight="1" x14ac:dyDescent="0.2">
      <c r="B223" s="89"/>
      <c r="C223"/>
      <c r="D223"/>
      <c r="E223" s="69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</row>
    <row r="224" spans="2:27" s="25" customFormat="1" ht="15.75" customHeight="1" x14ac:dyDescent="0.2">
      <c r="B224" s="89"/>
      <c r="C224"/>
      <c r="D224"/>
      <c r="E224" s="69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</row>
    <row r="225" spans="2:27" s="25" customFormat="1" ht="15.75" customHeight="1" x14ac:dyDescent="0.2">
      <c r="B225" s="89"/>
      <c r="C225"/>
      <c r="D225"/>
      <c r="E225" s="69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</row>
    <row r="226" spans="2:27" s="25" customFormat="1" ht="15.75" customHeight="1" x14ac:dyDescent="0.2">
      <c r="B226" s="89"/>
      <c r="C226"/>
      <c r="D226"/>
      <c r="E226" s="69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</row>
    <row r="227" spans="2:27" s="25" customFormat="1" ht="15.75" customHeight="1" x14ac:dyDescent="0.2">
      <c r="B227" s="89"/>
      <c r="C227"/>
      <c r="D227"/>
      <c r="E227" s="69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</row>
    <row r="228" spans="2:27" s="25" customFormat="1" ht="15.75" customHeight="1" x14ac:dyDescent="0.2">
      <c r="B228" s="89"/>
      <c r="C228"/>
      <c r="D228"/>
      <c r="E228" s="69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</row>
    <row r="229" spans="2:27" s="25" customFormat="1" ht="15.75" customHeight="1" x14ac:dyDescent="0.2">
      <c r="B229" s="89"/>
      <c r="C229"/>
      <c r="D229"/>
      <c r="E229" s="6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</row>
    <row r="230" spans="2:27" s="25" customFormat="1" ht="15.75" customHeight="1" x14ac:dyDescent="0.2">
      <c r="B230" s="89"/>
      <c r="C230"/>
      <c r="D230"/>
      <c r="E230" s="69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</row>
    <row r="231" spans="2:27" s="25" customFormat="1" ht="15.75" customHeight="1" x14ac:dyDescent="0.2">
      <c r="B231" s="89"/>
      <c r="C231"/>
      <c r="D231"/>
      <c r="E231" s="69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</row>
    <row r="232" spans="2:27" s="25" customFormat="1" ht="15.75" customHeight="1" x14ac:dyDescent="0.2">
      <c r="B232" s="89"/>
      <c r="C232"/>
      <c r="D232"/>
      <c r="E232" s="69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</row>
    <row r="233" spans="2:27" s="25" customFormat="1" ht="15.75" customHeight="1" x14ac:dyDescent="0.2">
      <c r="B233" s="89"/>
      <c r="C233"/>
      <c r="D233"/>
      <c r="E233" s="69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</row>
    <row r="234" spans="2:27" s="25" customFormat="1" ht="15.75" customHeight="1" x14ac:dyDescent="0.2">
      <c r="B234" s="89"/>
      <c r="C234"/>
      <c r="D234"/>
      <c r="E234" s="69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</row>
    <row r="235" spans="2:27" s="25" customFormat="1" ht="15.75" customHeight="1" x14ac:dyDescent="0.2">
      <c r="B235" s="89"/>
      <c r="C235"/>
      <c r="D235"/>
      <c r="E235" s="69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</row>
    <row r="236" spans="2:27" s="25" customFormat="1" ht="15.75" customHeight="1" x14ac:dyDescent="0.2">
      <c r="B236" s="89"/>
      <c r="C236"/>
      <c r="D236"/>
      <c r="E236" s="69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</row>
    <row r="237" spans="2:27" s="25" customFormat="1" ht="15.75" customHeight="1" x14ac:dyDescent="0.2">
      <c r="B237" s="89"/>
      <c r="C237"/>
      <c r="D237"/>
      <c r="E237" s="69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</row>
    <row r="238" spans="2:27" s="25" customFormat="1" ht="15.75" customHeight="1" x14ac:dyDescent="0.2">
      <c r="B238" s="89"/>
      <c r="C238"/>
      <c r="D238"/>
      <c r="E238" s="69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</row>
    <row r="239" spans="2:27" s="25" customFormat="1" ht="15.75" customHeight="1" x14ac:dyDescent="0.2">
      <c r="B239" s="89"/>
      <c r="C239"/>
      <c r="D239"/>
      <c r="E239" s="6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</row>
    <row r="240" spans="2:27" s="25" customFormat="1" ht="15.75" customHeight="1" x14ac:dyDescent="0.2">
      <c r="B240" s="89"/>
      <c r="C240"/>
      <c r="D240"/>
      <c r="E240" s="69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</row>
    <row r="241" spans="2:27" s="25" customFormat="1" ht="15.75" customHeight="1" x14ac:dyDescent="0.2">
      <c r="B241" s="89"/>
      <c r="C241"/>
      <c r="D241"/>
      <c r="E241" s="69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</row>
    <row r="242" spans="2:27" s="25" customFormat="1" ht="15.75" customHeight="1" x14ac:dyDescent="0.2">
      <c r="B242" s="89"/>
      <c r="C242"/>
      <c r="D242"/>
      <c r="E242" s="69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</row>
    <row r="243" spans="2:27" s="25" customFormat="1" ht="15.75" customHeight="1" x14ac:dyDescent="0.2">
      <c r="B243" s="89"/>
      <c r="C243"/>
      <c r="D243"/>
      <c r="E243" s="69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</row>
    <row r="244" spans="2:27" s="25" customFormat="1" ht="15.75" customHeight="1" x14ac:dyDescent="0.2">
      <c r="B244" s="89"/>
      <c r="C244"/>
      <c r="D244"/>
      <c r="E244" s="69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</row>
    <row r="245" spans="2:27" s="25" customFormat="1" ht="15.75" customHeight="1" x14ac:dyDescent="0.2">
      <c r="B245" s="89"/>
      <c r="C245"/>
      <c r="D245"/>
      <c r="E245" s="69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</row>
    <row r="246" spans="2:27" s="25" customFormat="1" ht="15.75" customHeight="1" x14ac:dyDescent="0.2">
      <c r="B246" s="89"/>
      <c r="C246"/>
      <c r="D246"/>
      <c r="E246" s="69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</row>
    <row r="247" spans="2:27" s="25" customFormat="1" ht="15.75" customHeight="1" x14ac:dyDescent="0.2">
      <c r="B247" s="89"/>
      <c r="C247"/>
      <c r="D247"/>
      <c r="E247" s="69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</row>
    <row r="248" spans="2:27" s="25" customFormat="1" ht="15.75" customHeight="1" x14ac:dyDescent="0.2">
      <c r="B248" s="89"/>
      <c r="C248"/>
      <c r="D248"/>
      <c r="E248" s="69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</row>
    <row r="249" spans="2:27" s="25" customFormat="1" ht="15.75" customHeight="1" x14ac:dyDescent="0.2">
      <c r="B249" s="89"/>
      <c r="C249"/>
      <c r="D249"/>
      <c r="E249" s="6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</row>
    <row r="250" spans="2:27" s="25" customFormat="1" ht="15.75" customHeight="1" x14ac:dyDescent="0.2">
      <c r="B250" s="89"/>
      <c r="C250"/>
      <c r="D250"/>
      <c r="E250" s="69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</row>
    <row r="251" spans="2:27" s="25" customFormat="1" ht="15.75" customHeight="1" x14ac:dyDescent="0.2">
      <c r="B251" s="89"/>
      <c r="C251"/>
      <c r="D251"/>
      <c r="E251" s="69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</row>
    <row r="252" spans="2:27" s="25" customFormat="1" ht="15.75" customHeight="1" x14ac:dyDescent="0.2">
      <c r="B252" s="89"/>
      <c r="C252"/>
      <c r="D252"/>
      <c r="E252" s="69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</row>
    <row r="253" spans="2:27" s="25" customFormat="1" ht="15.75" customHeight="1" x14ac:dyDescent="0.2">
      <c r="B253" s="89"/>
      <c r="C253"/>
      <c r="D253"/>
      <c r="E253" s="69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</row>
    <row r="254" spans="2:27" s="25" customFormat="1" ht="15.75" customHeight="1" x14ac:dyDescent="0.2">
      <c r="B254" s="89"/>
      <c r="C254"/>
      <c r="D254"/>
      <c r="E254" s="69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</row>
    <row r="255" spans="2:27" s="25" customFormat="1" ht="15.75" customHeight="1" x14ac:dyDescent="0.2">
      <c r="B255" s="89"/>
      <c r="C255"/>
      <c r="D255"/>
      <c r="E255" s="69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</row>
    <row r="256" spans="2:27" s="25" customFormat="1" ht="15.75" customHeight="1" x14ac:dyDescent="0.2">
      <c r="B256" s="89"/>
      <c r="C256"/>
      <c r="D256"/>
      <c r="E256" s="69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</row>
    <row r="257" spans="2:27" s="25" customFormat="1" ht="15.75" customHeight="1" x14ac:dyDescent="0.2">
      <c r="B257" s="89"/>
      <c r="C257"/>
      <c r="D257"/>
      <c r="E257" s="69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</row>
    <row r="258" spans="2:27" s="25" customFormat="1" ht="15.75" customHeight="1" x14ac:dyDescent="0.2">
      <c r="B258" s="89"/>
      <c r="C258"/>
      <c r="D258"/>
      <c r="E258" s="69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</row>
    <row r="259" spans="2:27" s="25" customFormat="1" ht="15.75" customHeight="1" x14ac:dyDescent="0.2">
      <c r="B259" s="89"/>
      <c r="C259"/>
      <c r="D259"/>
      <c r="E259" s="6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</row>
    <row r="260" spans="2:27" s="25" customFormat="1" ht="15.75" customHeight="1" x14ac:dyDescent="0.2">
      <c r="B260" s="89"/>
      <c r="C260"/>
      <c r="D260"/>
      <c r="E260" s="69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</row>
    <row r="261" spans="2:27" s="25" customFormat="1" ht="15.75" customHeight="1" x14ac:dyDescent="0.2">
      <c r="B261" s="89"/>
      <c r="C261"/>
      <c r="D261"/>
      <c r="E261" s="69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</row>
    <row r="262" spans="2:27" s="25" customFormat="1" ht="15.75" customHeight="1" x14ac:dyDescent="0.2">
      <c r="B262" s="89"/>
      <c r="C262"/>
      <c r="D262"/>
      <c r="E262" s="69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</row>
    <row r="263" spans="2:27" s="25" customFormat="1" ht="15.75" customHeight="1" x14ac:dyDescent="0.2">
      <c r="B263" s="89"/>
      <c r="C263"/>
      <c r="D263"/>
      <c r="E263" s="69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</row>
    <row r="264" spans="2:27" s="25" customFormat="1" ht="15.75" customHeight="1" x14ac:dyDescent="0.2">
      <c r="B264" s="89"/>
      <c r="C264"/>
      <c r="D264"/>
      <c r="E264" s="69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</row>
    <row r="265" spans="2:27" s="25" customFormat="1" ht="15.75" customHeight="1" x14ac:dyDescent="0.2">
      <c r="B265" s="89"/>
      <c r="C265"/>
      <c r="D265"/>
      <c r="E265" s="69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</row>
    <row r="266" spans="2:27" s="25" customFormat="1" ht="15.75" customHeight="1" x14ac:dyDescent="0.2">
      <c r="B266" s="89"/>
      <c r="C266"/>
      <c r="D266"/>
      <c r="E266" s="69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</row>
    <row r="267" spans="2:27" s="25" customFormat="1" ht="15.75" customHeight="1" x14ac:dyDescent="0.2">
      <c r="B267" s="89"/>
      <c r="C267"/>
      <c r="D267"/>
      <c r="E267" s="69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</row>
    <row r="268" spans="2:27" s="25" customFormat="1" ht="15.75" customHeight="1" x14ac:dyDescent="0.2">
      <c r="B268" s="89"/>
      <c r="C268"/>
      <c r="D268"/>
      <c r="E268" s="69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</row>
    <row r="269" spans="2:27" s="25" customFormat="1" ht="15.75" customHeight="1" x14ac:dyDescent="0.2">
      <c r="B269" s="89"/>
      <c r="C269"/>
      <c r="D269"/>
      <c r="E269" s="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</row>
    <row r="270" spans="2:27" s="25" customFormat="1" ht="15.75" customHeight="1" x14ac:dyDescent="0.2">
      <c r="B270" s="89"/>
      <c r="C270"/>
      <c r="D270"/>
      <c r="E270" s="69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</row>
    <row r="271" spans="2:27" s="25" customFormat="1" ht="15.75" customHeight="1" x14ac:dyDescent="0.2">
      <c r="B271" s="89"/>
      <c r="C271"/>
      <c r="D271"/>
      <c r="E271" s="69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</row>
    <row r="272" spans="2:27" s="25" customFormat="1" ht="15.75" customHeight="1" x14ac:dyDescent="0.2">
      <c r="B272" s="89"/>
      <c r="C272"/>
      <c r="D272"/>
      <c r="E272" s="69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</row>
    <row r="273" spans="2:27" s="25" customFormat="1" ht="15.75" customHeight="1" x14ac:dyDescent="0.2">
      <c r="B273" s="89"/>
      <c r="C273"/>
      <c r="D273"/>
      <c r="E273" s="69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</row>
    <row r="274" spans="2:27" s="25" customFormat="1" ht="15.75" customHeight="1" x14ac:dyDescent="0.2">
      <c r="B274" s="89"/>
      <c r="C274"/>
      <c r="D274"/>
      <c r="E274" s="69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</row>
    <row r="275" spans="2:27" s="25" customFormat="1" ht="15.75" customHeight="1" x14ac:dyDescent="0.2">
      <c r="B275" s="89"/>
      <c r="C275"/>
      <c r="D275"/>
      <c r="E275" s="69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</row>
    <row r="276" spans="2:27" s="25" customFormat="1" ht="15.75" customHeight="1" x14ac:dyDescent="0.2">
      <c r="B276" s="89"/>
      <c r="C276"/>
      <c r="D276"/>
      <c r="E276" s="69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</row>
    <row r="277" spans="2:27" s="25" customFormat="1" ht="15.75" customHeight="1" x14ac:dyDescent="0.2">
      <c r="B277" s="89"/>
      <c r="C277"/>
      <c r="D277"/>
      <c r="E277" s="69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</row>
    <row r="278" spans="2:27" s="25" customFormat="1" ht="15.75" customHeight="1" x14ac:dyDescent="0.2">
      <c r="B278" s="89"/>
      <c r="C278"/>
      <c r="D278"/>
      <c r="E278" s="69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</row>
    <row r="279" spans="2:27" s="25" customFormat="1" ht="15.75" customHeight="1" x14ac:dyDescent="0.2">
      <c r="B279" s="89"/>
      <c r="C279"/>
      <c r="D279"/>
      <c r="E279" s="6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</row>
    <row r="280" spans="2:27" s="25" customFormat="1" ht="15.75" customHeight="1" x14ac:dyDescent="0.2">
      <c r="B280" s="89"/>
      <c r="C280"/>
      <c r="D280"/>
      <c r="E280" s="69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</row>
    <row r="281" spans="2:27" s="25" customFormat="1" ht="15.75" customHeight="1" x14ac:dyDescent="0.2">
      <c r="B281" s="89"/>
      <c r="C281"/>
      <c r="D281"/>
      <c r="E281" s="69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</row>
    <row r="282" spans="2:27" s="25" customFormat="1" ht="15.75" customHeight="1" x14ac:dyDescent="0.2">
      <c r="B282" s="89"/>
      <c r="C282"/>
      <c r="D282"/>
      <c r="E282" s="69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</row>
    <row r="283" spans="2:27" s="25" customFormat="1" ht="15.75" customHeight="1" x14ac:dyDescent="0.2">
      <c r="B283" s="89"/>
      <c r="C283"/>
      <c r="D283"/>
      <c r="E283" s="69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</row>
    <row r="284" spans="2:27" s="25" customFormat="1" ht="15.75" customHeight="1" x14ac:dyDescent="0.2">
      <c r="B284" s="89"/>
      <c r="C284"/>
      <c r="D284"/>
      <c r="E284" s="69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</row>
    <row r="285" spans="2:27" s="25" customFormat="1" ht="15.75" customHeight="1" x14ac:dyDescent="0.2">
      <c r="B285" s="89"/>
      <c r="C285"/>
      <c r="D285"/>
      <c r="E285" s="69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</row>
    <row r="286" spans="2:27" s="25" customFormat="1" ht="15.75" customHeight="1" x14ac:dyDescent="0.2">
      <c r="B286" s="89"/>
      <c r="C286"/>
      <c r="D286"/>
      <c r="E286" s="69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</row>
    <row r="287" spans="2:27" s="25" customFormat="1" ht="15.75" customHeight="1" x14ac:dyDescent="0.2">
      <c r="B287" s="89"/>
      <c r="C287"/>
      <c r="D287"/>
      <c r="E287" s="69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</row>
    <row r="288" spans="2:27" s="25" customFormat="1" ht="15.75" customHeight="1" x14ac:dyDescent="0.2">
      <c r="B288" s="89"/>
      <c r="C288"/>
      <c r="D288"/>
      <c r="E288" s="69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</row>
    <row r="289" spans="2:27" s="25" customFormat="1" ht="15.75" customHeight="1" x14ac:dyDescent="0.2">
      <c r="B289" s="89"/>
      <c r="C289"/>
      <c r="D289"/>
      <c r="E289" s="6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</row>
    <row r="290" spans="2:27" s="25" customFormat="1" ht="15.75" customHeight="1" x14ac:dyDescent="0.2">
      <c r="B290" s="89"/>
      <c r="C290"/>
      <c r="D290"/>
      <c r="E290" s="69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</row>
    <row r="291" spans="2:27" s="25" customFormat="1" ht="15.75" customHeight="1" x14ac:dyDescent="0.2">
      <c r="B291" s="89"/>
      <c r="C291"/>
      <c r="D291"/>
      <c r="E291" s="69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</row>
    <row r="292" spans="2:27" s="25" customFormat="1" ht="15.75" customHeight="1" x14ac:dyDescent="0.2">
      <c r="B292" s="89"/>
      <c r="C292"/>
      <c r="D292"/>
      <c r="E292" s="69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</row>
    <row r="293" spans="2:27" s="25" customFormat="1" ht="15.75" customHeight="1" x14ac:dyDescent="0.2">
      <c r="B293" s="89"/>
      <c r="C293"/>
      <c r="D293"/>
      <c r="E293" s="69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</row>
    <row r="294" spans="2:27" s="25" customFormat="1" ht="15.75" customHeight="1" x14ac:dyDescent="0.2">
      <c r="B294" s="89"/>
      <c r="C294"/>
      <c r="D294"/>
      <c r="E294" s="69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</row>
    <row r="295" spans="2:27" s="25" customFormat="1" ht="15.75" customHeight="1" x14ac:dyDescent="0.2">
      <c r="B295" s="89"/>
      <c r="C295"/>
      <c r="D295"/>
      <c r="E295" s="69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</row>
    <row r="296" spans="2:27" s="25" customFormat="1" ht="15.75" customHeight="1" x14ac:dyDescent="0.2">
      <c r="B296" s="89"/>
      <c r="C296"/>
      <c r="D296"/>
      <c r="E296" s="69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</row>
    <row r="297" spans="2:27" s="25" customFormat="1" ht="15.75" customHeight="1" x14ac:dyDescent="0.2">
      <c r="B297" s="89"/>
      <c r="C297"/>
      <c r="D297"/>
      <c r="E297" s="69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</row>
    <row r="298" spans="2:27" s="25" customFormat="1" ht="15.75" customHeight="1" x14ac:dyDescent="0.2">
      <c r="B298" s="89"/>
      <c r="C298"/>
      <c r="D298"/>
      <c r="E298" s="69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</row>
    <row r="299" spans="2:27" s="25" customFormat="1" ht="15.75" customHeight="1" x14ac:dyDescent="0.2">
      <c r="B299" s="89"/>
      <c r="C299"/>
      <c r="D299"/>
      <c r="E299" s="6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</row>
    <row r="300" spans="2:27" s="25" customFormat="1" ht="15.75" customHeight="1" x14ac:dyDescent="0.2">
      <c r="B300" s="89"/>
      <c r="C300"/>
      <c r="D300"/>
      <c r="E300" s="69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</row>
    <row r="301" spans="2:27" s="25" customFormat="1" ht="15.75" customHeight="1" x14ac:dyDescent="0.2">
      <c r="B301" s="89"/>
      <c r="C301"/>
      <c r="D301"/>
      <c r="E301" s="69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</row>
    <row r="302" spans="2:27" s="25" customFormat="1" ht="15.75" customHeight="1" x14ac:dyDescent="0.2">
      <c r="B302" s="89"/>
      <c r="C302"/>
      <c r="D302"/>
      <c r="E302" s="69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</row>
    <row r="303" spans="2:27" s="25" customFormat="1" ht="15.75" customHeight="1" x14ac:dyDescent="0.2">
      <c r="B303" s="89"/>
      <c r="C303"/>
      <c r="D303"/>
      <c r="E303" s="69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</row>
    <row r="304" spans="2:27" s="25" customFormat="1" ht="15.75" customHeight="1" x14ac:dyDescent="0.2">
      <c r="B304" s="89"/>
      <c r="C304"/>
      <c r="D304"/>
      <c r="E304" s="69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</row>
    <row r="305" spans="2:27" s="25" customFormat="1" ht="15.75" customHeight="1" x14ac:dyDescent="0.2">
      <c r="B305" s="89"/>
      <c r="C305"/>
      <c r="D305"/>
      <c r="E305" s="69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</row>
    <row r="306" spans="2:27" s="25" customFormat="1" ht="15.75" customHeight="1" x14ac:dyDescent="0.2">
      <c r="B306" s="89"/>
      <c r="C306"/>
      <c r="D306"/>
      <c r="E306" s="69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</row>
    <row r="307" spans="2:27" s="25" customFormat="1" ht="15.75" customHeight="1" x14ac:dyDescent="0.2">
      <c r="B307" s="89"/>
      <c r="C307"/>
      <c r="D307"/>
      <c r="E307" s="69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</row>
    <row r="308" spans="2:27" s="25" customFormat="1" ht="15.75" customHeight="1" x14ac:dyDescent="0.2">
      <c r="B308" s="89"/>
      <c r="C308"/>
      <c r="D308"/>
      <c r="E308" s="69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</row>
    <row r="309" spans="2:27" s="25" customFormat="1" ht="15.75" customHeight="1" x14ac:dyDescent="0.2">
      <c r="B309" s="89"/>
      <c r="C309"/>
      <c r="D309"/>
      <c r="E309" s="6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</row>
    <row r="310" spans="2:27" s="25" customFormat="1" ht="15.75" customHeight="1" x14ac:dyDescent="0.2">
      <c r="B310" s="89"/>
      <c r="C310"/>
      <c r="D310"/>
      <c r="E310" s="69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</row>
    <row r="311" spans="2:27" s="25" customFormat="1" ht="15.75" customHeight="1" x14ac:dyDescent="0.2">
      <c r="B311" s="89"/>
      <c r="C311"/>
      <c r="D311"/>
      <c r="E311" s="69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</row>
    <row r="312" spans="2:27" s="25" customFormat="1" ht="15.75" customHeight="1" x14ac:dyDescent="0.2">
      <c r="B312" s="89"/>
      <c r="C312"/>
      <c r="D312"/>
      <c r="E312" s="69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</row>
    <row r="313" spans="2:27" s="25" customFormat="1" ht="15.75" customHeight="1" x14ac:dyDescent="0.2">
      <c r="B313" s="89"/>
      <c r="C313"/>
      <c r="D313"/>
      <c r="E313" s="69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</row>
    <row r="314" spans="2:27" s="25" customFormat="1" ht="15.75" customHeight="1" x14ac:dyDescent="0.2">
      <c r="B314" s="89"/>
      <c r="C314"/>
      <c r="D314"/>
      <c r="E314" s="69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</row>
    <row r="315" spans="2:27" s="25" customFormat="1" ht="15.75" customHeight="1" x14ac:dyDescent="0.2">
      <c r="B315" s="89"/>
      <c r="C315"/>
      <c r="D315"/>
      <c r="E315" s="69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</row>
    <row r="316" spans="2:27" s="25" customFormat="1" ht="15.75" customHeight="1" x14ac:dyDescent="0.2">
      <c r="B316" s="89"/>
      <c r="C316"/>
      <c r="D316"/>
      <c r="E316" s="69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</row>
    <row r="317" spans="2:27" s="25" customFormat="1" ht="15.75" customHeight="1" x14ac:dyDescent="0.2">
      <c r="B317" s="89"/>
      <c r="C317"/>
      <c r="D317"/>
      <c r="E317" s="69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</row>
    <row r="318" spans="2:27" s="25" customFormat="1" ht="15.75" customHeight="1" x14ac:dyDescent="0.2">
      <c r="B318" s="89"/>
      <c r="C318"/>
      <c r="D318"/>
      <c r="E318" s="69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</row>
    <row r="319" spans="2:27" s="25" customFormat="1" ht="15.75" customHeight="1" x14ac:dyDescent="0.2">
      <c r="B319" s="89"/>
      <c r="C319"/>
      <c r="D319"/>
      <c r="E319" s="6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</row>
    <row r="320" spans="2:27" s="25" customFormat="1" ht="15.75" customHeight="1" x14ac:dyDescent="0.2">
      <c r="B320" s="89"/>
      <c r="C320"/>
      <c r="D320"/>
      <c r="E320" s="69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</row>
    <row r="321" spans="2:27" s="25" customFormat="1" ht="15.75" customHeight="1" x14ac:dyDescent="0.2">
      <c r="B321" s="89"/>
      <c r="C321"/>
      <c r="D321"/>
      <c r="E321" s="69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</row>
    <row r="322" spans="2:27" s="25" customFormat="1" ht="15.75" customHeight="1" x14ac:dyDescent="0.2">
      <c r="B322" s="89"/>
      <c r="C322"/>
      <c r="D322"/>
      <c r="E322" s="69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</row>
    <row r="323" spans="2:27" s="25" customFormat="1" ht="15.75" customHeight="1" x14ac:dyDescent="0.2">
      <c r="B323" s="89"/>
      <c r="C323"/>
      <c r="D323"/>
      <c r="E323" s="69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</row>
    <row r="324" spans="2:27" s="25" customFormat="1" ht="15.75" customHeight="1" x14ac:dyDescent="0.2">
      <c r="B324" s="89"/>
      <c r="C324"/>
      <c r="D324"/>
      <c r="E324" s="69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</row>
    <row r="325" spans="2:27" s="25" customFormat="1" ht="15.75" customHeight="1" x14ac:dyDescent="0.2">
      <c r="B325" s="89"/>
      <c r="C325"/>
      <c r="D325"/>
      <c r="E325" s="69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</row>
    <row r="326" spans="2:27" s="25" customFormat="1" ht="15.75" customHeight="1" x14ac:dyDescent="0.2">
      <c r="B326" s="89"/>
      <c r="C326"/>
      <c r="D326"/>
      <c r="E326" s="69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</row>
    <row r="327" spans="2:27" s="25" customFormat="1" ht="15.75" customHeight="1" x14ac:dyDescent="0.2">
      <c r="B327" s="89"/>
      <c r="C327"/>
      <c r="D327"/>
      <c r="E327" s="69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</row>
    <row r="328" spans="2:27" s="25" customFormat="1" ht="15.75" customHeight="1" x14ac:dyDescent="0.2">
      <c r="B328" s="89"/>
      <c r="C328"/>
      <c r="D328"/>
      <c r="E328" s="69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</row>
    <row r="329" spans="2:27" s="25" customFormat="1" ht="15.75" customHeight="1" x14ac:dyDescent="0.2">
      <c r="B329" s="89"/>
      <c r="C329"/>
      <c r="D329"/>
      <c r="E329" s="6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</row>
    <row r="330" spans="2:27" s="25" customFormat="1" ht="15.75" customHeight="1" x14ac:dyDescent="0.2">
      <c r="B330" s="89"/>
      <c r="C330"/>
      <c r="D330"/>
      <c r="E330" s="69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</row>
    <row r="331" spans="2:27" s="25" customFormat="1" ht="15.75" customHeight="1" x14ac:dyDescent="0.2">
      <c r="B331" s="89"/>
      <c r="C331"/>
      <c r="D331"/>
      <c r="E331" s="69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</row>
    <row r="332" spans="2:27" s="25" customFormat="1" ht="15.75" customHeight="1" x14ac:dyDescent="0.2">
      <c r="B332" s="89"/>
      <c r="C332"/>
      <c r="D332"/>
      <c r="E332" s="69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</row>
    <row r="333" spans="2:27" s="25" customFormat="1" ht="15.75" customHeight="1" x14ac:dyDescent="0.2">
      <c r="B333" s="89"/>
      <c r="C333"/>
      <c r="D333"/>
      <c r="E333" s="69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</row>
    <row r="334" spans="2:27" s="25" customFormat="1" ht="15.75" customHeight="1" x14ac:dyDescent="0.2">
      <c r="B334" s="89"/>
      <c r="C334"/>
      <c r="D334"/>
      <c r="E334" s="69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</row>
    <row r="335" spans="2:27" s="25" customFormat="1" ht="15.75" customHeight="1" x14ac:dyDescent="0.2">
      <c r="B335" s="89"/>
      <c r="C335"/>
      <c r="D335"/>
      <c r="E335" s="69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</row>
    <row r="336" spans="2:27" s="25" customFormat="1" ht="15.75" customHeight="1" x14ac:dyDescent="0.2">
      <c r="B336" s="89"/>
      <c r="C336"/>
      <c r="D336"/>
      <c r="E336" s="69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</row>
    <row r="337" spans="2:27" s="25" customFormat="1" ht="15.75" customHeight="1" x14ac:dyDescent="0.2">
      <c r="B337" s="89"/>
      <c r="C337"/>
      <c r="D337"/>
      <c r="E337" s="69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</row>
    <row r="338" spans="2:27" s="25" customFormat="1" ht="15.75" customHeight="1" x14ac:dyDescent="0.2">
      <c r="B338" s="89"/>
      <c r="C338"/>
      <c r="D338"/>
      <c r="E338" s="69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</row>
    <row r="339" spans="2:27" s="25" customFormat="1" ht="15.75" customHeight="1" x14ac:dyDescent="0.2">
      <c r="B339" s="89"/>
      <c r="C339"/>
      <c r="D339"/>
      <c r="E339" s="6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</row>
    <row r="340" spans="2:27" s="25" customFormat="1" ht="15.75" customHeight="1" x14ac:dyDescent="0.2">
      <c r="B340" s="89"/>
      <c r="C340"/>
      <c r="D340"/>
      <c r="E340" s="69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</row>
    <row r="341" spans="2:27" s="25" customFormat="1" ht="15.75" customHeight="1" x14ac:dyDescent="0.2">
      <c r="B341" s="89"/>
      <c r="C341"/>
      <c r="D341"/>
      <c r="E341" s="69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</row>
    <row r="342" spans="2:27" s="25" customFormat="1" ht="15.75" customHeight="1" x14ac:dyDescent="0.2">
      <c r="B342" s="89"/>
      <c r="C342"/>
      <c r="D342"/>
      <c r="E342" s="69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</row>
    <row r="343" spans="2:27" s="25" customFormat="1" ht="15.75" customHeight="1" x14ac:dyDescent="0.2">
      <c r="B343" s="89"/>
      <c r="C343"/>
      <c r="D343"/>
      <c r="E343" s="69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</row>
    <row r="344" spans="2:27" s="25" customFormat="1" ht="15.75" customHeight="1" x14ac:dyDescent="0.2">
      <c r="B344" s="89"/>
      <c r="C344"/>
      <c r="D344"/>
      <c r="E344" s="69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</row>
    <row r="345" spans="2:27" s="25" customFormat="1" ht="15.75" customHeight="1" x14ac:dyDescent="0.2">
      <c r="B345" s="89"/>
      <c r="C345"/>
      <c r="D345"/>
      <c r="E345" s="69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</row>
    <row r="346" spans="2:27" s="25" customFormat="1" ht="15.75" customHeight="1" x14ac:dyDescent="0.2">
      <c r="B346" s="89"/>
      <c r="C346"/>
      <c r="D346"/>
      <c r="E346" s="69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</row>
    <row r="347" spans="2:27" s="25" customFormat="1" ht="15.75" customHeight="1" x14ac:dyDescent="0.2">
      <c r="B347" s="89"/>
      <c r="C347"/>
      <c r="D347"/>
      <c r="E347" s="69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</row>
    <row r="348" spans="2:27" s="25" customFormat="1" ht="15.75" customHeight="1" x14ac:dyDescent="0.2">
      <c r="B348" s="89"/>
      <c r="C348"/>
      <c r="D348"/>
      <c r="E348" s="69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</row>
    <row r="349" spans="2:27" s="25" customFormat="1" ht="15.75" customHeight="1" x14ac:dyDescent="0.2">
      <c r="B349" s="89"/>
      <c r="C349"/>
      <c r="D349"/>
      <c r="E349" s="6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</row>
    <row r="350" spans="2:27" s="25" customFormat="1" ht="15.75" customHeight="1" x14ac:dyDescent="0.2">
      <c r="B350" s="89"/>
      <c r="C350"/>
      <c r="D350"/>
      <c r="E350" s="69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</row>
    <row r="351" spans="2:27" s="25" customFormat="1" ht="15.75" customHeight="1" x14ac:dyDescent="0.2">
      <c r="B351" s="89"/>
      <c r="C351"/>
      <c r="D351"/>
      <c r="E351" s="69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</row>
    <row r="352" spans="2:27" s="25" customFormat="1" ht="15.75" customHeight="1" x14ac:dyDescent="0.2">
      <c r="B352" s="89"/>
      <c r="C352"/>
      <c r="D352"/>
      <c r="E352" s="69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</row>
    <row r="353" spans="2:27" s="25" customFormat="1" ht="15.75" customHeight="1" x14ac:dyDescent="0.2">
      <c r="B353" s="89"/>
      <c r="C353"/>
      <c r="D353"/>
      <c r="E353" s="69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</row>
    <row r="354" spans="2:27" s="25" customFormat="1" ht="15.75" customHeight="1" x14ac:dyDescent="0.2">
      <c r="B354" s="89"/>
      <c r="C354"/>
      <c r="D354"/>
      <c r="E354" s="69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  <c r="AA354"/>
    </row>
    <row r="355" spans="2:27" s="25" customFormat="1" ht="15.75" customHeight="1" x14ac:dyDescent="0.2">
      <c r="B355" s="89"/>
      <c r="C355"/>
      <c r="D355"/>
      <c r="E355" s="69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</row>
    <row r="356" spans="2:27" s="25" customFormat="1" ht="15.75" customHeight="1" x14ac:dyDescent="0.2">
      <c r="B356" s="89"/>
      <c r="C356"/>
      <c r="D356"/>
      <c r="E356" s="69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</row>
    <row r="357" spans="2:27" s="25" customFormat="1" ht="15.75" customHeight="1" x14ac:dyDescent="0.2">
      <c r="B357" s="89"/>
      <c r="C357"/>
      <c r="D357"/>
      <c r="E357" s="69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</row>
    <row r="358" spans="2:27" s="25" customFormat="1" ht="15.75" customHeight="1" x14ac:dyDescent="0.2">
      <c r="B358" s="89"/>
      <c r="C358"/>
      <c r="D358"/>
      <c r="E358" s="69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</row>
    <row r="359" spans="2:27" s="25" customFormat="1" ht="15.75" customHeight="1" x14ac:dyDescent="0.2">
      <c r="B359" s="89"/>
      <c r="C359"/>
      <c r="D359"/>
      <c r="E359" s="6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</row>
    <row r="360" spans="2:27" s="25" customFormat="1" ht="15.75" customHeight="1" x14ac:dyDescent="0.2">
      <c r="B360" s="89"/>
      <c r="C360"/>
      <c r="D360"/>
      <c r="E360" s="69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</row>
    <row r="361" spans="2:27" s="25" customFormat="1" ht="15.75" customHeight="1" x14ac:dyDescent="0.2">
      <c r="B361" s="89"/>
      <c r="C361"/>
      <c r="D361"/>
      <c r="E361" s="69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</row>
    <row r="362" spans="2:27" s="25" customFormat="1" ht="15.75" customHeight="1" x14ac:dyDescent="0.2">
      <c r="B362" s="89"/>
      <c r="C362"/>
      <c r="D362"/>
      <c r="E362" s="69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</row>
    <row r="363" spans="2:27" s="25" customFormat="1" ht="15.75" customHeight="1" x14ac:dyDescent="0.2">
      <c r="B363" s="89"/>
      <c r="C363"/>
      <c r="D363"/>
      <c r="E363" s="69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</row>
    <row r="364" spans="2:27" s="25" customFormat="1" ht="15.75" customHeight="1" x14ac:dyDescent="0.2">
      <c r="B364" s="89"/>
      <c r="C364"/>
      <c r="D364"/>
      <c r="E364" s="69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</row>
    <row r="365" spans="2:27" s="25" customFormat="1" ht="15.75" customHeight="1" x14ac:dyDescent="0.2">
      <c r="B365" s="89"/>
      <c r="C365"/>
      <c r="D365"/>
      <c r="E365" s="69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</row>
    <row r="366" spans="2:27" s="25" customFormat="1" ht="15.75" customHeight="1" x14ac:dyDescent="0.2">
      <c r="B366" s="89"/>
      <c r="C366"/>
      <c r="D366"/>
      <c r="E366" s="69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</row>
    <row r="367" spans="2:27" s="25" customFormat="1" ht="15.75" customHeight="1" x14ac:dyDescent="0.2">
      <c r="B367" s="89"/>
      <c r="C367"/>
      <c r="D367"/>
      <c r="E367" s="69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</row>
    <row r="368" spans="2:27" s="25" customFormat="1" ht="15.75" customHeight="1" x14ac:dyDescent="0.2">
      <c r="B368" s="89"/>
      <c r="C368"/>
      <c r="D368"/>
      <c r="E368" s="69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</row>
    <row r="369" spans="2:27" s="25" customFormat="1" ht="15.75" customHeight="1" x14ac:dyDescent="0.2">
      <c r="B369" s="89"/>
      <c r="C369"/>
      <c r="D369"/>
      <c r="E369" s="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</row>
    <row r="370" spans="2:27" s="25" customFormat="1" ht="15.75" customHeight="1" x14ac:dyDescent="0.2">
      <c r="B370" s="89"/>
      <c r="C370"/>
      <c r="D370"/>
      <c r="E370" s="69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</row>
    <row r="371" spans="2:27" s="25" customFormat="1" ht="15.75" customHeight="1" x14ac:dyDescent="0.2">
      <c r="B371" s="89"/>
      <c r="C371"/>
      <c r="D371"/>
      <c r="E371" s="69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</row>
    <row r="372" spans="2:27" s="25" customFormat="1" ht="15.75" customHeight="1" x14ac:dyDescent="0.2">
      <c r="B372" s="89"/>
      <c r="C372"/>
      <c r="D372"/>
      <c r="E372" s="69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</row>
    <row r="373" spans="2:27" s="25" customFormat="1" ht="15.75" customHeight="1" x14ac:dyDescent="0.2">
      <c r="B373" s="89"/>
      <c r="C373"/>
      <c r="D373"/>
      <c r="E373" s="69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</row>
    <row r="374" spans="2:27" s="25" customFormat="1" ht="15.75" customHeight="1" x14ac:dyDescent="0.2">
      <c r="B374" s="89"/>
      <c r="C374"/>
      <c r="D374"/>
      <c r="E374" s="69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</row>
    <row r="375" spans="2:27" s="25" customFormat="1" ht="15.75" customHeight="1" x14ac:dyDescent="0.2">
      <c r="B375" s="89"/>
      <c r="C375"/>
      <c r="D375"/>
      <c r="E375" s="69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</row>
    <row r="376" spans="2:27" s="25" customFormat="1" ht="15.75" customHeight="1" x14ac:dyDescent="0.2">
      <c r="B376" s="89"/>
      <c r="C376"/>
      <c r="D376"/>
      <c r="E376" s="69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</row>
    <row r="377" spans="2:27" s="25" customFormat="1" ht="15.75" customHeight="1" x14ac:dyDescent="0.2">
      <c r="B377" s="89"/>
      <c r="C377"/>
      <c r="D377"/>
      <c r="E377" s="69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</row>
    <row r="378" spans="2:27" s="25" customFormat="1" ht="15.75" customHeight="1" x14ac:dyDescent="0.2">
      <c r="B378" s="89"/>
      <c r="C378"/>
      <c r="D378"/>
      <c r="E378" s="69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</row>
    <row r="379" spans="2:27" s="25" customFormat="1" ht="15.75" customHeight="1" x14ac:dyDescent="0.2">
      <c r="B379" s="89"/>
      <c r="C379"/>
      <c r="D379"/>
      <c r="E379" s="6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</row>
    <row r="380" spans="2:27" s="25" customFormat="1" ht="15.75" customHeight="1" x14ac:dyDescent="0.2">
      <c r="B380" s="89"/>
      <c r="C380"/>
      <c r="D380"/>
      <c r="E380" s="69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</row>
    <row r="381" spans="2:27" s="25" customFormat="1" ht="15.75" customHeight="1" x14ac:dyDescent="0.2">
      <c r="B381" s="89"/>
      <c r="C381"/>
      <c r="D381"/>
      <c r="E381" s="69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  <c r="AA381"/>
    </row>
    <row r="382" spans="2:27" s="25" customFormat="1" ht="15.75" customHeight="1" x14ac:dyDescent="0.2">
      <c r="B382" s="89"/>
      <c r="C382"/>
      <c r="D382"/>
      <c r="E382" s="69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  <c r="AA382"/>
    </row>
    <row r="383" spans="2:27" s="25" customFormat="1" ht="15.75" customHeight="1" x14ac:dyDescent="0.2">
      <c r="B383" s="89"/>
      <c r="C383"/>
      <c r="D383"/>
      <c r="E383" s="69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  <c r="AA383"/>
    </row>
    <row r="384" spans="2:27" s="25" customFormat="1" ht="15.75" customHeight="1" x14ac:dyDescent="0.2">
      <c r="B384" s="89"/>
      <c r="C384"/>
      <c r="D384"/>
      <c r="E384" s="69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</row>
    <row r="385" spans="2:27" s="25" customFormat="1" ht="15.75" customHeight="1" x14ac:dyDescent="0.2">
      <c r="B385" s="89"/>
      <c r="C385"/>
      <c r="D385"/>
      <c r="E385" s="69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  <c r="AA385"/>
    </row>
    <row r="386" spans="2:27" s="25" customFormat="1" ht="15.75" customHeight="1" x14ac:dyDescent="0.2">
      <c r="B386" s="89"/>
      <c r="C386"/>
      <c r="D386"/>
      <c r="E386" s="69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</row>
    <row r="387" spans="2:27" s="25" customFormat="1" ht="15.75" customHeight="1" x14ac:dyDescent="0.2">
      <c r="B387" s="89"/>
      <c r="C387"/>
      <c r="D387"/>
      <c r="E387" s="69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/>
    </row>
    <row r="388" spans="2:27" s="25" customFormat="1" ht="15.75" customHeight="1" x14ac:dyDescent="0.2">
      <c r="B388" s="89"/>
      <c r="C388"/>
      <c r="D388"/>
      <c r="E388" s="69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</row>
    <row r="389" spans="2:27" s="25" customFormat="1" ht="15.75" customHeight="1" x14ac:dyDescent="0.2">
      <c r="B389" s="89"/>
      <c r="C389"/>
      <c r="D389"/>
      <c r="E389" s="6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</row>
    <row r="390" spans="2:27" s="25" customFormat="1" ht="15.75" customHeight="1" x14ac:dyDescent="0.2">
      <c r="B390" s="89"/>
      <c r="C390"/>
      <c r="D390"/>
      <c r="E390" s="69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</row>
    <row r="391" spans="2:27" s="25" customFormat="1" ht="15.75" customHeight="1" x14ac:dyDescent="0.2">
      <c r="B391" s="89"/>
      <c r="C391"/>
      <c r="D391"/>
      <c r="E391" s="69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  <c r="AA391"/>
    </row>
    <row r="392" spans="2:27" s="25" customFormat="1" ht="15.75" customHeight="1" x14ac:dyDescent="0.2">
      <c r="B392" s="89"/>
      <c r="C392"/>
      <c r="D392"/>
      <c r="E392" s="69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</row>
    <row r="393" spans="2:27" s="25" customFormat="1" ht="15.75" customHeight="1" x14ac:dyDescent="0.2">
      <c r="B393" s="89"/>
      <c r="C393"/>
      <c r="D393"/>
      <c r="E393" s="69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  <c r="AA393"/>
    </row>
    <row r="394" spans="2:27" s="25" customFormat="1" ht="15.75" customHeight="1" x14ac:dyDescent="0.2">
      <c r="B394" s="89"/>
      <c r="C394"/>
      <c r="D394"/>
      <c r="E394" s="69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  <c r="AA394"/>
    </row>
    <row r="395" spans="2:27" s="25" customFormat="1" ht="15.75" customHeight="1" x14ac:dyDescent="0.2">
      <c r="B395" s="89"/>
      <c r="C395"/>
      <c r="D395"/>
      <c r="E395" s="69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  <c r="AA395"/>
    </row>
    <row r="396" spans="2:27" s="25" customFormat="1" ht="15.75" customHeight="1" x14ac:dyDescent="0.2">
      <c r="B396" s="89"/>
      <c r="C396"/>
      <c r="D396"/>
      <c r="E396" s="69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</row>
    <row r="397" spans="2:27" s="25" customFormat="1" ht="15.75" customHeight="1" x14ac:dyDescent="0.2">
      <c r="B397" s="89"/>
      <c r="C397"/>
      <c r="D397"/>
      <c r="E397" s="69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</row>
    <row r="398" spans="2:27" s="25" customFormat="1" ht="15.75" customHeight="1" x14ac:dyDescent="0.2">
      <c r="B398" s="89"/>
      <c r="C398"/>
      <c r="D398"/>
      <c r="E398" s="69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</row>
    <row r="399" spans="2:27" s="25" customFormat="1" ht="15.75" customHeight="1" x14ac:dyDescent="0.2">
      <c r="B399" s="89"/>
      <c r="C399"/>
      <c r="D399"/>
      <c r="E399" s="6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</row>
    <row r="400" spans="2:27" s="25" customFormat="1" ht="15.75" customHeight="1" x14ac:dyDescent="0.2">
      <c r="B400" s="89"/>
      <c r="C400"/>
      <c r="D400"/>
      <c r="E400" s="69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</row>
    <row r="401" spans="2:27" s="25" customFormat="1" ht="15.75" customHeight="1" x14ac:dyDescent="0.2">
      <c r="B401" s="89"/>
      <c r="C401"/>
      <c r="D401"/>
      <c r="E401" s="69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</row>
    <row r="402" spans="2:27" s="25" customFormat="1" ht="15.75" customHeight="1" x14ac:dyDescent="0.2">
      <c r="B402" s="89"/>
      <c r="C402"/>
      <c r="D402"/>
      <c r="E402" s="69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</row>
    <row r="403" spans="2:27" s="25" customFormat="1" ht="15.75" customHeight="1" x14ac:dyDescent="0.2">
      <c r="B403" s="89"/>
      <c r="C403"/>
      <c r="D403"/>
      <c r="E403" s="69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</row>
    <row r="404" spans="2:27" s="25" customFormat="1" ht="15.75" customHeight="1" x14ac:dyDescent="0.2">
      <c r="B404" s="89"/>
      <c r="C404"/>
      <c r="D404"/>
      <c r="E404" s="69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</row>
    <row r="405" spans="2:27" s="25" customFormat="1" ht="15.75" customHeight="1" x14ac:dyDescent="0.2">
      <c r="B405" s="89"/>
      <c r="C405"/>
      <c r="D405"/>
      <c r="E405" s="69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</row>
    <row r="406" spans="2:27" s="25" customFormat="1" ht="15.75" customHeight="1" x14ac:dyDescent="0.2">
      <c r="B406" s="89"/>
      <c r="C406"/>
      <c r="D406"/>
      <c r="E406" s="69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  <c r="AA406"/>
    </row>
    <row r="407" spans="2:27" s="25" customFormat="1" ht="15.75" customHeight="1" x14ac:dyDescent="0.2">
      <c r="B407" s="89"/>
      <c r="C407"/>
      <c r="D407"/>
      <c r="E407" s="69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  <c r="AA407"/>
    </row>
    <row r="408" spans="2:27" s="25" customFormat="1" ht="15.75" customHeight="1" x14ac:dyDescent="0.2">
      <c r="B408" s="89"/>
      <c r="C408"/>
      <c r="D408"/>
      <c r="E408" s="69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</row>
    <row r="409" spans="2:27" s="25" customFormat="1" ht="15.75" customHeight="1" x14ac:dyDescent="0.2">
      <c r="B409" s="89"/>
      <c r="C409"/>
      <c r="D409"/>
      <c r="E409" s="6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</row>
    <row r="410" spans="2:27" s="25" customFormat="1" ht="15.75" customHeight="1" x14ac:dyDescent="0.2">
      <c r="B410" s="89"/>
      <c r="C410"/>
      <c r="D410"/>
      <c r="E410" s="69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</row>
    <row r="411" spans="2:27" s="25" customFormat="1" ht="15.75" customHeight="1" x14ac:dyDescent="0.2">
      <c r="B411" s="89"/>
      <c r="C411"/>
      <c r="D411"/>
      <c r="E411" s="69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  <c r="AA411"/>
    </row>
    <row r="412" spans="2:27" s="25" customFormat="1" ht="15.75" customHeight="1" x14ac:dyDescent="0.2">
      <c r="B412" s="89"/>
      <c r="C412"/>
      <c r="D412"/>
      <c r="E412" s="69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</row>
    <row r="413" spans="2:27" s="25" customFormat="1" ht="15.75" customHeight="1" x14ac:dyDescent="0.2">
      <c r="B413" s="89"/>
      <c r="C413"/>
      <c r="D413"/>
      <c r="E413" s="69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/>
    </row>
    <row r="414" spans="2:27" s="25" customFormat="1" ht="15.75" customHeight="1" x14ac:dyDescent="0.2">
      <c r="B414" s="89"/>
      <c r="C414"/>
      <c r="D414"/>
      <c r="E414" s="69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  <c r="AA414"/>
    </row>
    <row r="415" spans="2:27" s="25" customFormat="1" ht="15.75" customHeight="1" x14ac:dyDescent="0.2">
      <c r="B415" s="89"/>
      <c r="C415"/>
      <c r="D415"/>
      <c r="E415" s="69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  <c r="Z415"/>
      <c r="AA415"/>
    </row>
    <row r="416" spans="2:27" s="25" customFormat="1" ht="15.75" customHeight="1" x14ac:dyDescent="0.2">
      <c r="B416" s="89"/>
      <c r="C416"/>
      <c r="D416"/>
      <c r="E416" s="69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  <c r="AA416"/>
    </row>
    <row r="417" spans="2:27" s="25" customFormat="1" ht="15.75" customHeight="1" x14ac:dyDescent="0.2">
      <c r="B417" s="89"/>
      <c r="C417"/>
      <c r="D417"/>
      <c r="E417" s="69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  <c r="AA417"/>
    </row>
    <row r="418" spans="2:27" s="25" customFormat="1" ht="15.75" customHeight="1" x14ac:dyDescent="0.2">
      <c r="B418" s="89"/>
      <c r="C418"/>
      <c r="D418"/>
      <c r="E418" s="69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  <c r="AA418"/>
    </row>
    <row r="419" spans="2:27" s="25" customFormat="1" ht="15.75" customHeight="1" x14ac:dyDescent="0.2">
      <c r="B419" s="89"/>
      <c r="C419"/>
      <c r="D419"/>
      <c r="E419" s="6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  <c r="AA419"/>
    </row>
    <row r="420" spans="2:27" s="25" customFormat="1" ht="15.75" customHeight="1" x14ac:dyDescent="0.2">
      <c r="B420" s="89"/>
      <c r="C420"/>
      <c r="D420"/>
      <c r="E420" s="69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</row>
    <row r="421" spans="2:27" s="25" customFormat="1" ht="15.75" customHeight="1" x14ac:dyDescent="0.2">
      <c r="B421" s="89"/>
      <c r="C421"/>
      <c r="D421"/>
      <c r="E421" s="69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/>
      <c r="W421"/>
      <c r="X421"/>
      <c r="Y421"/>
      <c r="Z421"/>
      <c r="AA421"/>
    </row>
    <row r="422" spans="2:27" s="25" customFormat="1" ht="15.75" customHeight="1" x14ac:dyDescent="0.2">
      <c r="B422" s="89"/>
      <c r="C422"/>
      <c r="D422"/>
      <c r="E422" s="69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  <c r="AA422"/>
    </row>
    <row r="423" spans="2:27" s="25" customFormat="1" ht="15.75" customHeight="1" x14ac:dyDescent="0.2">
      <c r="B423" s="89"/>
      <c r="C423"/>
      <c r="D423"/>
      <c r="E423" s="69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  <c r="AA423"/>
    </row>
    <row r="424" spans="2:27" s="25" customFormat="1" ht="15.75" customHeight="1" x14ac:dyDescent="0.2">
      <c r="B424" s="89"/>
      <c r="C424"/>
      <c r="D424"/>
      <c r="E424" s="69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  <c r="AA424"/>
    </row>
    <row r="425" spans="2:27" s="25" customFormat="1" ht="15.75" customHeight="1" x14ac:dyDescent="0.2">
      <c r="B425" s="89"/>
      <c r="C425"/>
      <c r="D425"/>
      <c r="E425" s="69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  <c r="AA425"/>
    </row>
    <row r="426" spans="2:27" s="25" customFormat="1" ht="15.75" customHeight="1" x14ac:dyDescent="0.2">
      <c r="B426" s="89"/>
      <c r="C426"/>
      <c r="D426"/>
      <c r="E426" s="69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  <c r="AA426"/>
    </row>
    <row r="427" spans="2:27" s="25" customFormat="1" ht="15.75" customHeight="1" x14ac:dyDescent="0.2">
      <c r="B427" s="89"/>
      <c r="C427"/>
      <c r="D427"/>
      <c r="E427" s="69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  <c r="AA427"/>
    </row>
    <row r="428" spans="2:27" s="25" customFormat="1" ht="15.75" customHeight="1" x14ac:dyDescent="0.2">
      <c r="B428" s="89"/>
      <c r="C428"/>
      <c r="D428"/>
      <c r="E428" s="69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</row>
    <row r="429" spans="2:27" s="25" customFormat="1" ht="15.75" customHeight="1" x14ac:dyDescent="0.2">
      <c r="B429" s="89"/>
      <c r="C429"/>
      <c r="D429"/>
      <c r="E429" s="6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  <c r="AA429"/>
    </row>
    <row r="430" spans="2:27" s="25" customFormat="1" ht="15.75" customHeight="1" x14ac:dyDescent="0.2">
      <c r="B430" s="89"/>
      <c r="C430"/>
      <c r="D430"/>
      <c r="E430" s="69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  <c r="W430"/>
      <c r="X430"/>
      <c r="Y430"/>
      <c r="Z430"/>
      <c r="AA430"/>
    </row>
    <row r="431" spans="2:27" s="25" customFormat="1" ht="15.75" customHeight="1" x14ac:dyDescent="0.2">
      <c r="B431" s="89"/>
      <c r="C431"/>
      <c r="D431"/>
      <c r="E431" s="69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  <c r="Y431"/>
      <c r="Z431"/>
      <c r="AA431"/>
    </row>
    <row r="432" spans="2:27" s="25" customFormat="1" ht="15.75" customHeight="1" x14ac:dyDescent="0.2">
      <c r="B432" s="89"/>
      <c r="C432"/>
      <c r="D432"/>
      <c r="E432" s="69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  <c r="AA432"/>
    </row>
    <row r="433" spans="2:27" s="25" customFormat="1" ht="15.75" customHeight="1" x14ac:dyDescent="0.2">
      <c r="B433" s="89"/>
      <c r="C433"/>
      <c r="D433"/>
      <c r="E433" s="69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  <c r="AA433"/>
    </row>
    <row r="434" spans="2:27" s="25" customFormat="1" ht="15.75" customHeight="1" x14ac:dyDescent="0.2">
      <c r="B434" s="89"/>
      <c r="C434"/>
      <c r="D434"/>
      <c r="E434" s="69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  <c r="AA434"/>
    </row>
    <row r="435" spans="2:27" s="25" customFormat="1" ht="15.75" customHeight="1" x14ac:dyDescent="0.2">
      <c r="B435" s="89"/>
      <c r="C435"/>
      <c r="D435"/>
      <c r="E435" s="69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  <c r="V435"/>
      <c r="W435"/>
      <c r="X435"/>
      <c r="Y435"/>
      <c r="Z435"/>
      <c r="AA435"/>
    </row>
    <row r="436" spans="2:27" s="25" customFormat="1" ht="15.75" customHeight="1" x14ac:dyDescent="0.2">
      <c r="B436" s="89"/>
      <c r="C436"/>
      <c r="D436"/>
      <c r="E436" s="69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</row>
    <row r="437" spans="2:27" s="25" customFormat="1" ht="15.75" customHeight="1" x14ac:dyDescent="0.2">
      <c r="B437" s="89"/>
      <c r="C437"/>
      <c r="D437"/>
      <c r="E437" s="69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  <c r="Y437"/>
      <c r="Z437"/>
      <c r="AA437"/>
    </row>
    <row r="438" spans="2:27" s="25" customFormat="1" ht="15.75" customHeight="1" x14ac:dyDescent="0.2">
      <c r="B438" s="89"/>
      <c r="C438"/>
      <c r="D438"/>
      <c r="E438" s="69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  <c r="W438"/>
      <c r="X438"/>
      <c r="Y438"/>
      <c r="Z438"/>
      <c r="AA438"/>
    </row>
    <row r="439" spans="2:27" s="25" customFormat="1" ht="15.75" customHeight="1" x14ac:dyDescent="0.2">
      <c r="B439" s="89"/>
      <c r="C439"/>
      <c r="D439"/>
      <c r="E439" s="6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  <c r="AA439"/>
    </row>
    <row r="440" spans="2:27" s="25" customFormat="1" ht="15.75" customHeight="1" x14ac:dyDescent="0.2">
      <c r="B440" s="89"/>
      <c r="C440"/>
      <c r="D440"/>
      <c r="E440" s="69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</row>
    <row r="441" spans="2:27" s="25" customFormat="1" ht="15.75" customHeight="1" x14ac:dyDescent="0.2">
      <c r="B441" s="89"/>
      <c r="C441"/>
      <c r="D441"/>
      <c r="E441" s="69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/>
      <c r="W441"/>
      <c r="X441"/>
      <c r="Y441"/>
      <c r="Z441"/>
      <c r="AA441"/>
    </row>
    <row r="442" spans="2:27" s="25" customFormat="1" ht="15.75" customHeight="1" x14ac:dyDescent="0.2">
      <c r="B442" s="89"/>
      <c r="C442"/>
      <c r="D442"/>
      <c r="E442" s="69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  <c r="AA442"/>
    </row>
    <row r="443" spans="2:27" s="25" customFormat="1" ht="15.75" customHeight="1" x14ac:dyDescent="0.2">
      <c r="B443" s="89"/>
      <c r="C443"/>
      <c r="D443"/>
      <c r="E443" s="69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  <c r="AA443"/>
    </row>
    <row r="444" spans="2:27" s="25" customFormat="1" ht="15.75" customHeight="1" x14ac:dyDescent="0.2">
      <c r="B444" s="89"/>
      <c r="C444"/>
      <c r="D444"/>
      <c r="E444" s="69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  <c r="AA444"/>
    </row>
    <row r="445" spans="2:27" s="25" customFormat="1" ht="15.75" customHeight="1" x14ac:dyDescent="0.2">
      <c r="B445" s="89"/>
      <c r="C445"/>
      <c r="D445"/>
      <c r="E445" s="69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  <c r="V445"/>
      <c r="W445"/>
      <c r="X445"/>
      <c r="Y445"/>
      <c r="Z445"/>
      <c r="AA445"/>
    </row>
    <row r="446" spans="2:27" s="25" customFormat="1" ht="15.75" customHeight="1" x14ac:dyDescent="0.2">
      <c r="B446" s="89"/>
      <c r="C446"/>
      <c r="D446"/>
      <c r="E446" s="69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  <c r="Y446"/>
      <c r="Z446"/>
      <c r="AA446"/>
    </row>
    <row r="447" spans="2:27" s="25" customFormat="1" ht="15.75" customHeight="1" x14ac:dyDescent="0.2">
      <c r="B447" s="89"/>
      <c r="C447"/>
      <c r="D447"/>
      <c r="E447" s="69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  <c r="W447"/>
      <c r="X447"/>
      <c r="Y447"/>
      <c r="Z447"/>
      <c r="AA447"/>
    </row>
    <row r="448" spans="2:27" s="25" customFormat="1" ht="15.75" customHeight="1" x14ac:dyDescent="0.2">
      <c r="B448" s="89"/>
      <c r="C448"/>
      <c r="D448"/>
      <c r="E448" s="69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</row>
    <row r="449" spans="2:27" s="25" customFormat="1" ht="15.75" customHeight="1" x14ac:dyDescent="0.2">
      <c r="B449" s="89"/>
      <c r="C449"/>
      <c r="D449"/>
      <c r="E449" s="6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  <c r="W449"/>
      <c r="X449"/>
      <c r="Y449"/>
      <c r="Z449"/>
      <c r="AA449"/>
    </row>
    <row r="450" spans="2:27" s="25" customFormat="1" ht="15.75" customHeight="1" x14ac:dyDescent="0.2">
      <c r="B450" s="89"/>
      <c r="C450"/>
      <c r="D450"/>
      <c r="E450" s="69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  <c r="AA450"/>
    </row>
    <row r="451" spans="2:27" s="25" customFormat="1" ht="15.75" customHeight="1" x14ac:dyDescent="0.2">
      <c r="B451" s="89"/>
      <c r="C451"/>
      <c r="D451"/>
      <c r="E451" s="69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  <c r="AA451"/>
    </row>
    <row r="452" spans="2:27" s="25" customFormat="1" ht="15.75" customHeight="1" x14ac:dyDescent="0.2">
      <c r="B452" s="89"/>
      <c r="C452"/>
      <c r="D452"/>
      <c r="E452" s="69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</row>
    <row r="453" spans="2:27" s="25" customFormat="1" ht="15.75" customHeight="1" x14ac:dyDescent="0.2">
      <c r="B453" s="89"/>
      <c r="C453"/>
      <c r="D453"/>
      <c r="E453" s="69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  <c r="AA453"/>
    </row>
    <row r="454" spans="2:27" s="25" customFormat="1" ht="15.75" customHeight="1" x14ac:dyDescent="0.2">
      <c r="B454" s="89"/>
      <c r="C454"/>
      <c r="D454"/>
      <c r="E454" s="69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  <c r="AA454"/>
    </row>
    <row r="455" spans="2:27" s="25" customFormat="1" ht="15.75" customHeight="1" x14ac:dyDescent="0.2">
      <c r="B455" s="89"/>
      <c r="C455"/>
      <c r="D455"/>
      <c r="E455" s="69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  <c r="AA455"/>
    </row>
    <row r="456" spans="2:27" s="25" customFormat="1" ht="15.75" customHeight="1" x14ac:dyDescent="0.2">
      <c r="B456" s="89"/>
      <c r="C456"/>
      <c r="D456"/>
      <c r="E456" s="69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  <c r="AA456"/>
    </row>
    <row r="457" spans="2:27" s="25" customFormat="1" ht="15.75" customHeight="1" x14ac:dyDescent="0.2">
      <c r="B457" s="89"/>
      <c r="C457"/>
      <c r="D457"/>
      <c r="E457" s="69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  <c r="AA457"/>
    </row>
    <row r="458" spans="2:27" s="25" customFormat="1" ht="15.75" customHeight="1" x14ac:dyDescent="0.2">
      <c r="B458" s="89"/>
      <c r="C458"/>
      <c r="D458"/>
      <c r="E458" s="69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  <c r="V458"/>
      <c r="W458"/>
      <c r="X458"/>
      <c r="Y458"/>
      <c r="Z458"/>
      <c r="AA458"/>
    </row>
    <row r="459" spans="2:27" s="25" customFormat="1" ht="15.75" customHeight="1" x14ac:dyDescent="0.2">
      <c r="B459" s="89"/>
      <c r="C459"/>
      <c r="D459"/>
      <c r="E459" s="6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  <c r="AA459"/>
    </row>
    <row r="460" spans="2:27" s="25" customFormat="1" ht="15.75" customHeight="1" x14ac:dyDescent="0.2">
      <c r="B460" s="89"/>
      <c r="C460"/>
      <c r="D460"/>
      <c r="E460" s="69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  <c r="AA460"/>
    </row>
    <row r="461" spans="2:27" s="25" customFormat="1" ht="15.75" customHeight="1" x14ac:dyDescent="0.2">
      <c r="B461" s="89"/>
      <c r="C461"/>
      <c r="D461"/>
      <c r="E461" s="69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  <c r="AA461"/>
    </row>
    <row r="462" spans="2:27" s="25" customFormat="1" ht="15.75" customHeight="1" x14ac:dyDescent="0.2">
      <c r="B462" s="89"/>
      <c r="C462"/>
      <c r="D462"/>
      <c r="E462" s="69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  <c r="AA462"/>
    </row>
    <row r="463" spans="2:27" s="25" customFormat="1" ht="15.75" customHeight="1" x14ac:dyDescent="0.2">
      <c r="B463" s="89"/>
      <c r="C463"/>
      <c r="D463"/>
      <c r="E463" s="69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  <c r="AA463"/>
    </row>
    <row r="464" spans="2:27" s="25" customFormat="1" ht="15.75" customHeight="1" x14ac:dyDescent="0.2">
      <c r="B464" s="89"/>
      <c r="C464"/>
      <c r="D464"/>
      <c r="E464" s="69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  <c r="AA464"/>
    </row>
    <row r="465" spans="2:27" s="25" customFormat="1" ht="15.75" customHeight="1" x14ac:dyDescent="0.2">
      <c r="B465" s="89"/>
      <c r="C465"/>
      <c r="D465"/>
      <c r="E465" s="69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  <c r="AA465"/>
    </row>
    <row r="466" spans="2:27" s="25" customFormat="1" ht="15.75" customHeight="1" x14ac:dyDescent="0.2">
      <c r="B466" s="89"/>
      <c r="C466"/>
      <c r="D466"/>
      <c r="E466" s="69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  <c r="AA466"/>
    </row>
    <row r="467" spans="2:27" s="25" customFormat="1" ht="15.75" customHeight="1" x14ac:dyDescent="0.2">
      <c r="B467" s="89"/>
      <c r="C467"/>
      <c r="D467"/>
      <c r="E467" s="69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  <c r="AA467"/>
    </row>
    <row r="468" spans="2:27" s="25" customFormat="1" ht="15.75" customHeight="1" x14ac:dyDescent="0.2">
      <c r="B468" s="89"/>
      <c r="C468"/>
      <c r="D468"/>
      <c r="E468" s="69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</row>
    <row r="469" spans="2:27" s="25" customFormat="1" ht="15.75" customHeight="1" x14ac:dyDescent="0.2">
      <c r="B469" s="89"/>
      <c r="C469"/>
      <c r="D469"/>
      <c r="E469" s="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  <c r="AA469"/>
    </row>
    <row r="470" spans="2:27" s="25" customFormat="1" ht="15.75" customHeight="1" x14ac:dyDescent="0.2">
      <c r="B470" s="89"/>
      <c r="C470"/>
      <c r="D470"/>
      <c r="E470" s="69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  <c r="AA470"/>
    </row>
    <row r="471" spans="2:27" s="25" customFormat="1" ht="15.75" customHeight="1" x14ac:dyDescent="0.2">
      <c r="B471" s="89"/>
      <c r="C471"/>
      <c r="D471"/>
      <c r="E471" s="69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  <c r="AA471"/>
    </row>
    <row r="472" spans="2:27" s="25" customFormat="1" ht="15.75" customHeight="1" x14ac:dyDescent="0.2">
      <c r="B472" s="89"/>
      <c r="C472"/>
      <c r="D472"/>
      <c r="E472" s="69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  <c r="AA472"/>
    </row>
    <row r="473" spans="2:27" s="25" customFormat="1" ht="15.75" customHeight="1" x14ac:dyDescent="0.2">
      <c r="B473" s="89"/>
      <c r="C473"/>
      <c r="D473"/>
      <c r="E473" s="69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  <c r="W473"/>
      <c r="X473"/>
      <c r="Y473"/>
      <c r="Z473"/>
      <c r="AA473"/>
    </row>
    <row r="474" spans="2:27" s="25" customFormat="1" ht="15.75" customHeight="1" x14ac:dyDescent="0.2">
      <c r="B474" s="89"/>
      <c r="C474"/>
      <c r="D474"/>
      <c r="E474" s="69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/>
      <c r="W474"/>
      <c r="X474"/>
      <c r="Y474"/>
      <c r="Z474"/>
      <c r="AA474"/>
    </row>
    <row r="475" spans="2:27" s="25" customFormat="1" ht="15.75" customHeight="1" x14ac:dyDescent="0.2">
      <c r="B475" s="89"/>
      <c r="C475"/>
      <c r="D475"/>
      <c r="E475" s="69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  <c r="W475"/>
      <c r="X475"/>
      <c r="Y475"/>
      <c r="Z475"/>
      <c r="AA475"/>
    </row>
    <row r="476" spans="2:27" s="25" customFormat="1" ht="15.75" customHeight="1" x14ac:dyDescent="0.2">
      <c r="B476" s="89"/>
      <c r="C476"/>
      <c r="D476"/>
      <c r="E476" s="69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  <c r="W476"/>
      <c r="X476"/>
      <c r="Y476"/>
      <c r="Z476"/>
      <c r="AA476"/>
    </row>
    <row r="477" spans="2:27" s="25" customFormat="1" ht="15.75" customHeight="1" x14ac:dyDescent="0.2">
      <c r="B477" s="89"/>
      <c r="C477"/>
      <c r="D477"/>
      <c r="E477" s="69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  <c r="W477"/>
      <c r="X477"/>
      <c r="Y477"/>
      <c r="Z477"/>
      <c r="AA477"/>
    </row>
    <row r="478" spans="2:27" s="25" customFormat="1" ht="15.75" customHeight="1" x14ac:dyDescent="0.2">
      <c r="B478" s="89"/>
      <c r="C478"/>
      <c r="D478"/>
      <c r="E478" s="69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  <c r="W478"/>
      <c r="X478"/>
      <c r="Y478"/>
      <c r="Z478"/>
      <c r="AA478"/>
    </row>
    <row r="479" spans="2:27" s="25" customFormat="1" ht="15.75" customHeight="1" x14ac:dyDescent="0.2">
      <c r="B479" s="89"/>
      <c r="C479"/>
      <c r="D479"/>
      <c r="E479" s="6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  <c r="W479"/>
      <c r="X479"/>
      <c r="Y479"/>
      <c r="Z479"/>
      <c r="AA479"/>
    </row>
    <row r="480" spans="2:27" s="25" customFormat="1" ht="15.75" customHeight="1" x14ac:dyDescent="0.2">
      <c r="B480" s="89"/>
      <c r="C480"/>
      <c r="D480"/>
      <c r="E480" s="69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  <c r="AA480"/>
    </row>
    <row r="481" spans="2:27" s="25" customFormat="1" ht="15.75" customHeight="1" x14ac:dyDescent="0.2">
      <c r="B481" s="89"/>
      <c r="C481"/>
      <c r="D481"/>
      <c r="E481" s="69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  <c r="V481"/>
      <c r="W481"/>
      <c r="X481"/>
      <c r="Y481"/>
      <c r="Z481"/>
      <c r="AA481"/>
    </row>
    <row r="482" spans="2:27" s="25" customFormat="1" ht="15.75" customHeight="1" x14ac:dyDescent="0.2">
      <c r="B482" s="89"/>
      <c r="C482"/>
      <c r="D482"/>
      <c r="E482" s="69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  <c r="W482"/>
      <c r="X482"/>
      <c r="Y482"/>
      <c r="Z482"/>
      <c r="AA482"/>
    </row>
    <row r="483" spans="2:27" s="25" customFormat="1" ht="15.75" customHeight="1" x14ac:dyDescent="0.2">
      <c r="B483" s="89"/>
      <c r="C483"/>
      <c r="D483"/>
      <c r="E483" s="69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  <c r="W483"/>
      <c r="X483"/>
      <c r="Y483"/>
      <c r="Z483"/>
      <c r="AA483"/>
    </row>
    <row r="484" spans="2:27" s="25" customFormat="1" ht="15.75" customHeight="1" x14ac:dyDescent="0.2">
      <c r="B484" s="89"/>
      <c r="C484"/>
      <c r="D484"/>
      <c r="E484" s="69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  <c r="AA484"/>
    </row>
    <row r="485" spans="2:27" s="25" customFormat="1" ht="15.75" customHeight="1" x14ac:dyDescent="0.2">
      <c r="B485" s="89"/>
      <c r="C485"/>
      <c r="D485"/>
      <c r="E485" s="69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  <c r="W485"/>
      <c r="X485"/>
      <c r="Y485"/>
      <c r="Z485"/>
      <c r="AA485"/>
    </row>
    <row r="486" spans="2:27" s="25" customFormat="1" ht="15.75" customHeight="1" x14ac:dyDescent="0.2">
      <c r="B486" s="89"/>
      <c r="C486"/>
      <c r="D486"/>
      <c r="E486" s="69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  <c r="V486"/>
      <c r="W486"/>
      <c r="X486"/>
      <c r="Y486"/>
      <c r="Z486"/>
      <c r="AA486"/>
    </row>
    <row r="487" spans="2:27" s="25" customFormat="1" ht="15.75" customHeight="1" x14ac:dyDescent="0.2">
      <c r="B487" s="89"/>
      <c r="C487"/>
      <c r="D487"/>
      <c r="E487" s="69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  <c r="V487"/>
      <c r="W487"/>
      <c r="X487"/>
      <c r="Y487"/>
      <c r="Z487"/>
      <c r="AA487"/>
    </row>
    <row r="488" spans="2:27" s="25" customFormat="1" ht="15.75" customHeight="1" x14ac:dyDescent="0.2">
      <c r="B488" s="89"/>
      <c r="C488"/>
      <c r="D488"/>
      <c r="E488" s="69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  <c r="AA488"/>
    </row>
    <row r="489" spans="2:27" s="25" customFormat="1" ht="15.75" customHeight="1" x14ac:dyDescent="0.2">
      <c r="B489" s="89"/>
      <c r="C489"/>
      <c r="D489"/>
      <c r="E489" s="6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  <c r="W489"/>
      <c r="X489"/>
      <c r="Y489"/>
      <c r="Z489"/>
      <c r="AA489"/>
    </row>
    <row r="490" spans="2:27" s="25" customFormat="1" ht="15.75" customHeight="1" x14ac:dyDescent="0.2">
      <c r="B490" s="89"/>
      <c r="C490"/>
      <c r="D490"/>
      <c r="E490" s="69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  <c r="V490"/>
      <c r="W490"/>
      <c r="X490"/>
      <c r="Y490"/>
      <c r="Z490"/>
      <c r="AA490"/>
    </row>
    <row r="491" spans="2:27" s="25" customFormat="1" ht="15.75" customHeight="1" x14ac:dyDescent="0.2">
      <c r="B491" s="89"/>
      <c r="C491"/>
      <c r="D491"/>
      <c r="E491" s="69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  <c r="V491"/>
      <c r="W491"/>
      <c r="X491"/>
      <c r="Y491"/>
      <c r="Z491"/>
      <c r="AA491"/>
    </row>
    <row r="492" spans="2:27" s="25" customFormat="1" ht="15.75" customHeight="1" x14ac:dyDescent="0.2">
      <c r="B492" s="89"/>
      <c r="C492"/>
      <c r="D492"/>
      <c r="E492" s="69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  <c r="AA492"/>
    </row>
    <row r="493" spans="2:27" s="25" customFormat="1" ht="15.75" customHeight="1" x14ac:dyDescent="0.2">
      <c r="B493" s="89"/>
      <c r="C493"/>
      <c r="D493"/>
      <c r="E493" s="69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  <c r="W493"/>
      <c r="X493"/>
      <c r="Y493"/>
      <c r="Z493"/>
      <c r="AA493"/>
    </row>
    <row r="494" spans="2:27" s="25" customFormat="1" ht="15.75" customHeight="1" x14ac:dyDescent="0.2">
      <c r="B494" s="89"/>
      <c r="C494"/>
      <c r="D494"/>
      <c r="E494" s="69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  <c r="W494"/>
      <c r="X494"/>
      <c r="Y494"/>
      <c r="Z494"/>
      <c r="AA494"/>
    </row>
    <row r="495" spans="2:27" s="25" customFormat="1" ht="15.75" customHeight="1" x14ac:dyDescent="0.2">
      <c r="B495" s="89"/>
      <c r="C495"/>
      <c r="D495"/>
      <c r="E495" s="69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  <c r="V495"/>
      <c r="W495"/>
      <c r="X495"/>
      <c r="Y495"/>
      <c r="Z495"/>
      <c r="AA495"/>
    </row>
    <row r="496" spans="2:27" s="25" customFormat="1" ht="15.75" customHeight="1" x14ac:dyDescent="0.2">
      <c r="B496" s="89"/>
      <c r="C496"/>
      <c r="D496"/>
      <c r="E496" s="69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  <c r="W496"/>
      <c r="X496"/>
      <c r="Y496"/>
      <c r="Z496"/>
      <c r="AA496"/>
    </row>
    <row r="497" spans="2:27" s="25" customFormat="1" ht="15.75" customHeight="1" x14ac:dyDescent="0.2">
      <c r="B497" s="89"/>
      <c r="C497"/>
      <c r="D497"/>
      <c r="E497" s="69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  <c r="W497"/>
      <c r="X497"/>
      <c r="Y497"/>
      <c r="Z497"/>
      <c r="AA497"/>
    </row>
    <row r="498" spans="2:27" s="25" customFormat="1" ht="15.75" customHeight="1" x14ac:dyDescent="0.2">
      <c r="B498" s="89"/>
      <c r="C498"/>
      <c r="D498"/>
      <c r="E498" s="69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  <c r="W498"/>
      <c r="X498"/>
      <c r="Y498"/>
      <c r="Z498"/>
      <c r="AA498"/>
    </row>
    <row r="499" spans="2:27" s="25" customFormat="1" ht="15.75" customHeight="1" x14ac:dyDescent="0.2">
      <c r="B499" s="89"/>
      <c r="C499"/>
      <c r="D499"/>
      <c r="E499" s="6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  <c r="W499"/>
      <c r="X499"/>
      <c r="Y499"/>
      <c r="Z499"/>
      <c r="AA499"/>
    </row>
    <row r="500" spans="2:27" s="25" customFormat="1" ht="15.75" customHeight="1" x14ac:dyDescent="0.2">
      <c r="B500" s="89"/>
      <c r="C500"/>
      <c r="D500"/>
      <c r="E500" s="69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  <c r="AA500"/>
    </row>
    <row r="501" spans="2:27" s="25" customFormat="1" ht="15.75" customHeight="1" x14ac:dyDescent="0.2">
      <c r="B501" s="89"/>
      <c r="C501"/>
      <c r="D501"/>
      <c r="E501" s="69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/>
      <c r="W501"/>
      <c r="X501"/>
      <c r="Y501"/>
      <c r="Z501"/>
      <c r="AA501"/>
    </row>
    <row r="502" spans="2:27" s="25" customFormat="1" ht="15.75" customHeight="1" x14ac:dyDescent="0.2">
      <c r="B502" s="89"/>
      <c r="C502"/>
      <c r="D502"/>
      <c r="E502" s="69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  <c r="W502"/>
      <c r="X502"/>
      <c r="Y502"/>
      <c r="Z502"/>
      <c r="AA502"/>
    </row>
    <row r="503" spans="2:27" s="25" customFormat="1" ht="15.75" customHeight="1" x14ac:dyDescent="0.2">
      <c r="B503" s="89"/>
      <c r="C503"/>
      <c r="D503"/>
      <c r="E503" s="69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  <c r="AA503"/>
    </row>
    <row r="504" spans="2:27" s="25" customFormat="1" ht="15.75" customHeight="1" x14ac:dyDescent="0.2">
      <c r="B504" s="89"/>
      <c r="C504"/>
      <c r="D504"/>
      <c r="E504" s="69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  <c r="V504"/>
      <c r="W504"/>
      <c r="X504"/>
      <c r="Y504"/>
      <c r="Z504"/>
      <c r="AA504"/>
    </row>
    <row r="505" spans="2:27" s="25" customFormat="1" ht="15.75" customHeight="1" x14ac:dyDescent="0.2">
      <c r="B505" s="89"/>
      <c r="C505"/>
      <c r="D505"/>
      <c r="E505" s="69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  <c r="V505"/>
      <c r="W505"/>
      <c r="X505"/>
      <c r="Y505"/>
      <c r="Z505"/>
      <c r="AA505"/>
    </row>
    <row r="506" spans="2:27" s="25" customFormat="1" ht="15.75" customHeight="1" x14ac:dyDescent="0.2">
      <c r="B506" s="89"/>
      <c r="C506"/>
      <c r="D506"/>
      <c r="E506" s="69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  <c r="V506"/>
      <c r="W506"/>
      <c r="X506"/>
      <c r="Y506"/>
      <c r="Z506"/>
      <c r="AA506"/>
    </row>
    <row r="507" spans="2:27" s="25" customFormat="1" ht="15.75" customHeight="1" x14ac:dyDescent="0.2">
      <c r="B507" s="89"/>
      <c r="C507"/>
      <c r="D507"/>
      <c r="E507" s="69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  <c r="V507"/>
      <c r="W507"/>
      <c r="X507"/>
      <c r="Y507"/>
      <c r="Z507"/>
      <c r="AA507"/>
    </row>
    <row r="508" spans="2:27" s="25" customFormat="1" ht="15.75" customHeight="1" x14ac:dyDescent="0.2">
      <c r="B508" s="89"/>
      <c r="C508"/>
      <c r="D508"/>
      <c r="E508" s="69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  <c r="V508"/>
      <c r="W508"/>
      <c r="X508"/>
      <c r="Y508"/>
      <c r="Z508"/>
      <c r="AA508"/>
    </row>
    <row r="509" spans="2:27" s="25" customFormat="1" ht="15.75" customHeight="1" x14ac:dyDescent="0.2">
      <c r="B509" s="89"/>
      <c r="C509"/>
      <c r="D509"/>
      <c r="E509" s="6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  <c r="V509"/>
      <c r="W509"/>
      <c r="X509"/>
      <c r="Y509"/>
      <c r="Z509"/>
      <c r="AA509"/>
    </row>
    <row r="510" spans="2:27" s="25" customFormat="1" ht="15.75" customHeight="1" x14ac:dyDescent="0.2">
      <c r="B510" s="89"/>
      <c r="C510"/>
      <c r="D510"/>
      <c r="E510" s="69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  <c r="V510"/>
      <c r="W510"/>
      <c r="X510"/>
      <c r="Y510"/>
      <c r="Z510"/>
      <c r="AA510"/>
    </row>
    <row r="511" spans="2:27" s="25" customFormat="1" ht="15.75" customHeight="1" x14ac:dyDescent="0.2">
      <c r="B511" s="89"/>
      <c r="C511"/>
      <c r="D511"/>
      <c r="E511" s="69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  <c r="V511"/>
      <c r="W511"/>
      <c r="X511"/>
      <c r="Y511"/>
      <c r="Z511"/>
      <c r="AA511"/>
    </row>
    <row r="512" spans="2:27" s="25" customFormat="1" ht="15.75" customHeight="1" x14ac:dyDescent="0.2">
      <c r="B512" s="89"/>
      <c r="C512"/>
      <c r="D512"/>
      <c r="E512" s="69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  <c r="V512"/>
      <c r="W512"/>
      <c r="X512"/>
      <c r="Y512"/>
      <c r="Z512"/>
      <c r="AA512"/>
    </row>
    <row r="513" spans="2:27" s="25" customFormat="1" ht="15.75" customHeight="1" x14ac:dyDescent="0.2">
      <c r="B513" s="89"/>
      <c r="C513"/>
      <c r="D513"/>
      <c r="E513" s="69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  <c r="V513"/>
      <c r="W513"/>
      <c r="X513"/>
      <c r="Y513"/>
      <c r="Z513"/>
      <c r="AA513"/>
    </row>
    <row r="514" spans="2:27" s="25" customFormat="1" ht="15.75" customHeight="1" x14ac:dyDescent="0.2">
      <c r="B514" s="89"/>
      <c r="C514"/>
      <c r="D514"/>
      <c r="E514" s="69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  <c r="V514"/>
      <c r="W514"/>
      <c r="X514"/>
      <c r="Y514"/>
      <c r="Z514"/>
      <c r="AA514"/>
    </row>
    <row r="515" spans="2:27" s="25" customFormat="1" ht="15.75" customHeight="1" x14ac:dyDescent="0.2">
      <c r="B515" s="89"/>
      <c r="C515"/>
      <c r="D515"/>
      <c r="E515" s="69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  <c r="V515"/>
      <c r="W515"/>
      <c r="X515"/>
      <c r="Y515"/>
      <c r="Z515"/>
      <c r="AA515"/>
    </row>
    <row r="516" spans="2:27" s="25" customFormat="1" ht="15.75" customHeight="1" x14ac:dyDescent="0.2">
      <c r="B516" s="89"/>
      <c r="C516"/>
      <c r="D516"/>
      <c r="E516" s="69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  <c r="V516"/>
      <c r="W516"/>
      <c r="X516"/>
      <c r="Y516"/>
      <c r="Z516"/>
      <c r="AA516"/>
    </row>
    <row r="517" spans="2:27" s="25" customFormat="1" ht="15.75" customHeight="1" x14ac:dyDescent="0.2">
      <c r="B517" s="89"/>
      <c r="C517"/>
      <c r="D517"/>
      <c r="E517" s="69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  <c r="V517"/>
      <c r="W517"/>
      <c r="X517"/>
      <c r="Y517"/>
      <c r="Z517"/>
      <c r="AA517"/>
    </row>
    <row r="518" spans="2:27" s="25" customFormat="1" ht="15.75" customHeight="1" x14ac:dyDescent="0.2">
      <c r="B518" s="89"/>
      <c r="C518"/>
      <c r="D518"/>
      <c r="E518" s="69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  <c r="V518"/>
      <c r="W518"/>
      <c r="X518"/>
      <c r="Y518"/>
      <c r="Z518"/>
      <c r="AA518"/>
    </row>
    <row r="519" spans="2:27" s="25" customFormat="1" ht="15.75" customHeight="1" x14ac:dyDescent="0.2">
      <c r="B519" s="89"/>
      <c r="C519"/>
      <c r="D519"/>
      <c r="E519" s="6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  <c r="V519"/>
      <c r="W519"/>
      <c r="X519"/>
      <c r="Y519"/>
      <c r="Z519"/>
      <c r="AA519"/>
    </row>
    <row r="520" spans="2:27" s="25" customFormat="1" ht="15.75" customHeight="1" x14ac:dyDescent="0.2">
      <c r="B520" s="89"/>
      <c r="C520"/>
      <c r="D520"/>
      <c r="E520" s="69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  <c r="V520"/>
      <c r="W520"/>
      <c r="X520"/>
      <c r="Y520"/>
      <c r="Z520"/>
      <c r="AA520"/>
    </row>
    <row r="521" spans="2:27" s="25" customFormat="1" ht="15.75" customHeight="1" x14ac:dyDescent="0.2">
      <c r="B521" s="89"/>
      <c r="C521"/>
      <c r="D521"/>
      <c r="E521" s="69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  <c r="V521"/>
      <c r="W521"/>
      <c r="X521"/>
      <c r="Y521"/>
      <c r="Z521"/>
      <c r="AA521"/>
    </row>
    <row r="522" spans="2:27" s="25" customFormat="1" ht="15.75" customHeight="1" x14ac:dyDescent="0.2">
      <c r="B522" s="89"/>
      <c r="C522"/>
      <c r="D522"/>
      <c r="E522" s="69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  <c r="V522"/>
      <c r="W522"/>
      <c r="X522"/>
      <c r="Y522"/>
      <c r="Z522"/>
      <c r="AA522"/>
    </row>
    <row r="523" spans="2:27" s="25" customFormat="1" ht="15.75" customHeight="1" x14ac:dyDescent="0.2">
      <c r="B523" s="89"/>
      <c r="C523"/>
      <c r="D523"/>
      <c r="E523" s="69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  <c r="V523"/>
      <c r="W523"/>
      <c r="X523"/>
      <c r="Y523"/>
      <c r="Z523"/>
      <c r="AA523"/>
    </row>
    <row r="524" spans="2:27" s="25" customFormat="1" ht="15.75" customHeight="1" x14ac:dyDescent="0.2">
      <c r="B524" s="89"/>
      <c r="C524"/>
      <c r="D524"/>
      <c r="E524" s="69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  <c r="V524"/>
      <c r="W524"/>
      <c r="X524"/>
      <c r="Y524"/>
      <c r="Z524"/>
      <c r="AA524"/>
    </row>
    <row r="525" spans="2:27" s="25" customFormat="1" ht="15.75" customHeight="1" x14ac:dyDescent="0.2">
      <c r="B525" s="89"/>
      <c r="C525"/>
      <c r="D525"/>
      <c r="E525" s="69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  <c r="V525"/>
      <c r="W525"/>
      <c r="X525"/>
      <c r="Y525"/>
      <c r="Z525"/>
      <c r="AA525"/>
    </row>
    <row r="526" spans="2:27" s="25" customFormat="1" ht="15.75" customHeight="1" x14ac:dyDescent="0.2">
      <c r="B526" s="89"/>
      <c r="C526"/>
      <c r="D526"/>
      <c r="E526" s="69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  <c r="V526"/>
      <c r="W526"/>
      <c r="X526"/>
      <c r="Y526"/>
      <c r="Z526"/>
      <c r="AA526"/>
    </row>
    <row r="527" spans="2:27" s="25" customFormat="1" ht="15.75" customHeight="1" x14ac:dyDescent="0.2">
      <c r="B527" s="89"/>
      <c r="C527"/>
      <c r="D527"/>
      <c r="E527" s="69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  <c r="V527"/>
      <c r="W527"/>
      <c r="X527"/>
      <c r="Y527"/>
      <c r="Z527"/>
      <c r="AA527"/>
    </row>
    <row r="528" spans="2:27" s="25" customFormat="1" ht="15.75" customHeight="1" x14ac:dyDescent="0.2">
      <c r="B528" s="89"/>
      <c r="C528"/>
      <c r="D528"/>
      <c r="E528" s="69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  <c r="V528"/>
      <c r="W528"/>
      <c r="X528"/>
      <c r="Y528"/>
      <c r="Z528"/>
      <c r="AA528"/>
    </row>
    <row r="529" spans="2:27" s="25" customFormat="1" ht="15.75" customHeight="1" x14ac:dyDescent="0.2">
      <c r="B529" s="89"/>
      <c r="C529"/>
      <c r="D529"/>
      <c r="E529" s="6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  <c r="V529"/>
      <c r="W529"/>
      <c r="X529"/>
      <c r="Y529"/>
      <c r="Z529"/>
      <c r="AA529"/>
    </row>
    <row r="530" spans="2:27" s="25" customFormat="1" ht="15.75" customHeight="1" x14ac:dyDescent="0.2">
      <c r="B530" s="89"/>
      <c r="C530"/>
      <c r="D530"/>
      <c r="E530" s="69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  <c r="V530"/>
      <c r="W530"/>
      <c r="X530"/>
      <c r="Y530"/>
      <c r="Z530"/>
      <c r="AA530"/>
    </row>
    <row r="531" spans="2:27" s="25" customFormat="1" ht="15.75" customHeight="1" x14ac:dyDescent="0.2">
      <c r="B531" s="89"/>
      <c r="C531"/>
      <c r="D531"/>
      <c r="E531" s="69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  <c r="V531"/>
      <c r="W531"/>
      <c r="X531"/>
      <c r="Y531"/>
      <c r="Z531"/>
      <c r="AA531"/>
    </row>
    <row r="532" spans="2:27" s="25" customFormat="1" ht="15.75" customHeight="1" x14ac:dyDescent="0.2">
      <c r="B532" s="89"/>
      <c r="C532"/>
      <c r="D532"/>
      <c r="E532" s="69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  <c r="V532"/>
      <c r="W532"/>
      <c r="X532"/>
      <c r="Y532"/>
      <c r="Z532"/>
      <c r="AA532"/>
    </row>
    <row r="533" spans="2:27" s="25" customFormat="1" ht="15.75" customHeight="1" x14ac:dyDescent="0.2">
      <c r="B533" s="89"/>
      <c r="C533"/>
      <c r="D533"/>
      <c r="E533" s="69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  <c r="V533"/>
      <c r="W533"/>
      <c r="X533"/>
      <c r="Y533"/>
      <c r="Z533"/>
      <c r="AA533"/>
    </row>
    <row r="534" spans="2:27" s="25" customFormat="1" ht="15.75" customHeight="1" x14ac:dyDescent="0.2">
      <c r="B534" s="89"/>
      <c r="C534"/>
      <c r="D534"/>
      <c r="E534" s="69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  <c r="V534"/>
      <c r="W534"/>
      <c r="X534"/>
      <c r="Y534"/>
      <c r="Z534"/>
      <c r="AA534"/>
    </row>
    <row r="535" spans="2:27" s="25" customFormat="1" ht="15.75" customHeight="1" x14ac:dyDescent="0.2">
      <c r="B535" s="89"/>
      <c r="C535"/>
      <c r="D535"/>
      <c r="E535" s="69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  <c r="V535"/>
      <c r="W535"/>
      <c r="X535"/>
      <c r="Y535"/>
      <c r="Z535"/>
      <c r="AA535"/>
    </row>
    <row r="536" spans="2:27" s="25" customFormat="1" ht="15.75" customHeight="1" x14ac:dyDescent="0.2">
      <c r="B536" s="89"/>
      <c r="C536"/>
      <c r="D536"/>
      <c r="E536" s="69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  <c r="V536"/>
      <c r="W536"/>
      <c r="X536"/>
      <c r="Y536"/>
      <c r="Z536"/>
      <c r="AA536"/>
    </row>
    <row r="537" spans="2:27" s="25" customFormat="1" ht="15.75" customHeight="1" x14ac:dyDescent="0.2">
      <c r="B537" s="89"/>
      <c r="C537"/>
      <c r="D537"/>
      <c r="E537" s="69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  <c r="V537"/>
      <c r="W537"/>
      <c r="X537"/>
      <c r="Y537"/>
      <c r="Z537"/>
      <c r="AA537"/>
    </row>
    <row r="538" spans="2:27" s="25" customFormat="1" ht="15.75" customHeight="1" x14ac:dyDescent="0.2">
      <c r="B538" s="89"/>
      <c r="C538"/>
      <c r="D538"/>
      <c r="E538" s="69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  <c r="V538"/>
      <c r="W538"/>
      <c r="X538"/>
      <c r="Y538"/>
      <c r="Z538"/>
      <c r="AA538"/>
    </row>
    <row r="539" spans="2:27" s="25" customFormat="1" ht="15.75" customHeight="1" x14ac:dyDescent="0.2">
      <c r="B539" s="89"/>
      <c r="C539"/>
      <c r="D539"/>
      <c r="E539" s="6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  <c r="V539"/>
      <c r="W539"/>
      <c r="X539"/>
      <c r="Y539"/>
      <c r="Z539"/>
      <c r="AA539"/>
    </row>
    <row r="540" spans="2:27" s="25" customFormat="1" ht="15.75" customHeight="1" x14ac:dyDescent="0.2">
      <c r="B540" s="89"/>
      <c r="C540"/>
      <c r="D540"/>
      <c r="E540" s="69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  <c r="V540"/>
      <c r="W540"/>
      <c r="X540"/>
      <c r="Y540"/>
      <c r="Z540"/>
      <c r="AA540"/>
    </row>
    <row r="541" spans="2:27" s="25" customFormat="1" ht="15.75" customHeight="1" x14ac:dyDescent="0.2">
      <c r="B541" s="89"/>
      <c r="C541"/>
      <c r="D541"/>
      <c r="E541" s="69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  <c r="V541"/>
      <c r="W541"/>
      <c r="X541"/>
      <c r="Y541"/>
      <c r="Z541"/>
      <c r="AA541"/>
    </row>
    <row r="542" spans="2:27" s="25" customFormat="1" ht="15.75" customHeight="1" x14ac:dyDescent="0.2">
      <c r="B542" s="89"/>
      <c r="C542"/>
      <c r="D542"/>
      <c r="E542" s="69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  <c r="V542"/>
      <c r="W542"/>
      <c r="X542"/>
      <c r="Y542"/>
      <c r="Z542"/>
      <c r="AA542"/>
    </row>
    <row r="543" spans="2:27" s="25" customFormat="1" ht="15.75" customHeight="1" x14ac:dyDescent="0.2">
      <c r="B543" s="89"/>
      <c r="C543"/>
      <c r="D543"/>
      <c r="E543" s="69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  <c r="V543"/>
      <c r="W543"/>
      <c r="X543"/>
      <c r="Y543"/>
      <c r="Z543"/>
      <c r="AA543"/>
    </row>
    <row r="544" spans="2:27" s="25" customFormat="1" ht="15.75" customHeight="1" x14ac:dyDescent="0.2">
      <c r="B544" s="89"/>
      <c r="C544"/>
      <c r="D544"/>
      <c r="E544" s="69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  <c r="V544"/>
      <c r="W544"/>
      <c r="X544"/>
      <c r="Y544"/>
      <c r="Z544"/>
      <c r="AA544"/>
    </row>
    <row r="545" spans="2:27" s="25" customFormat="1" ht="15.75" customHeight="1" x14ac:dyDescent="0.2">
      <c r="B545" s="89"/>
      <c r="C545"/>
      <c r="D545"/>
      <c r="E545" s="69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  <c r="V545"/>
      <c r="W545"/>
      <c r="X545"/>
      <c r="Y545"/>
      <c r="Z545"/>
      <c r="AA545"/>
    </row>
    <row r="546" spans="2:27" s="25" customFormat="1" ht="15.75" customHeight="1" x14ac:dyDescent="0.2">
      <c r="B546" s="89"/>
      <c r="C546"/>
      <c r="D546"/>
      <c r="E546" s="69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  <c r="V546"/>
      <c r="W546"/>
      <c r="X546"/>
      <c r="Y546"/>
      <c r="Z546"/>
      <c r="AA546"/>
    </row>
    <row r="547" spans="2:27" s="25" customFormat="1" ht="15.75" customHeight="1" x14ac:dyDescent="0.2">
      <c r="B547" s="89"/>
      <c r="C547"/>
      <c r="D547"/>
      <c r="E547" s="69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  <c r="V547"/>
      <c r="W547"/>
      <c r="X547"/>
      <c r="Y547"/>
      <c r="Z547"/>
      <c r="AA547"/>
    </row>
    <row r="548" spans="2:27" s="25" customFormat="1" ht="15.75" customHeight="1" x14ac:dyDescent="0.2">
      <c r="B548" s="89"/>
      <c r="C548"/>
      <c r="D548"/>
      <c r="E548" s="69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  <c r="V548"/>
      <c r="W548"/>
      <c r="X548"/>
      <c r="Y548"/>
      <c r="Z548"/>
      <c r="AA548"/>
    </row>
    <row r="549" spans="2:27" s="25" customFormat="1" ht="15.75" customHeight="1" x14ac:dyDescent="0.2">
      <c r="B549" s="89"/>
      <c r="C549"/>
      <c r="D549"/>
      <c r="E549" s="6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  <c r="U549"/>
      <c r="V549"/>
      <c r="W549"/>
      <c r="X549"/>
      <c r="Y549"/>
      <c r="Z549"/>
      <c r="AA549"/>
    </row>
    <row r="550" spans="2:27" s="25" customFormat="1" ht="15.75" customHeight="1" x14ac:dyDescent="0.2">
      <c r="B550" s="89"/>
      <c r="C550"/>
      <c r="D550"/>
      <c r="E550" s="69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  <c r="V550"/>
      <c r="W550"/>
      <c r="X550"/>
      <c r="Y550"/>
      <c r="Z550"/>
      <c r="AA550"/>
    </row>
    <row r="551" spans="2:27" s="25" customFormat="1" ht="15.75" customHeight="1" x14ac:dyDescent="0.2">
      <c r="B551" s="89"/>
      <c r="C551"/>
      <c r="D551"/>
      <c r="E551" s="69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  <c r="V551"/>
      <c r="W551"/>
      <c r="X551"/>
      <c r="Y551"/>
      <c r="Z551"/>
      <c r="AA551"/>
    </row>
    <row r="552" spans="2:27" s="25" customFormat="1" ht="15.75" customHeight="1" x14ac:dyDescent="0.2">
      <c r="B552" s="89"/>
      <c r="C552"/>
      <c r="D552"/>
      <c r="E552" s="69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  <c r="V552"/>
      <c r="W552"/>
      <c r="X552"/>
      <c r="Y552"/>
      <c r="Z552"/>
      <c r="AA552"/>
    </row>
    <row r="553" spans="2:27" s="25" customFormat="1" ht="15.75" customHeight="1" x14ac:dyDescent="0.2">
      <c r="B553" s="89"/>
      <c r="C553"/>
      <c r="D553"/>
      <c r="E553" s="69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  <c r="V553"/>
      <c r="W553"/>
      <c r="X553"/>
      <c r="Y553"/>
      <c r="Z553"/>
      <c r="AA553"/>
    </row>
    <row r="554" spans="2:27" s="25" customFormat="1" ht="15.75" customHeight="1" x14ac:dyDescent="0.2">
      <c r="B554" s="89"/>
      <c r="C554"/>
      <c r="D554"/>
      <c r="E554" s="69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  <c r="V554"/>
      <c r="W554"/>
      <c r="X554"/>
      <c r="Y554"/>
      <c r="Z554"/>
      <c r="AA554"/>
    </row>
    <row r="555" spans="2:27" s="25" customFormat="1" ht="15.75" customHeight="1" x14ac:dyDescent="0.2">
      <c r="B555" s="89"/>
      <c r="C555"/>
      <c r="D555"/>
      <c r="E555" s="69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  <c r="V555"/>
      <c r="W555"/>
      <c r="X555"/>
      <c r="Y555"/>
      <c r="Z555"/>
      <c r="AA555"/>
    </row>
    <row r="556" spans="2:27" s="25" customFormat="1" ht="15.75" customHeight="1" x14ac:dyDescent="0.2">
      <c r="B556" s="89"/>
      <c r="C556"/>
      <c r="D556"/>
      <c r="E556" s="69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  <c r="V556"/>
      <c r="W556"/>
      <c r="X556"/>
      <c r="Y556"/>
      <c r="Z556"/>
      <c r="AA556"/>
    </row>
    <row r="557" spans="2:27" s="25" customFormat="1" ht="15.75" customHeight="1" x14ac:dyDescent="0.2">
      <c r="B557" s="89"/>
      <c r="C557"/>
      <c r="D557"/>
      <c r="E557" s="69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  <c r="V557"/>
      <c r="W557"/>
      <c r="X557"/>
      <c r="Y557"/>
      <c r="Z557"/>
      <c r="AA557"/>
    </row>
    <row r="558" spans="2:27" s="25" customFormat="1" ht="15.75" customHeight="1" x14ac:dyDescent="0.2">
      <c r="B558" s="89"/>
      <c r="C558"/>
      <c r="D558"/>
      <c r="E558" s="69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  <c r="V558"/>
      <c r="W558"/>
      <c r="X558"/>
      <c r="Y558"/>
      <c r="Z558"/>
      <c r="AA558"/>
    </row>
    <row r="559" spans="2:27" s="25" customFormat="1" ht="15.75" customHeight="1" x14ac:dyDescent="0.2">
      <c r="B559" s="89"/>
      <c r="C559"/>
      <c r="D559"/>
      <c r="E559" s="6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  <c r="V559"/>
      <c r="W559"/>
      <c r="X559"/>
      <c r="Y559"/>
      <c r="Z559"/>
      <c r="AA559"/>
    </row>
    <row r="560" spans="2:27" s="25" customFormat="1" ht="15.75" customHeight="1" x14ac:dyDescent="0.2">
      <c r="B560" s="89"/>
      <c r="C560"/>
      <c r="D560"/>
      <c r="E560" s="69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  <c r="V560"/>
      <c r="W560"/>
      <c r="X560"/>
      <c r="Y560"/>
      <c r="Z560"/>
      <c r="AA560"/>
    </row>
    <row r="561" spans="2:27" s="25" customFormat="1" ht="15.75" customHeight="1" x14ac:dyDescent="0.2">
      <c r="B561" s="89"/>
      <c r="C561"/>
      <c r="D561"/>
      <c r="E561" s="69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  <c r="V561"/>
      <c r="W561"/>
      <c r="X561"/>
      <c r="Y561"/>
      <c r="Z561"/>
      <c r="AA561"/>
    </row>
    <row r="562" spans="2:27" s="25" customFormat="1" ht="15.75" customHeight="1" x14ac:dyDescent="0.2">
      <c r="B562" s="89"/>
      <c r="C562"/>
      <c r="D562"/>
      <c r="E562" s="69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  <c r="V562"/>
      <c r="W562"/>
      <c r="X562"/>
      <c r="Y562"/>
      <c r="Z562"/>
      <c r="AA562"/>
    </row>
    <row r="563" spans="2:27" s="25" customFormat="1" ht="15.75" customHeight="1" x14ac:dyDescent="0.2">
      <c r="B563" s="89"/>
      <c r="C563"/>
      <c r="D563"/>
      <c r="E563" s="69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  <c r="V563"/>
      <c r="W563"/>
      <c r="X563"/>
      <c r="Y563"/>
      <c r="Z563"/>
      <c r="AA563"/>
    </row>
    <row r="564" spans="2:27" s="25" customFormat="1" ht="15.75" customHeight="1" x14ac:dyDescent="0.2">
      <c r="B564" s="89"/>
      <c r="C564"/>
      <c r="D564"/>
      <c r="E564" s="69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  <c r="V564"/>
      <c r="W564"/>
      <c r="X564"/>
      <c r="Y564"/>
      <c r="Z564"/>
      <c r="AA564"/>
    </row>
    <row r="565" spans="2:27" s="25" customFormat="1" ht="15.75" customHeight="1" x14ac:dyDescent="0.2">
      <c r="B565" s="89"/>
      <c r="C565"/>
      <c r="D565"/>
      <c r="E565" s="69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  <c r="V565"/>
      <c r="W565"/>
      <c r="X565"/>
      <c r="Y565"/>
      <c r="Z565"/>
      <c r="AA565"/>
    </row>
    <row r="566" spans="2:27" s="25" customFormat="1" ht="15.75" customHeight="1" x14ac:dyDescent="0.2">
      <c r="B566" s="89"/>
      <c r="C566"/>
      <c r="D566"/>
      <c r="E566" s="69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  <c r="V566"/>
      <c r="W566"/>
      <c r="X566"/>
      <c r="Y566"/>
      <c r="Z566"/>
      <c r="AA566"/>
    </row>
    <row r="567" spans="2:27" s="25" customFormat="1" ht="15.75" customHeight="1" x14ac:dyDescent="0.2">
      <c r="B567" s="89"/>
      <c r="C567"/>
      <c r="D567"/>
      <c r="E567" s="69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  <c r="V567"/>
      <c r="W567"/>
      <c r="X567"/>
      <c r="Y567"/>
      <c r="Z567"/>
      <c r="AA567"/>
    </row>
    <row r="568" spans="2:27" s="25" customFormat="1" ht="15.75" customHeight="1" x14ac:dyDescent="0.2">
      <c r="B568" s="89"/>
      <c r="C568"/>
      <c r="D568"/>
      <c r="E568" s="69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  <c r="V568"/>
      <c r="W568"/>
      <c r="X568"/>
      <c r="Y568"/>
      <c r="Z568"/>
      <c r="AA568"/>
    </row>
    <row r="569" spans="2:27" s="25" customFormat="1" ht="15.75" customHeight="1" x14ac:dyDescent="0.2">
      <c r="B569" s="89"/>
      <c r="C569"/>
      <c r="D569"/>
      <c r="E569" s="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  <c r="V569"/>
      <c r="W569"/>
      <c r="X569"/>
      <c r="Y569"/>
      <c r="Z569"/>
      <c r="AA569"/>
    </row>
    <row r="570" spans="2:27" s="25" customFormat="1" ht="15.75" customHeight="1" x14ac:dyDescent="0.2">
      <c r="B570" s="89"/>
      <c r="C570"/>
      <c r="D570"/>
      <c r="E570" s="69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  <c r="V570"/>
      <c r="W570"/>
      <c r="X570"/>
      <c r="Y570"/>
      <c r="Z570"/>
      <c r="AA570"/>
    </row>
    <row r="571" spans="2:27" s="25" customFormat="1" ht="15.75" customHeight="1" x14ac:dyDescent="0.2">
      <c r="B571" s="89"/>
      <c r="C571"/>
      <c r="D571"/>
      <c r="E571" s="69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  <c r="V571"/>
      <c r="W571"/>
      <c r="X571"/>
      <c r="Y571"/>
      <c r="Z571"/>
      <c r="AA571"/>
    </row>
    <row r="572" spans="2:27" s="25" customFormat="1" ht="15.75" customHeight="1" x14ac:dyDescent="0.2">
      <c r="B572" s="89"/>
      <c r="C572"/>
      <c r="D572"/>
      <c r="E572" s="69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  <c r="V572"/>
      <c r="W572"/>
      <c r="X572"/>
      <c r="Y572"/>
      <c r="Z572"/>
      <c r="AA572"/>
    </row>
    <row r="573" spans="2:27" s="25" customFormat="1" ht="15.75" customHeight="1" x14ac:dyDescent="0.2">
      <c r="B573" s="89"/>
      <c r="C573"/>
      <c r="D573"/>
      <c r="E573" s="69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  <c r="V573"/>
      <c r="W573"/>
      <c r="X573"/>
      <c r="Y573"/>
      <c r="Z573"/>
      <c r="AA573"/>
    </row>
    <row r="574" spans="2:27" s="25" customFormat="1" ht="15.75" customHeight="1" x14ac:dyDescent="0.2">
      <c r="B574" s="89"/>
      <c r="C574"/>
      <c r="D574"/>
      <c r="E574" s="69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  <c r="V574"/>
      <c r="W574"/>
      <c r="X574"/>
      <c r="Y574"/>
      <c r="Z574"/>
      <c r="AA574"/>
    </row>
    <row r="575" spans="2:27" s="25" customFormat="1" ht="15.75" customHeight="1" x14ac:dyDescent="0.2">
      <c r="B575" s="89"/>
      <c r="C575"/>
      <c r="D575"/>
      <c r="E575" s="69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  <c r="V575"/>
      <c r="W575"/>
      <c r="X575"/>
      <c r="Y575"/>
      <c r="Z575"/>
      <c r="AA575"/>
    </row>
    <row r="576" spans="2:27" s="25" customFormat="1" ht="15.75" customHeight="1" x14ac:dyDescent="0.2">
      <c r="B576" s="89"/>
      <c r="C576"/>
      <c r="D576"/>
      <c r="E576" s="69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  <c r="V576"/>
      <c r="W576"/>
      <c r="X576"/>
      <c r="Y576"/>
      <c r="Z576"/>
      <c r="AA576"/>
    </row>
    <row r="577" spans="2:27" s="25" customFormat="1" ht="15.75" customHeight="1" x14ac:dyDescent="0.2">
      <c r="B577" s="89"/>
      <c r="C577"/>
      <c r="D577"/>
      <c r="E577" s="69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  <c r="V577"/>
      <c r="W577"/>
      <c r="X577"/>
      <c r="Y577"/>
      <c r="Z577"/>
      <c r="AA577"/>
    </row>
    <row r="578" spans="2:27" s="25" customFormat="1" ht="15.75" customHeight="1" x14ac:dyDescent="0.2">
      <c r="B578" s="89"/>
      <c r="C578"/>
      <c r="D578"/>
      <c r="E578" s="69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  <c r="V578"/>
      <c r="W578"/>
      <c r="X578"/>
      <c r="Y578"/>
      <c r="Z578"/>
      <c r="AA578"/>
    </row>
    <row r="579" spans="2:27" s="25" customFormat="1" ht="15.75" customHeight="1" x14ac:dyDescent="0.2">
      <c r="B579" s="89"/>
      <c r="C579"/>
      <c r="D579"/>
      <c r="E579" s="6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  <c r="V579"/>
      <c r="W579"/>
      <c r="X579"/>
      <c r="Y579"/>
      <c r="Z579"/>
      <c r="AA579"/>
    </row>
    <row r="580" spans="2:27" s="25" customFormat="1" ht="15.75" customHeight="1" x14ac:dyDescent="0.2">
      <c r="B580" s="89"/>
      <c r="C580"/>
      <c r="D580"/>
      <c r="E580" s="69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  <c r="V580"/>
      <c r="W580"/>
      <c r="X580"/>
      <c r="Y580"/>
      <c r="Z580"/>
      <c r="AA580"/>
    </row>
    <row r="581" spans="2:27" s="25" customFormat="1" ht="15.75" customHeight="1" x14ac:dyDescent="0.2">
      <c r="B581" s="89"/>
      <c r="C581"/>
      <c r="D581"/>
      <c r="E581" s="69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  <c r="V581"/>
      <c r="W581"/>
      <c r="X581"/>
      <c r="Y581"/>
      <c r="Z581"/>
      <c r="AA581"/>
    </row>
    <row r="582" spans="2:27" s="25" customFormat="1" ht="15.75" customHeight="1" x14ac:dyDescent="0.2">
      <c r="B582" s="89"/>
      <c r="C582"/>
      <c r="D582"/>
      <c r="E582" s="69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  <c r="V582"/>
      <c r="W582"/>
      <c r="X582"/>
      <c r="Y582"/>
      <c r="Z582"/>
      <c r="AA582"/>
    </row>
    <row r="583" spans="2:27" s="25" customFormat="1" ht="15.75" customHeight="1" x14ac:dyDescent="0.2">
      <c r="B583" s="89"/>
      <c r="C583"/>
      <c r="D583"/>
      <c r="E583" s="69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  <c r="U583"/>
      <c r="V583"/>
      <c r="W583"/>
      <c r="X583"/>
      <c r="Y583"/>
      <c r="Z583"/>
      <c r="AA583"/>
    </row>
    <row r="584" spans="2:27" s="25" customFormat="1" ht="15.75" customHeight="1" x14ac:dyDescent="0.2">
      <c r="B584" s="89"/>
      <c r="C584"/>
      <c r="D584"/>
      <c r="E584" s="69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  <c r="V584"/>
      <c r="W584"/>
      <c r="X584"/>
      <c r="Y584"/>
      <c r="Z584"/>
      <c r="AA584"/>
    </row>
    <row r="585" spans="2:27" s="25" customFormat="1" ht="15.75" customHeight="1" x14ac:dyDescent="0.2">
      <c r="B585" s="89"/>
      <c r="C585"/>
      <c r="D585"/>
      <c r="E585" s="69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  <c r="V585"/>
      <c r="W585"/>
      <c r="X585"/>
      <c r="Y585"/>
      <c r="Z585"/>
      <c r="AA585"/>
    </row>
    <row r="586" spans="2:27" s="25" customFormat="1" ht="15.75" customHeight="1" x14ac:dyDescent="0.2">
      <c r="B586" s="89"/>
      <c r="C586"/>
      <c r="D586"/>
      <c r="E586" s="69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  <c r="V586"/>
      <c r="W586"/>
      <c r="X586"/>
      <c r="Y586"/>
      <c r="Z586"/>
      <c r="AA586"/>
    </row>
    <row r="587" spans="2:27" s="25" customFormat="1" ht="15.75" customHeight="1" x14ac:dyDescent="0.2">
      <c r="B587" s="89"/>
      <c r="C587"/>
      <c r="D587"/>
      <c r="E587" s="69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  <c r="V587"/>
      <c r="W587"/>
      <c r="X587"/>
      <c r="Y587"/>
      <c r="Z587"/>
      <c r="AA587"/>
    </row>
    <row r="588" spans="2:27" s="25" customFormat="1" ht="15.75" customHeight="1" x14ac:dyDescent="0.2">
      <c r="B588" s="89"/>
      <c r="C588"/>
      <c r="D588"/>
      <c r="E588" s="69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  <c r="V588"/>
      <c r="W588"/>
      <c r="X588"/>
      <c r="Y588"/>
      <c r="Z588"/>
      <c r="AA588"/>
    </row>
    <row r="589" spans="2:27" s="25" customFormat="1" ht="15.75" customHeight="1" x14ac:dyDescent="0.2">
      <c r="B589" s="89"/>
      <c r="C589"/>
      <c r="D589"/>
      <c r="E589" s="6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  <c r="V589"/>
      <c r="W589"/>
      <c r="X589"/>
      <c r="Y589"/>
      <c r="Z589"/>
      <c r="AA589"/>
    </row>
    <row r="590" spans="2:27" s="25" customFormat="1" ht="15.75" customHeight="1" x14ac:dyDescent="0.2">
      <c r="B590" s="89"/>
      <c r="C590"/>
      <c r="D590"/>
      <c r="E590" s="69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  <c r="V590"/>
      <c r="W590"/>
      <c r="X590"/>
      <c r="Y590"/>
      <c r="Z590"/>
      <c r="AA590"/>
    </row>
    <row r="591" spans="2:27" s="25" customFormat="1" ht="15.75" customHeight="1" x14ac:dyDescent="0.2">
      <c r="B591" s="89"/>
      <c r="C591"/>
      <c r="D591"/>
      <c r="E591" s="69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  <c r="U591"/>
      <c r="V591"/>
      <c r="W591"/>
      <c r="X591"/>
      <c r="Y591"/>
      <c r="Z591"/>
      <c r="AA591"/>
    </row>
    <row r="592" spans="2:27" s="25" customFormat="1" ht="15.75" customHeight="1" x14ac:dyDescent="0.2">
      <c r="B592" s="89"/>
      <c r="C592"/>
      <c r="D592"/>
      <c r="E592" s="69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  <c r="V592"/>
      <c r="W592"/>
      <c r="X592"/>
      <c r="Y592"/>
      <c r="Z592"/>
      <c r="AA592"/>
    </row>
    <row r="593" spans="2:27" s="25" customFormat="1" ht="15.75" customHeight="1" x14ac:dyDescent="0.2">
      <c r="B593" s="89"/>
      <c r="C593"/>
      <c r="D593"/>
      <c r="E593" s="69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  <c r="V593"/>
      <c r="W593"/>
      <c r="X593"/>
      <c r="Y593"/>
      <c r="Z593"/>
      <c r="AA593"/>
    </row>
    <row r="594" spans="2:27" s="25" customFormat="1" ht="15.75" customHeight="1" x14ac:dyDescent="0.2">
      <c r="B594" s="89"/>
      <c r="C594"/>
      <c r="D594"/>
      <c r="E594" s="69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  <c r="V594"/>
      <c r="W594"/>
      <c r="X594"/>
      <c r="Y594"/>
      <c r="Z594"/>
      <c r="AA594"/>
    </row>
    <row r="595" spans="2:27" s="25" customFormat="1" ht="15.75" customHeight="1" x14ac:dyDescent="0.2">
      <c r="B595" s="89"/>
      <c r="C595"/>
      <c r="D595"/>
      <c r="E595" s="69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  <c r="V595"/>
      <c r="W595"/>
      <c r="X595"/>
      <c r="Y595"/>
      <c r="Z595"/>
      <c r="AA595"/>
    </row>
    <row r="596" spans="2:27" s="25" customFormat="1" ht="15.75" customHeight="1" x14ac:dyDescent="0.2">
      <c r="B596" s="89"/>
      <c r="C596"/>
      <c r="D596"/>
      <c r="E596" s="69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  <c r="V596"/>
      <c r="W596"/>
      <c r="X596"/>
      <c r="Y596"/>
      <c r="Z596"/>
      <c r="AA596"/>
    </row>
    <row r="597" spans="2:27" s="25" customFormat="1" ht="15.75" customHeight="1" x14ac:dyDescent="0.2">
      <c r="B597" s="89"/>
      <c r="C597"/>
      <c r="D597"/>
      <c r="E597" s="69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  <c r="V597"/>
      <c r="W597"/>
      <c r="X597"/>
      <c r="Y597"/>
      <c r="Z597"/>
      <c r="AA597"/>
    </row>
    <row r="598" spans="2:27" s="25" customFormat="1" ht="15.75" customHeight="1" x14ac:dyDescent="0.2">
      <c r="B598" s="89"/>
      <c r="C598"/>
      <c r="D598"/>
      <c r="E598" s="69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  <c r="V598"/>
      <c r="W598"/>
      <c r="X598"/>
      <c r="Y598"/>
      <c r="Z598"/>
      <c r="AA598"/>
    </row>
    <row r="599" spans="2:27" s="25" customFormat="1" ht="15.75" customHeight="1" x14ac:dyDescent="0.2">
      <c r="B599" s="89"/>
      <c r="C599"/>
      <c r="D599"/>
      <c r="E599" s="6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  <c r="V599"/>
      <c r="W599"/>
      <c r="X599"/>
      <c r="Y599"/>
      <c r="Z599"/>
      <c r="AA599"/>
    </row>
    <row r="600" spans="2:27" s="25" customFormat="1" ht="15.75" customHeight="1" x14ac:dyDescent="0.2">
      <c r="B600" s="89"/>
      <c r="C600"/>
      <c r="D600"/>
      <c r="E600" s="69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  <c r="V600"/>
      <c r="W600"/>
      <c r="X600"/>
      <c r="Y600"/>
      <c r="Z600"/>
      <c r="AA600"/>
    </row>
    <row r="601" spans="2:27" s="25" customFormat="1" ht="15.75" customHeight="1" x14ac:dyDescent="0.2">
      <c r="B601" s="89"/>
      <c r="C601"/>
      <c r="D601"/>
      <c r="E601" s="69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  <c r="V601"/>
      <c r="W601"/>
      <c r="X601"/>
      <c r="Y601"/>
      <c r="Z601"/>
      <c r="AA601"/>
    </row>
    <row r="602" spans="2:27" s="25" customFormat="1" ht="15.75" customHeight="1" x14ac:dyDescent="0.2">
      <c r="B602" s="89"/>
      <c r="C602"/>
      <c r="D602"/>
      <c r="E602" s="69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  <c r="V602"/>
      <c r="W602"/>
      <c r="X602"/>
      <c r="Y602"/>
      <c r="Z602"/>
      <c r="AA602"/>
    </row>
    <row r="603" spans="2:27" s="25" customFormat="1" ht="15.75" customHeight="1" x14ac:dyDescent="0.2">
      <c r="B603" s="89"/>
      <c r="C603"/>
      <c r="D603"/>
      <c r="E603" s="69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  <c r="V603"/>
      <c r="W603"/>
      <c r="X603"/>
      <c r="Y603"/>
      <c r="Z603"/>
      <c r="AA603"/>
    </row>
    <row r="604" spans="2:27" s="25" customFormat="1" ht="15.75" customHeight="1" x14ac:dyDescent="0.2">
      <c r="B604" s="89"/>
      <c r="C604"/>
      <c r="D604"/>
      <c r="E604" s="69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  <c r="V604"/>
      <c r="W604"/>
      <c r="X604"/>
      <c r="Y604"/>
      <c r="Z604"/>
      <c r="AA604"/>
    </row>
    <row r="605" spans="2:27" s="25" customFormat="1" ht="15.75" customHeight="1" x14ac:dyDescent="0.2">
      <c r="B605" s="89"/>
      <c r="C605"/>
      <c r="D605"/>
      <c r="E605" s="69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  <c r="V605"/>
      <c r="W605"/>
      <c r="X605"/>
      <c r="Y605"/>
      <c r="Z605"/>
      <c r="AA605"/>
    </row>
    <row r="606" spans="2:27" s="25" customFormat="1" ht="15.75" customHeight="1" x14ac:dyDescent="0.2">
      <c r="B606" s="89"/>
      <c r="C606"/>
      <c r="D606"/>
      <c r="E606" s="69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  <c r="U606"/>
      <c r="V606"/>
      <c r="W606"/>
      <c r="X606"/>
      <c r="Y606"/>
      <c r="Z606"/>
      <c r="AA606"/>
    </row>
    <row r="607" spans="2:27" s="25" customFormat="1" ht="15.75" customHeight="1" x14ac:dyDescent="0.2">
      <c r="B607" s="89"/>
      <c r="C607"/>
      <c r="D607"/>
      <c r="E607" s="69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  <c r="U607"/>
      <c r="V607"/>
      <c r="W607"/>
      <c r="X607"/>
      <c r="Y607"/>
      <c r="Z607"/>
      <c r="AA607"/>
    </row>
    <row r="608" spans="2:27" s="25" customFormat="1" ht="15.75" customHeight="1" x14ac:dyDescent="0.2">
      <c r="B608" s="89"/>
      <c r="C608"/>
      <c r="D608"/>
      <c r="E608" s="69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  <c r="V608"/>
      <c r="W608"/>
      <c r="X608"/>
      <c r="Y608"/>
      <c r="Z608"/>
      <c r="AA608"/>
    </row>
    <row r="609" spans="2:27" s="25" customFormat="1" ht="15.75" customHeight="1" x14ac:dyDescent="0.2">
      <c r="B609" s="89"/>
      <c r="C609"/>
      <c r="D609"/>
      <c r="E609" s="6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  <c r="V609"/>
      <c r="W609"/>
      <c r="X609"/>
      <c r="Y609"/>
      <c r="Z609"/>
      <c r="AA609"/>
    </row>
    <row r="610" spans="2:27" s="25" customFormat="1" ht="15.75" customHeight="1" x14ac:dyDescent="0.2">
      <c r="B610" s="89"/>
      <c r="C610"/>
      <c r="D610"/>
      <c r="E610" s="69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  <c r="V610"/>
      <c r="W610"/>
      <c r="X610"/>
      <c r="Y610"/>
      <c r="Z610"/>
      <c r="AA610"/>
    </row>
    <row r="611" spans="2:27" s="25" customFormat="1" ht="15.75" customHeight="1" x14ac:dyDescent="0.2">
      <c r="B611" s="89"/>
      <c r="C611"/>
      <c r="D611"/>
      <c r="E611" s="69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  <c r="V611"/>
      <c r="W611"/>
      <c r="X611"/>
      <c r="Y611"/>
      <c r="Z611"/>
      <c r="AA611"/>
    </row>
    <row r="612" spans="2:27" s="25" customFormat="1" ht="15.75" customHeight="1" x14ac:dyDescent="0.2">
      <c r="B612" s="89"/>
      <c r="C612"/>
      <c r="D612"/>
      <c r="E612" s="69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  <c r="V612"/>
      <c r="W612"/>
      <c r="X612"/>
      <c r="Y612"/>
      <c r="Z612"/>
      <c r="AA612"/>
    </row>
    <row r="613" spans="2:27" s="25" customFormat="1" ht="15.75" customHeight="1" x14ac:dyDescent="0.2">
      <c r="B613" s="89"/>
      <c r="C613"/>
      <c r="D613"/>
      <c r="E613" s="69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  <c r="V613"/>
      <c r="W613"/>
      <c r="X613"/>
      <c r="Y613"/>
      <c r="Z613"/>
      <c r="AA613"/>
    </row>
    <row r="614" spans="2:27" s="25" customFormat="1" ht="15.75" customHeight="1" x14ac:dyDescent="0.2">
      <c r="B614" s="89"/>
      <c r="C614"/>
      <c r="D614"/>
      <c r="E614" s="69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  <c r="V614"/>
      <c r="W614"/>
      <c r="X614"/>
      <c r="Y614"/>
      <c r="Z614"/>
      <c r="AA614"/>
    </row>
    <row r="615" spans="2:27" s="25" customFormat="1" ht="15.75" customHeight="1" x14ac:dyDescent="0.2">
      <c r="B615" s="89"/>
      <c r="C615"/>
      <c r="D615"/>
      <c r="E615" s="69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  <c r="V615"/>
      <c r="W615"/>
      <c r="X615"/>
      <c r="Y615"/>
      <c r="Z615"/>
      <c r="AA615"/>
    </row>
    <row r="616" spans="2:27" s="25" customFormat="1" ht="15.75" customHeight="1" x14ac:dyDescent="0.2">
      <c r="B616" s="89"/>
      <c r="C616"/>
      <c r="D616"/>
      <c r="E616" s="69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  <c r="V616"/>
      <c r="W616"/>
      <c r="X616"/>
      <c r="Y616"/>
      <c r="Z616"/>
      <c r="AA616"/>
    </row>
    <row r="617" spans="2:27" s="25" customFormat="1" ht="15.75" customHeight="1" x14ac:dyDescent="0.2">
      <c r="B617" s="89"/>
      <c r="C617"/>
      <c r="D617"/>
      <c r="E617" s="69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  <c r="V617"/>
      <c r="W617"/>
      <c r="X617"/>
      <c r="Y617"/>
      <c r="Z617"/>
      <c r="AA617"/>
    </row>
    <row r="618" spans="2:27" s="25" customFormat="1" ht="15.75" customHeight="1" x14ac:dyDescent="0.2">
      <c r="B618" s="89"/>
      <c r="C618"/>
      <c r="D618"/>
      <c r="E618" s="69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  <c r="V618"/>
      <c r="W618"/>
      <c r="X618"/>
      <c r="Y618"/>
      <c r="Z618"/>
      <c r="AA618"/>
    </row>
    <row r="619" spans="2:27" s="25" customFormat="1" ht="15.75" customHeight="1" x14ac:dyDescent="0.2">
      <c r="B619" s="89"/>
      <c r="C619"/>
      <c r="D619"/>
      <c r="E619" s="6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  <c r="V619"/>
      <c r="W619"/>
      <c r="X619"/>
      <c r="Y619"/>
      <c r="Z619"/>
      <c r="AA619"/>
    </row>
    <row r="620" spans="2:27" s="25" customFormat="1" ht="15.75" customHeight="1" x14ac:dyDescent="0.2">
      <c r="B620" s="89"/>
      <c r="C620"/>
      <c r="D620"/>
      <c r="E620" s="69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  <c r="V620"/>
      <c r="W620"/>
      <c r="X620"/>
      <c r="Y620"/>
      <c r="Z620"/>
      <c r="AA620"/>
    </row>
    <row r="621" spans="2:27" s="25" customFormat="1" ht="15.75" customHeight="1" x14ac:dyDescent="0.2">
      <c r="B621" s="89"/>
      <c r="C621"/>
      <c r="D621"/>
      <c r="E621" s="69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  <c r="V621"/>
      <c r="W621"/>
      <c r="X621"/>
      <c r="Y621"/>
      <c r="Z621"/>
      <c r="AA621"/>
    </row>
    <row r="622" spans="2:27" s="25" customFormat="1" ht="15.75" customHeight="1" x14ac:dyDescent="0.2">
      <c r="B622" s="89"/>
      <c r="C622"/>
      <c r="D622"/>
      <c r="E622" s="69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  <c r="V622"/>
      <c r="W622"/>
      <c r="X622"/>
      <c r="Y622"/>
      <c r="Z622"/>
      <c r="AA622"/>
    </row>
    <row r="623" spans="2:27" s="25" customFormat="1" ht="15.75" customHeight="1" x14ac:dyDescent="0.2">
      <c r="B623" s="89"/>
      <c r="C623"/>
      <c r="D623"/>
      <c r="E623" s="69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  <c r="V623"/>
      <c r="W623"/>
      <c r="X623"/>
      <c r="Y623"/>
      <c r="Z623"/>
      <c r="AA623"/>
    </row>
    <row r="624" spans="2:27" s="25" customFormat="1" ht="15.75" customHeight="1" x14ac:dyDescent="0.2">
      <c r="B624" s="89"/>
      <c r="C624"/>
      <c r="D624"/>
      <c r="E624" s="69"/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  <c r="T624"/>
      <c r="U624"/>
      <c r="V624"/>
      <c r="W624"/>
      <c r="X624"/>
      <c r="Y624"/>
      <c r="Z624"/>
      <c r="AA624"/>
    </row>
    <row r="625" spans="2:27" s="25" customFormat="1" ht="15.75" customHeight="1" x14ac:dyDescent="0.2">
      <c r="B625" s="89"/>
      <c r="C625"/>
      <c r="D625"/>
      <c r="E625" s="69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  <c r="V625"/>
      <c r="W625"/>
      <c r="X625"/>
      <c r="Y625"/>
      <c r="Z625"/>
      <c r="AA625"/>
    </row>
    <row r="626" spans="2:27" s="25" customFormat="1" ht="15.75" customHeight="1" x14ac:dyDescent="0.2">
      <c r="B626" s="89"/>
      <c r="C626"/>
      <c r="D626"/>
      <c r="E626" s="69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  <c r="V626"/>
      <c r="W626"/>
      <c r="X626"/>
      <c r="Y626"/>
      <c r="Z626"/>
      <c r="AA626"/>
    </row>
    <row r="627" spans="2:27" s="25" customFormat="1" ht="15.75" customHeight="1" x14ac:dyDescent="0.2">
      <c r="B627" s="89"/>
      <c r="C627"/>
      <c r="D627"/>
      <c r="E627" s="69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  <c r="V627"/>
      <c r="W627"/>
      <c r="X627"/>
      <c r="Y627"/>
      <c r="Z627"/>
      <c r="AA627"/>
    </row>
    <row r="628" spans="2:27" s="25" customFormat="1" ht="15.75" customHeight="1" x14ac:dyDescent="0.2">
      <c r="B628" s="89"/>
      <c r="C628"/>
      <c r="D628"/>
      <c r="E628" s="69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  <c r="V628"/>
      <c r="W628"/>
      <c r="X628"/>
      <c r="Y628"/>
      <c r="Z628"/>
      <c r="AA628"/>
    </row>
    <row r="629" spans="2:27" s="25" customFormat="1" ht="15.75" customHeight="1" x14ac:dyDescent="0.2">
      <c r="B629" s="89"/>
      <c r="C629"/>
      <c r="D629"/>
      <c r="E629" s="6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  <c r="V629"/>
      <c r="W629"/>
      <c r="X629"/>
      <c r="Y629"/>
      <c r="Z629"/>
      <c r="AA629"/>
    </row>
    <row r="630" spans="2:27" s="25" customFormat="1" ht="15.75" customHeight="1" x14ac:dyDescent="0.2">
      <c r="B630" s="89"/>
      <c r="C630"/>
      <c r="D630"/>
      <c r="E630" s="69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  <c r="V630"/>
      <c r="W630"/>
      <c r="X630"/>
      <c r="Y630"/>
      <c r="Z630"/>
      <c r="AA630"/>
    </row>
    <row r="631" spans="2:27" s="25" customFormat="1" ht="15.75" customHeight="1" x14ac:dyDescent="0.2">
      <c r="B631" s="89"/>
      <c r="C631"/>
      <c r="D631"/>
      <c r="E631" s="69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  <c r="V631"/>
      <c r="W631"/>
      <c r="X631"/>
      <c r="Y631"/>
      <c r="Z631"/>
      <c r="AA631"/>
    </row>
    <row r="632" spans="2:27" s="25" customFormat="1" ht="15.75" customHeight="1" x14ac:dyDescent="0.2">
      <c r="B632" s="89"/>
      <c r="C632"/>
      <c r="D632"/>
      <c r="E632" s="69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  <c r="V632"/>
      <c r="W632"/>
      <c r="X632"/>
      <c r="Y632"/>
      <c r="Z632"/>
      <c r="AA632"/>
    </row>
    <row r="633" spans="2:27" s="25" customFormat="1" ht="15.75" customHeight="1" x14ac:dyDescent="0.2">
      <c r="B633" s="89"/>
      <c r="C633"/>
      <c r="D633"/>
      <c r="E633" s="69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  <c r="V633"/>
      <c r="W633"/>
      <c r="X633"/>
      <c r="Y633"/>
      <c r="Z633"/>
      <c r="AA633"/>
    </row>
    <row r="634" spans="2:27" s="25" customFormat="1" ht="15.75" customHeight="1" x14ac:dyDescent="0.2">
      <c r="B634" s="89"/>
      <c r="C634"/>
      <c r="D634"/>
      <c r="E634" s="69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  <c r="V634"/>
      <c r="W634"/>
      <c r="X634"/>
      <c r="Y634"/>
      <c r="Z634"/>
      <c r="AA634"/>
    </row>
    <row r="635" spans="2:27" s="25" customFormat="1" ht="15.75" customHeight="1" x14ac:dyDescent="0.2">
      <c r="B635" s="89"/>
      <c r="C635"/>
      <c r="D635"/>
      <c r="E635" s="69"/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  <c r="V635"/>
      <c r="W635"/>
      <c r="X635"/>
      <c r="Y635"/>
      <c r="Z635"/>
      <c r="AA635"/>
    </row>
    <row r="636" spans="2:27" s="25" customFormat="1" ht="15.75" customHeight="1" x14ac:dyDescent="0.2">
      <c r="B636" s="89"/>
      <c r="C636"/>
      <c r="D636"/>
      <c r="E636" s="69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  <c r="V636"/>
      <c r="W636"/>
      <c r="X636"/>
      <c r="Y636"/>
      <c r="Z636"/>
      <c r="AA636"/>
    </row>
    <row r="637" spans="2:27" s="25" customFormat="1" ht="15.75" customHeight="1" x14ac:dyDescent="0.2">
      <c r="B637" s="89"/>
      <c r="C637"/>
      <c r="D637"/>
      <c r="E637" s="69"/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  <c r="V637"/>
      <c r="W637"/>
      <c r="X637"/>
      <c r="Y637"/>
      <c r="Z637"/>
      <c r="AA637"/>
    </row>
    <row r="638" spans="2:27" s="25" customFormat="1" ht="15.75" customHeight="1" x14ac:dyDescent="0.2">
      <c r="B638" s="89"/>
      <c r="C638"/>
      <c r="D638"/>
      <c r="E638" s="69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  <c r="V638"/>
      <c r="W638"/>
      <c r="X638"/>
      <c r="Y638"/>
      <c r="Z638"/>
      <c r="AA638"/>
    </row>
    <row r="639" spans="2:27" s="25" customFormat="1" ht="15.75" customHeight="1" x14ac:dyDescent="0.2">
      <c r="B639" s="89"/>
      <c r="C639"/>
      <c r="D639"/>
      <c r="E639" s="69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  <c r="U639"/>
      <c r="V639"/>
      <c r="W639"/>
      <c r="X639"/>
      <c r="Y639"/>
      <c r="Z639"/>
      <c r="AA639"/>
    </row>
    <row r="640" spans="2:27" s="25" customFormat="1" ht="15.75" customHeight="1" x14ac:dyDescent="0.2">
      <c r="B640" s="89"/>
      <c r="C640"/>
      <c r="D640"/>
      <c r="E640" s="69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  <c r="V640"/>
      <c r="W640"/>
      <c r="X640"/>
      <c r="Y640"/>
      <c r="Z640"/>
      <c r="AA640"/>
    </row>
    <row r="641" spans="2:27" s="25" customFormat="1" ht="15.75" customHeight="1" x14ac:dyDescent="0.2">
      <c r="B641" s="89"/>
      <c r="C641"/>
      <c r="D641"/>
      <c r="E641" s="69"/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/>
      <c r="U641"/>
      <c r="V641"/>
      <c r="W641"/>
      <c r="X641"/>
      <c r="Y641"/>
      <c r="Z641"/>
      <c r="AA641"/>
    </row>
    <row r="642" spans="2:27" s="25" customFormat="1" ht="15.75" customHeight="1" x14ac:dyDescent="0.2">
      <c r="B642" s="89"/>
      <c r="C642"/>
      <c r="D642"/>
      <c r="E642" s="69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  <c r="V642"/>
      <c r="W642"/>
      <c r="X642"/>
      <c r="Y642"/>
      <c r="Z642"/>
      <c r="AA642"/>
    </row>
    <row r="643" spans="2:27" s="25" customFormat="1" ht="15.75" customHeight="1" x14ac:dyDescent="0.2">
      <c r="B643" s="89"/>
      <c r="C643"/>
      <c r="D643"/>
      <c r="E643" s="69"/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  <c r="T643"/>
      <c r="U643"/>
      <c r="V643"/>
      <c r="W643"/>
      <c r="X643"/>
      <c r="Y643"/>
      <c r="Z643"/>
      <c r="AA643"/>
    </row>
    <row r="644" spans="2:27" s="25" customFormat="1" ht="15.75" customHeight="1" x14ac:dyDescent="0.2">
      <c r="B644" s="89"/>
      <c r="C644"/>
      <c r="D644"/>
      <c r="E644" s="69"/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  <c r="U644"/>
      <c r="V644"/>
      <c r="W644"/>
      <c r="X644"/>
      <c r="Y644"/>
      <c r="Z644"/>
      <c r="AA644"/>
    </row>
    <row r="645" spans="2:27" s="25" customFormat="1" ht="15.75" customHeight="1" x14ac:dyDescent="0.2">
      <c r="B645" s="89"/>
      <c r="C645"/>
      <c r="D645"/>
      <c r="E645" s="69"/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  <c r="T645"/>
      <c r="U645"/>
      <c r="V645"/>
      <c r="W645"/>
      <c r="X645"/>
      <c r="Y645"/>
      <c r="Z645"/>
      <c r="AA645"/>
    </row>
    <row r="646" spans="2:27" s="25" customFormat="1" ht="15.75" customHeight="1" x14ac:dyDescent="0.2">
      <c r="B646" s="89"/>
      <c r="C646"/>
      <c r="D646"/>
      <c r="E646" s="69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  <c r="U646"/>
      <c r="V646"/>
      <c r="W646"/>
      <c r="X646"/>
      <c r="Y646"/>
      <c r="Z646"/>
      <c r="AA646"/>
    </row>
    <row r="647" spans="2:27" s="25" customFormat="1" ht="15.75" customHeight="1" x14ac:dyDescent="0.2">
      <c r="B647" s="89"/>
      <c r="C647"/>
      <c r="D647"/>
      <c r="E647" s="69"/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  <c r="V647"/>
      <c r="W647"/>
      <c r="X647"/>
      <c r="Y647"/>
      <c r="Z647"/>
      <c r="AA647"/>
    </row>
    <row r="648" spans="2:27" s="25" customFormat="1" ht="15.75" customHeight="1" x14ac:dyDescent="0.2">
      <c r="B648" s="89"/>
      <c r="C648"/>
      <c r="D648"/>
      <c r="E648" s="69"/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  <c r="U648"/>
      <c r="V648"/>
      <c r="W648"/>
      <c r="X648"/>
      <c r="Y648"/>
      <c r="Z648"/>
      <c r="AA648"/>
    </row>
    <row r="649" spans="2:27" s="25" customFormat="1" ht="15.75" customHeight="1" x14ac:dyDescent="0.2">
      <c r="B649" s="89"/>
      <c r="C649"/>
      <c r="D649"/>
      <c r="E649" s="69"/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  <c r="T649"/>
      <c r="U649"/>
      <c r="V649"/>
      <c r="W649"/>
      <c r="X649"/>
      <c r="Y649"/>
      <c r="Z649"/>
      <c r="AA649"/>
    </row>
    <row r="650" spans="2:27" s="25" customFormat="1" ht="15.75" customHeight="1" x14ac:dyDescent="0.2">
      <c r="B650" s="89"/>
      <c r="C650"/>
      <c r="D650"/>
      <c r="E650" s="69"/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  <c r="T650"/>
      <c r="U650"/>
      <c r="V650"/>
      <c r="W650"/>
      <c r="X650"/>
      <c r="Y650"/>
      <c r="Z650"/>
      <c r="AA650"/>
    </row>
    <row r="651" spans="2:27" s="25" customFormat="1" ht="15.75" customHeight="1" x14ac:dyDescent="0.2">
      <c r="B651" s="89"/>
      <c r="C651"/>
      <c r="D651"/>
      <c r="E651" s="69"/>
      <c r="F651"/>
      <c r="G651"/>
      <c r="H651"/>
      <c r="I651"/>
      <c r="J651"/>
      <c r="K651"/>
      <c r="L651"/>
      <c r="M651"/>
      <c r="N651"/>
      <c r="O651"/>
      <c r="P651"/>
      <c r="Q651"/>
      <c r="R651"/>
      <c r="S651"/>
      <c r="T651"/>
      <c r="U651"/>
      <c r="V651"/>
      <c r="W651"/>
      <c r="X651"/>
      <c r="Y651"/>
      <c r="Z651"/>
      <c r="AA651"/>
    </row>
    <row r="652" spans="2:27" s="25" customFormat="1" ht="15.75" customHeight="1" x14ac:dyDescent="0.2">
      <c r="B652" s="89"/>
      <c r="C652"/>
      <c r="D652"/>
      <c r="E652" s="69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  <c r="V652"/>
      <c r="W652"/>
      <c r="X652"/>
      <c r="Y652"/>
      <c r="Z652"/>
      <c r="AA652"/>
    </row>
    <row r="653" spans="2:27" s="25" customFormat="1" ht="15.75" customHeight="1" x14ac:dyDescent="0.2">
      <c r="B653" s="89"/>
      <c r="C653"/>
      <c r="D653"/>
      <c r="E653" s="69"/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  <c r="T653"/>
      <c r="U653"/>
      <c r="V653"/>
      <c r="W653"/>
      <c r="X653"/>
      <c r="Y653"/>
      <c r="Z653"/>
      <c r="AA653"/>
    </row>
    <row r="654" spans="2:27" s="25" customFormat="1" ht="15.75" customHeight="1" x14ac:dyDescent="0.2">
      <c r="B654" s="89"/>
      <c r="C654"/>
      <c r="D654"/>
      <c r="E654" s="69"/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  <c r="T654"/>
      <c r="U654"/>
      <c r="V654"/>
      <c r="W654"/>
      <c r="X654"/>
      <c r="Y654"/>
      <c r="Z654"/>
      <c r="AA654"/>
    </row>
    <row r="655" spans="2:27" s="25" customFormat="1" ht="15.75" customHeight="1" x14ac:dyDescent="0.2">
      <c r="B655" s="89"/>
      <c r="C655"/>
      <c r="D655"/>
      <c r="E655" s="69"/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  <c r="V655"/>
      <c r="W655"/>
      <c r="X655"/>
      <c r="Y655"/>
      <c r="Z655"/>
      <c r="AA655"/>
    </row>
    <row r="656" spans="2:27" s="25" customFormat="1" ht="15.75" customHeight="1" x14ac:dyDescent="0.2">
      <c r="B656" s="89"/>
      <c r="C656"/>
      <c r="D656"/>
      <c r="E656" s="69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/>
      <c r="U656"/>
      <c r="V656"/>
      <c r="W656"/>
      <c r="X656"/>
      <c r="Y656"/>
      <c r="Z656"/>
      <c r="AA656"/>
    </row>
    <row r="657" spans="2:27" s="25" customFormat="1" ht="15.75" customHeight="1" x14ac:dyDescent="0.2">
      <c r="B657" s="89"/>
      <c r="C657"/>
      <c r="D657"/>
      <c r="E657" s="69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  <c r="V657"/>
      <c r="W657"/>
      <c r="X657"/>
      <c r="Y657"/>
      <c r="Z657"/>
      <c r="AA657"/>
    </row>
    <row r="658" spans="2:27" s="25" customFormat="1" ht="15.75" customHeight="1" x14ac:dyDescent="0.2">
      <c r="B658" s="89"/>
      <c r="C658"/>
      <c r="D658"/>
      <c r="E658" s="69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  <c r="U658"/>
      <c r="V658"/>
      <c r="W658"/>
      <c r="X658"/>
      <c r="Y658"/>
      <c r="Z658"/>
      <c r="AA658"/>
    </row>
    <row r="659" spans="2:27" s="25" customFormat="1" ht="15.75" customHeight="1" x14ac:dyDescent="0.2">
      <c r="B659" s="89"/>
      <c r="C659"/>
      <c r="D659"/>
      <c r="E659" s="69"/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  <c r="V659"/>
      <c r="W659"/>
      <c r="X659"/>
      <c r="Y659"/>
      <c r="Z659"/>
      <c r="AA659"/>
    </row>
    <row r="660" spans="2:27" s="25" customFormat="1" ht="15.75" customHeight="1" x14ac:dyDescent="0.2">
      <c r="B660" s="89"/>
      <c r="C660"/>
      <c r="D660"/>
      <c r="E660" s="69"/>
      <c r="F660"/>
      <c r="G660"/>
      <c r="H660"/>
      <c r="I660"/>
      <c r="J660"/>
      <c r="K660"/>
      <c r="L660"/>
      <c r="M660"/>
      <c r="N660"/>
      <c r="O660"/>
      <c r="P660"/>
      <c r="Q660"/>
      <c r="R660"/>
      <c r="S660"/>
      <c r="T660"/>
      <c r="U660"/>
      <c r="V660"/>
      <c r="W660"/>
      <c r="X660"/>
      <c r="Y660"/>
      <c r="Z660"/>
      <c r="AA660"/>
    </row>
    <row r="661" spans="2:27" s="25" customFormat="1" ht="15.75" customHeight="1" x14ac:dyDescent="0.2">
      <c r="B661" s="89"/>
      <c r="C661"/>
      <c r="D661"/>
      <c r="E661" s="69"/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  <c r="V661"/>
      <c r="W661"/>
      <c r="X661"/>
      <c r="Y661"/>
      <c r="Z661"/>
      <c r="AA661"/>
    </row>
    <row r="662" spans="2:27" s="25" customFormat="1" ht="15.75" customHeight="1" x14ac:dyDescent="0.2">
      <c r="B662" s="89"/>
      <c r="C662"/>
      <c r="D662"/>
      <c r="E662" s="69"/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  <c r="T662"/>
      <c r="U662"/>
      <c r="V662"/>
      <c r="W662"/>
      <c r="X662"/>
      <c r="Y662"/>
      <c r="Z662"/>
      <c r="AA662"/>
    </row>
    <row r="663" spans="2:27" s="25" customFormat="1" ht="15.75" customHeight="1" x14ac:dyDescent="0.2">
      <c r="B663" s="89"/>
      <c r="C663"/>
      <c r="D663"/>
      <c r="E663" s="69"/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  <c r="T663"/>
      <c r="U663"/>
      <c r="V663"/>
      <c r="W663"/>
      <c r="X663"/>
      <c r="Y663"/>
      <c r="Z663"/>
      <c r="AA663"/>
    </row>
    <row r="664" spans="2:27" s="25" customFormat="1" ht="15.75" customHeight="1" x14ac:dyDescent="0.2">
      <c r="B664" s="89"/>
      <c r="C664"/>
      <c r="D664"/>
      <c r="E664" s="69"/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/>
      <c r="U664"/>
      <c r="V664"/>
      <c r="W664"/>
      <c r="X664"/>
      <c r="Y664"/>
      <c r="Z664"/>
      <c r="AA664"/>
    </row>
    <row r="665" spans="2:27" s="25" customFormat="1" ht="15.75" customHeight="1" x14ac:dyDescent="0.2">
      <c r="B665" s="89"/>
      <c r="C665"/>
      <c r="D665"/>
      <c r="E665" s="69"/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  <c r="T665"/>
      <c r="U665"/>
      <c r="V665"/>
      <c r="W665"/>
      <c r="X665"/>
      <c r="Y665"/>
      <c r="Z665"/>
      <c r="AA665"/>
    </row>
    <row r="666" spans="2:27" s="25" customFormat="1" ht="15.75" customHeight="1" x14ac:dyDescent="0.2">
      <c r="B666" s="89"/>
      <c r="C666"/>
      <c r="D666"/>
      <c r="E666" s="69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  <c r="V666"/>
      <c r="W666"/>
      <c r="X666"/>
      <c r="Y666"/>
      <c r="Z666"/>
      <c r="AA666"/>
    </row>
    <row r="667" spans="2:27" s="25" customFormat="1" ht="15.75" customHeight="1" x14ac:dyDescent="0.2">
      <c r="B667" s="89"/>
      <c r="C667"/>
      <c r="D667"/>
      <c r="E667" s="69"/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  <c r="T667"/>
      <c r="U667"/>
      <c r="V667"/>
      <c r="W667"/>
      <c r="X667"/>
      <c r="Y667"/>
      <c r="Z667"/>
      <c r="AA667"/>
    </row>
    <row r="668" spans="2:27" s="25" customFormat="1" ht="15.75" customHeight="1" x14ac:dyDescent="0.2">
      <c r="B668" s="89"/>
      <c r="C668"/>
      <c r="D668"/>
      <c r="E668" s="69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  <c r="V668"/>
      <c r="W668"/>
      <c r="X668"/>
      <c r="Y668"/>
      <c r="Z668"/>
      <c r="AA668"/>
    </row>
    <row r="669" spans="2:27" s="25" customFormat="1" ht="15.75" customHeight="1" x14ac:dyDescent="0.2">
      <c r="B669" s="89"/>
      <c r="C669"/>
      <c r="D669"/>
      <c r="E669" s="69"/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  <c r="V669"/>
      <c r="W669"/>
      <c r="X669"/>
      <c r="Y669"/>
      <c r="Z669"/>
      <c r="AA669"/>
    </row>
    <row r="670" spans="2:27" s="25" customFormat="1" ht="15.75" customHeight="1" x14ac:dyDescent="0.2">
      <c r="B670" s="89"/>
      <c r="C670"/>
      <c r="D670"/>
      <c r="E670" s="69"/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  <c r="U670"/>
      <c r="V670"/>
      <c r="W670"/>
      <c r="X670"/>
      <c r="Y670"/>
      <c r="Z670"/>
      <c r="AA670"/>
    </row>
    <row r="671" spans="2:27" s="25" customFormat="1" ht="15.75" customHeight="1" x14ac:dyDescent="0.2">
      <c r="B671" s="89"/>
      <c r="C671"/>
      <c r="D671"/>
      <c r="E671" s="69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  <c r="V671"/>
      <c r="W671"/>
      <c r="X671"/>
      <c r="Y671"/>
      <c r="Z671"/>
      <c r="AA671"/>
    </row>
    <row r="672" spans="2:27" s="25" customFormat="1" ht="15.75" customHeight="1" x14ac:dyDescent="0.2">
      <c r="B672" s="89"/>
      <c r="C672"/>
      <c r="D672"/>
      <c r="E672" s="69"/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  <c r="T672"/>
      <c r="U672"/>
      <c r="V672"/>
      <c r="W672"/>
      <c r="X672"/>
      <c r="Y672"/>
      <c r="Z672"/>
      <c r="AA672"/>
    </row>
    <row r="673" spans="2:27" s="25" customFormat="1" ht="15.75" customHeight="1" x14ac:dyDescent="0.2">
      <c r="B673" s="89"/>
      <c r="C673"/>
      <c r="D673"/>
      <c r="E673" s="69"/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  <c r="T673"/>
      <c r="U673"/>
      <c r="V673"/>
      <c r="W673"/>
      <c r="X673"/>
      <c r="Y673"/>
      <c r="Z673"/>
      <c r="AA673"/>
    </row>
    <row r="674" spans="2:27" s="25" customFormat="1" ht="15.75" customHeight="1" x14ac:dyDescent="0.2">
      <c r="B674" s="89"/>
      <c r="C674"/>
      <c r="D674"/>
      <c r="E674" s="69"/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  <c r="U674"/>
      <c r="V674"/>
      <c r="W674"/>
      <c r="X674"/>
      <c r="Y674"/>
      <c r="Z674"/>
      <c r="AA674"/>
    </row>
    <row r="675" spans="2:27" s="25" customFormat="1" ht="15.75" customHeight="1" x14ac:dyDescent="0.2">
      <c r="B675" s="89"/>
      <c r="C675"/>
      <c r="D675"/>
      <c r="E675" s="69"/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  <c r="U675"/>
      <c r="V675"/>
      <c r="W675"/>
      <c r="X675"/>
      <c r="Y675"/>
      <c r="Z675"/>
      <c r="AA675"/>
    </row>
    <row r="676" spans="2:27" s="25" customFormat="1" ht="15.75" customHeight="1" x14ac:dyDescent="0.2">
      <c r="B676" s="89"/>
      <c r="C676"/>
      <c r="D676"/>
      <c r="E676" s="69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  <c r="V676"/>
      <c r="W676"/>
      <c r="X676"/>
      <c r="Y676"/>
      <c r="Z676"/>
      <c r="AA676"/>
    </row>
    <row r="677" spans="2:27" s="25" customFormat="1" ht="15.75" customHeight="1" x14ac:dyDescent="0.2">
      <c r="B677" s="89"/>
      <c r="C677"/>
      <c r="D677"/>
      <c r="E677" s="69"/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  <c r="V677"/>
      <c r="W677"/>
      <c r="X677"/>
      <c r="Y677"/>
      <c r="Z677"/>
      <c r="AA677"/>
    </row>
    <row r="678" spans="2:27" s="25" customFormat="1" ht="15.75" customHeight="1" x14ac:dyDescent="0.2">
      <c r="B678" s="89"/>
      <c r="C678"/>
      <c r="D678"/>
      <c r="E678" s="69"/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  <c r="T678"/>
      <c r="U678"/>
      <c r="V678"/>
      <c r="W678"/>
      <c r="X678"/>
      <c r="Y678"/>
      <c r="Z678"/>
      <c r="AA678"/>
    </row>
    <row r="679" spans="2:27" s="25" customFormat="1" ht="15.75" customHeight="1" x14ac:dyDescent="0.2">
      <c r="B679" s="89"/>
      <c r="C679"/>
      <c r="D679"/>
      <c r="E679" s="69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  <c r="V679"/>
      <c r="W679"/>
      <c r="X679"/>
      <c r="Y679"/>
      <c r="Z679"/>
      <c r="AA679"/>
    </row>
    <row r="680" spans="2:27" s="25" customFormat="1" ht="15.75" customHeight="1" x14ac:dyDescent="0.2">
      <c r="B680" s="89"/>
      <c r="C680"/>
      <c r="D680"/>
      <c r="E680" s="69"/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  <c r="U680"/>
      <c r="V680"/>
      <c r="W680"/>
      <c r="X680"/>
      <c r="Y680"/>
      <c r="Z680"/>
      <c r="AA680"/>
    </row>
    <row r="681" spans="2:27" s="25" customFormat="1" ht="15.75" customHeight="1" x14ac:dyDescent="0.2">
      <c r="B681" s="89"/>
      <c r="C681"/>
      <c r="D681"/>
      <c r="E681" s="69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  <c r="U681"/>
      <c r="V681"/>
      <c r="W681"/>
      <c r="X681"/>
      <c r="Y681"/>
      <c r="Z681"/>
      <c r="AA681"/>
    </row>
    <row r="682" spans="2:27" s="25" customFormat="1" ht="15.75" customHeight="1" x14ac:dyDescent="0.2">
      <c r="B682" s="89"/>
      <c r="C682"/>
      <c r="D682"/>
      <c r="E682" s="69"/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  <c r="T682"/>
      <c r="U682"/>
      <c r="V682"/>
      <c r="W682"/>
      <c r="X682"/>
      <c r="Y682"/>
      <c r="Z682"/>
      <c r="AA682"/>
    </row>
    <row r="683" spans="2:27" s="25" customFormat="1" ht="15.75" customHeight="1" x14ac:dyDescent="0.2">
      <c r="B683" s="89"/>
      <c r="C683"/>
      <c r="D683"/>
      <c r="E683" s="69"/>
      <c r="F683"/>
      <c r="G683"/>
      <c r="H683"/>
      <c r="I683"/>
      <c r="J683"/>
      <c r="K683"/>
      <c r="L683"/>
      <c r="M683"/>
      <c r="N683"/>
      <c r="O683"/>
      <c r="P683"/>
      <c r="Q683"/>
      <c r="R683"/>
      <c r="S683"/>
      <c r="T683"/>
      <c r="U683"/>
      <c r="V683"/>
      <c r="W683"/>
      <c r="X683"/>
      <c r="Y683"/>
      <c r="Z683"/>
      <c r="AA683"/>
    </row>
    <row r="684" spans="2:27" s="25" customFormat="1" ht="15.75" customHeight="1" x14ac:dyDescent="0.2">
      <c r="B684" s="89"/>
      <c r="C684"/>
      <c r="D684"/>
      <c r="E684" s="69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  <c r="V684"/>
      <c r="W684"/>
      <c r="X684"/>
      <c r="Y684"/>
      <c r="Z684"/>
      <c r="AA684"/>
    </row>
    <row r="685" spans="2:27" s="25" customFormat="1" ht="15.75" customHeight="1" x14ac:dyDescent="0.2">
      <c r="B685" s="89"/>
      <c r="C685"/>
      <c r="D685"/>
      <c r="E685" s="69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  <c r="V685"/>
      <c r="W685"/>
      <c r="X685"/>
      <c r="Y685"/>
      <c r="Z685"/>
      <c r="AA685"/>
    </row>
    <row r="686" spans="2:27" s="25" customFormat="1" ht="15.75" customHeight="1" x14ac:dyDescent="0.2">
      <c r="B686" s="89"/>
      <c r="C686"/>
      <c r="D686"/>
      <c r="E686" s="69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  <c r="U686"/>
      <c r="V686"/>
      <c r="W686"/>
      <c r="X686"/>
      <c r="Y686"/>
      <c r="Z686"/>
      <c r="AA686"/>
    </row>
    <row r="687" spans="2:27" s="25" customFormat="1" ht="15.75" customHeight="1" x14ac:dyDescent="0.2">
      <c r="B687" s="89"/>
      <c r="C687"/>
      <c r="D687"/>
      <c r="E687" s="69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  <c r="V687"/>
      <c r="W687"/>
      <c r="X687"/>
      <c r="Y687"/>
      <c r="Z687"/>
      <c r="AA687"/>
    </row>
    <row r="688" spans="2:27" s="25" customFormat="1" ht="15.75" customHeight="1" x14ac:dyDescent="0.2">
      <c r="B688" s="89"/>
      <c r="C688"/>
      <c r="D688"/>
      <c r="E688" s="69"/>
      <c r="F688"/>
      <c r="G688"/>
      <c r="H688"/>
      <c r="I688"/>
      <c r="J688"/>
      <c r="K688"/>
      <c r="L688"/>
      <c r="M688"/>
      <c r="N688"/>
      <c r="O688"/>
      <c r="P688"/>
      <c r="Q688"/>
      <c r="R688"/>
      <c r="S688"/>
      <c r="T688"/>
      <c r="U688"/>
      <c r="V688"/>
      <c r="W688"/>
      <c r="X688"/>
      <c r="Y688"/>
      <c r="Z688"/>
      <c r="AA688"/>
    </row>
    <row r="689" spans="2:27" s="25" customFormat="1" ht="15.75" customHeight="1" x14ac:dyDescent="0.2">
      <c r="B689" s="89"/>
      <c r="C689"/>
      <c r="D689"/>
      <c r="E689" s="6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  <c r="V689"/>
      <c r="W689"/>
      <c r="X689"/>
      <c r="Y689"/>
      <c r="Z689"/>
      <c r="AA689"/>
    </row>
    <row r="690" spans="2:27" s="25" customFormat="1" ht="15.75" customHeight="1" x14ac:dyDescent="0.2">
      <c r="B690" s="89"/>
      <c r="C690"/>
      <c r="D690"/>
      <c r="E690" s="69"/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  <c r="T690"/>
      <c r="U690"/>
      <c r="V690"/>
      <c r="W690"/>
      <c r="X690"/>
      <c r="Y690"/>
      <c r="Z690"/>
      <c r="AA690"/>
    </row>
    <row r="691" spans="2:27" s="25" customFormat="1" ht="15.75" customHeight="1" x14ac:dyDescent="0.2">
      <c r="B691" s="89"/>
      <c r="C691"/>
      <c r="D691"/>
      <c r="E691" s="69"/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  <c r="U691"/>
      <c r="V691"/>
      <c r="W691"/>
      <c r="X691"/>
      <c r="Y691"/>
      <c r="Z691"/>
      <c r="AA691"/>
    </row>
    <row r="692" spans="2:27" s="25" customFormat="1" ht="15.75" customHeight="1" x14ac:dyDescent="0.2">
      <c r="B692" s="89"/>
      <c r="C692"/>
      <c r="D692"/>
      <c r="E692" s="69"/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  <c r="T692"/>
      <c r="U692"/>
      <c r="V692"/>
      <c r="W692"/>
      <c r="X692"/>
      <c r="Y692"/>
      <c r="Z692"/>
      <c r="AA692"/>
    </row>
    <row r="693" spans="2:27" s="25" customFormat="1" ht="15.75" customHeight="1" x14ac:dyDescent="0.2">
      <c r="B693" s="89"/>
      <c r="C693"/>
      <c r="D693"/>
      <c r="E693" s="69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  <c r="U693"/>
      <c r="V693"/>
      <c r="W693"/>
      <c r="X693"/>
      <c r="Y693"/>
      <c r="Z693"/>
      <c r="AA693"/>
    </row>
    <row r="694" spans="2:27" s="25" customFormat="1" ht="15.75" customHeight="1" x14ac:dyDescent="0.2">
      <c r="B694" s="89"/>
      <c r="C694"/>
      <c r="D694"/>
      <c r="E694" s="69"/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  <c r="V694"/>
      <c r="W694"/>
      <c r="X694"/>
      <c r="Y694"/>
      <c r="Z694"/>
      <c r="AA694"/>
    </row>
    <row r="695" spans="2:27" s="25" customFormat="1" ht="15.75" customHeight="1" x14ac:dyDescent="0.2">
      <c r="B695" s="89"/>
      <c r="C695"/>
      <c r="D695"/>
      <c r="E695" s="69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  <c r="V695"/>
      <c r="W695"/>
      <c r="X695"/>
      <c r="Y695"/>
      <c r="Z695"/>
      <c r="AA695"/>
    </row>
    <row r="696" spans="2:27" s="25" customFormat="1" ht="15.75" customHeight="1" x14ac:dyDescent="0.2">
      <c r="B696" s="89"/>
      <c r="C696"/>
      <c r="D696"/>
      <c r="E696" s="69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  <c r="U696"/>
      <c r="V696"/>
      <c r="W696"/>
      <c r="X696"/>
      <c r="Y696"/>
      <c r="Z696"/>
      <c r="AA696"/>
    </row>
    <row r="697" spans="2:27" s="25" customFormat="1" ht="15.75" customHeight="1" x14ac:dyDescent="0.2">
      <c r="B697" s="89"/>
      <c r="C697"/>
      <c r="D697"/>
      <c r="E697" s="69"/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  <c r="V697"/>
      <c r="W697"/>
      <c r="X697"/>
      <c r="Y697"/>
      <c r="Z697"/>
      <c r="AA697"/>
    </row>
    <row r="698" spans="2:27" s="25" customFormat="1" ht="15.75" customHeight="1" x14ac:dyDescent="0.2">
      <c r="B698" s="89"/>
      <c r="C698"/>
      <c r="D698"/>
      <c r="E698" s="69"/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  <c r="V698"/>
      <c r="W698"/>
      <c r="X698"/>
      <c r="Y698"/>
      <c r="Z698"/>
      <c r="AA698"/>
    </row>
    <row r="699" spans="2:27" s="25" customFormat="1" ht="15.75" customHeight="1" x14ac:dyDescent="0.2">
      <c r="B699" s="89"/>
      <c r="C699"/>
      <c r="D699"/>
      <c r="E699" s="69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  <c r="V699"/>
      <c r="W699"/>
      <c r="X699"/>
      <c r="Y699"/>
      <c r="Z699"/>
      <c r="AA699"/>
    </row>
    <row r="700" spans="2:27" s="25" customFormat="1" ht="15.75" customHeight="1" x14ac:dyDescent="0.2">
      <c r="B700" s="89"/>
      <c r="C700"/>
      <c r="D700"/>
      <c r="E700" s="69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  <c r="V700"/>
      <c r="W700"/>
      <c r="X700"/>
      <c r="Y700"/>
      <c r="Z700"/>
      <c r="AA700"/>
    </row>
    <row r="701" spans="2:27" s="25" customFormat="1" ht="15.75" customHeight="1" x14ac:dyDescent="0.2">
      <c r="B701" s="89"/>
      <c r="C701"/>
      <c r="D701"/>
      <c r="E701" s="69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  <c r="V701"/>
      <c r="W701"/>
      <c r="X701"/>
      <c r="Y701"/>
      <c r="Z701"/>
      <c r="AA701"/>
    </row>
    <row r="702" spans="2:27" s="25" customFormat="1" ht="15.75" customHeight="1" x14ac:dyDescent="0.2">
      <c r="B702" s="89"/>
      <c r="C702"/>
      <c r="D702"/>
      <c r="E702" s="69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  <c r="V702"/>
      <c r="W702"/>
      <c r="X702"/>
      <c r="Y702"/>
      <c r="Z702"/>
      <c r="AA702"/>
    </row>
    <row r="703" spans="2:27" s="25" customFormat="1" ht="15.75" customHeight="1" x14ac:dyDescent="0.2">
      <c r="B703" s="89"/>
      <c r="C703"/>
      <c r="D703"/>
      <c r="E703" s="69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  <c r="V703"/>
      <c r="W703"/>
      <c r="X703"/>
      <c r="Y703"/>
      <c r="Z703"/>
      <c r="AA703"/>
    </row>
    <row r="704" spans="2:27" s="25" customFormat="1" ht="15.75" customHeight="1" x14ac:dyDescent="0.2">
      <c r="B704" s="89"/>
      <c r="C704"/>
      <c r="D704"/>
      <c r="E704" s="69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  <c r="V704"/>
      <c r="W704"/>
      <c r="X704"/>
      <c r="Y704"/>
      <c r="Z704"/>
      <c r="AA704"/>
    </row>
    <row r="705" spans="2:27" s="25" customFormat="1" ht="15.75" customHeight="1" x14ac:dyDescent="0.2">
      <c r="B705" s="89"/>
      <c r="C705"/>
      <c r="D705"/>
      <c r="E705" s="69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  <c r="V705"/>
      <c r="W705"/>
      <c r="X705"/>
      <c r="Y705"/>
      <c r="Z705"/>
      <c r="AA705"/>
    </row>
    <row r="706" spans="2:27" s="25" customFormat="1" ht="15.75" customHeight="1" x14ac:dyDescent="0.2">
      <c r="B706" s="89"/>
      <c r="C706"/>
      <c r="D706"/>
      <c r="E706" s="69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  <c r="V706"/>
      <c r="W706"/>
      <c r="X706"/>
      <c r="Y706"/>
      <c r="Z706"/>
      <c r="AA706"/>
    </row>
    <row r="707" spans="2:27" s="25" customFormat="1" ht="15.75" customHeight="1" x14ac:dyDescent="0.2">
      <c r="B707" s="89"/>
      <c r="C707"/>
      <c r="D707"/>
      <c r="E707" s="69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  <c r="V707"/>
      <c r="W707"/>
      <c r="X707"/>
      <c r="Y707"/>
      <c r="Z707"/>
      <c r="AA707"/>
    </row>
    <row r="708" spans="2:27" s="25" customFormat="1" ht="15.75" customHeight="1" x14ac:dyDescent="0.2">
      <c r="B708" s="89"/>
      <c r="C708"/>
      <c r="D708"/>
      <c r="E708" s="69"/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  <c r="V708"/>
      <c r="W708"/>
      <c r="X708"/>
      <c r="Y708"/>
      <c r="Z708"/>
      <c r="AA708"/>
    </row>
    <row r="709" spans="2:27" s="25" customFormat="1" ht="15.75" customHeight="1" x14ac:dyDescent="0.2">
      <c r="B709" s="89"/>
      <c r="C709"/>
      <c r="D709"/>
      <c r="E709" s="69"/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  <c r="T709"/>
      <c r="U709"/>
      <c r="V709"/>
      <c r="W709"/>
      <c r="X709"/>
      <c r="Y709"/>
      <c r="Z709"/>
      <c r="AA709"/>
    </row>
    <row r="710" spans="2:27" s="25" customFormat="1" ht="15.75" customHeight="1" x14ac:dyDescent="0.2">
      <c r="B710" s="89"/>
      <c r="C710"/>
      <c r="D710"/>
      <c r="E710" s="69"/>
      <c r="F710"/>
      <c r="G710"/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  <c r="V710"/>
      <c r="W710"/>
      <c r="X710"/>
      <c r="Y710"/>
      <c r="Z710"/>
      <c r="AA710"/>
    </row>
    <row r="711" spans="2:27" s="25" customFormat="1" ht="15.75" customHeight="1" x14ac:dyDescent="0.2">
      <c r="B711" s="89"/>
      <c r="C711"/>
      <c r="D711"/>
      <c r="E711" s="69"/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  <c r="U711"/>
      <c r="V711"/>
      <c r="W711"/>
      <c r="X711"/>
      <c r="Y711"/>
      <c r="Z711"/>
      <c r="AA711"/>
    </row>
    <row r="712" spans="2:27" s="25" customFormat="1" ht="15.75" customHeight="1" x14ac:dyDescent="0.2">
      <c r="B712" s="89"/>
      <c r="C712"/>
      <c r="D712"/>
      <c r="E712" s="69"/>
      <c r="F712"/>
      <c r="G712"/>
      <c r="H712"/>
      <c r="I712"/>
      <c r="J712"/>
      <c r="K712"/>
      <c r="L712"/>
      <c r="M712"/>
      <c r="N712"/>
      <c r="O712"/>
      <c r="P712"/>
      <c r="Q712"/>
      <c r="R712"/>
      <c r="S712"/>
      <c r="T712"/>
      <c r="U712"/>
      <c r="V712"/>
      <c r="W712"/>
      <c r="X712"/>
      <c r="Y712"/>
      <c r="Z712"/>
      <c r="AA712"/>
    </row>
    <row r="713" spans="2:27" s="25" customFormat="1" ht="15.75" customHeight="1" x14ac:dyDescent="0.2">
      <c r="B713" s="89"/>
      <c r="C713"/>
      <c r="D713"/>
      <c r="E713" s="69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  <c r="V713"/>
      <c r="W713"/>
      <c r="X713"/>
      <c r="Y713"/>
      <c r="Z713"/>
      <c r="AA713"/>
    </row>
    <row r="714" spans="2:27" s="25" customFormat="1" ht="15.75" customHeight="1" x14ac:dyDescent="0.2">
      <c r="B714" s="89"/>
      <c r="C714"/>
      <c r="D714"/>
      <c r="E714" s="69"/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  <c r="U714"/>
      <c r="V714"/>
      <c r="W714"/>
      <c r="X714"/>
      <c r="Y714"/>
      <c r="Z714"/>
      <c r="AA714"/>
    </row>
    <row r="715" spans="2:27" s="25" customFormat="1" ht="15.75" customHeight="1" x14ac:dyDescent="0.2">
      <c r="B715" s="89"/>
      <c r="C715"/>
      <c r="D715"/>
      <c r="E715" s="69"/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  <c r="V715"/>
      <c r="W715"/>
      <c r="X715"/>
      <c r="Y715"/>
      <c r="Z715"/>
      <c r="AA715"/>
    </row>
    <row r="716" spans="2:27" s="25" customFormat="1" ht="15.75" customHeight="1" x14ac:dyDescent="0.2">
      <c r="B716" s="89"/>
      <c r="C716"/>
      <c r="D716"/>
      <c r="E716" s="69"/>
      <c r="F716"/>
      <c r="G716"/>
      <c r="H716"/>
      <c r="I716"/>
      <c r="J716"/>
      <c r="K716"/>
      <c r="L716"/>
      <c r="M716"/>
      <c r="N716"/>
      <c r="O716"/>
      <c r="P716"/>
      <c r="Q716"/>
      <c r="R716"/>
      <c r="S716"/>
      <c r="T716"/>
      <c r="U716"/>
      <c r="V716"/>
      <c r="W716"/>
      <c r="X716"/>
      <c r="Y716"/>
      <c r="Z716"/>
      <c r="AA716"/>
    </row>
    <row r="717" spans="2:27" s="25" customFormat="1" ht="15.75" customHeight="1" x14ac:dyDescent="0.2">
      <c r="B717" s="89"/>
      <c r="C717"/>
      <c r="D717"/>
      <c r="E717" s="69"/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  <c r="V717"/>
      <c r="W717"/>
      <c r="X717"/>
      <c r="Y717"/>
      <c r="Z717"/>
      <c r="AA717"/>
    </row>
    <row r="718" spans="2:27" s="25" customFormat="1" ht="15.75" customHeight="1" x14ac:dyDescent="0.2">
      <c r="B718" s="89"/>
      <c r="C718"/>
      <c r="D718"/>
      <c r="E718" s="69"/>
      <c r="F718"/>
      <c r="G718"/>
      <c r="H718"/>
      <c r="I718"/>
      <c r="J718"/>
      <c r="K718"/>
      <c r="L718"/>
      <c r="M718"/>
      <c r="N718"/>
      <c r="O718"/>
      <c r="P718"/>
      <c r="Q718"/>
      <c r="R718"/>
      <c r="S718"/>
      <c r="T718"/>
      <c r="U718"/>
      <c r="V718"/>
      <c r="W718"/>
      <c r="X718"/>
      <c r="Y718"/>
      <c r="Z718"/>
      <c r="AA718"/>
    </row>
    <row r="719" spans="2:27" s="25" customFormat="1" ht="15.75" customHeight="1" x14ac:dyDescent="0.2">
      <c r="B719" s="89"/>
      <c r="C719"/>
      <c r="D719"/>
      <c r="E719" s="69"/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  <c r="T719"/>
      <c r="U719"/>
      <c r="V719"/>
      <c r="W719"/>
      <c r="X719"/>
      <c r="Y719"/>
      <c r="Z719"/>
      <c r="AA719"/>
    </row>
    <row r="720" spans="2:27" s="25" customFormat="1" ht="15.75" customHeight="1" x14ac:dyDescent="0.2">
      <c r="B720" s="89"/>
      <c r="C720"/>
      <c r="D720"/>
      <c r="E720" s="69"/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  <c r="U720"/>
      <c r="V720"/>
      <c r="W720"/>
      <c r="X720"/>
      <c r="Y720"/>
      <c r="Z720"/>
      <c r="AA720"/>
    </row>
    <row r="721" spans="2:27" s="25" customFormat="1" ht="15.75" customHeight="1" x14ac:dyDescent="0.2">
      <c r="B721" s="89"/>
      <c r="C721"/>
      <c r="D721"/>
      <c r="E721" s="69"/>
      <c r="F721"/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  <c r="V721"/>
      <c r="W721"/>
      <c r="X721"/>
      <c r="Y721"/>
      <c r="Z721"/>
      <c r="AA721"/>
    </row>
    <row r="722" spans="2:27" s="25" customFormat="1" ht="15.75" customHeight="1" x14ac:dyDescent="0.2">
      <c r="B722" s="89"/>
      <c r="C722"/>
      <c r="D722"/>
      <c r="E722" s="69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  <c r="V722"/>
      <c r="W722"/>
      <c r="X722"/>
      <c r="Y722"/>
      <c r="Z722"/>
      <c r="AA722"/>
    </row>
    <row r="723" spans="2:27" s="25" customFormat="1" ht="15.75" customHeight="1" x14ac:dyDescent="0.2">
      <c r="B723" s="89"/>
      <c r="C723"/>
      <c r="D723"/>
      <c r="E723" s="69"/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  <c r="U723"/>
      <c r="V723"/>
      <c r="W723"/>
      <c r="X723"/>
      <c r="Y723"/>
      <c r="Z723"/>
      <c r="AA723"/>
    </row>
    <row r="724" spans="2:27" s="25" customFormat="1" ht="15.75" customHeight="1" x14ac:dyDescent="0.2">
      <c r="B724" s="89"/>
      <c r="C724"/>
      <c r="D724"/>
      <c r="E724" s="69"/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  <c r="U724"/>
      <c r="V724"/>
      <c r="W724"/>
      <c r="X724"/>
      <c r="Y724"/>
      <c r="Z724"/>
      <c r="AA724"/>
    </row>
    <row r="725" spans="2:27" s="25" customFormat="1" ht="15.75" customHeight="1" x14ac:dyDescent="0.2">
      <c r="B725" s="89"/>
      <c r="C725"/>
      <c r="D725"/>
      <c r="E725" s="69"/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/>
      <c r="U725"/>
      <c r="V725"/>
      <c r="W725"/>
      <c r="X725"/>
      <c r="Y725"/>
      <c r="Z725"/>
      <c r="AA725"/>
    </row>
    <row r="726" spans="2:27" s="25" customFormat="1" ht="15.75" customHeight="1" x14ac:dyDescent="0.2">
      <c r="B726" s="89"/>
      <c r="C726"/>
      <c r="D726"/>
      <c r="E726" s="69"/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  <c r="U726"/>
      <c r="V726"/>
      <c r="W726"/>
      <c r="X726"/>
      <c r="Y726"/>
      <c r="Z726"/>
      <c r="AA726"/>
    </row>
    <row r="727" spans="2:27" s="25" customFormat="1" ht="15.75" customHeight="1" x14ac:dyDescent="0.2">
      <c r="B727" s="89"/>
      <c r="C727"/>
      <c r="D727"/>
      <c r="E727" s="69"/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  <c r="V727"/>
      <c r="W727"/>
      <c r="X727"/>
      <c r="Y727"/>
      <c r="Z727"/>
      <c r="AA727"/>
    </row>
    <row r="728" spans="2:27" s="25" customFormat="1" ht="15.75" customHeight="1" x14ac:dyDescent="0.2">
      <c r="B728" s="89"/>
      <c r="C728"/>
      <c r="D728"/>
      <c r="E728" s="69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  <c r="V728"/>
      <c r="W728"/>
      <c r="X728"/>
      <c r="Y728"/>
      <c r="Z728"/>
      <c r="AA728"/>
    </row>
    <row r="729" spans="2:27" s="25" customFormat="1" ht="15.75" customHeight="1" x14ac:dyDescent="0.2">
      <c r="B729" s="89"/>
      <c r="C729"/>
      <c r="D729"/>
      <c r="E729" s="69"/>
      <c r="F729"/>
      <c r="G729"/>
      <c r="H729"/>
      <c r="I729"/>
      <c r="J729"/>
      <c r="K729"/>
      <c r="L729"/>
      <c r="M729"/>
      <c r="N729"/>
      <c r="O729"/>
      <c r="P729"/>
      <c r="Q729"/>
      <c r="R729"/>
      <c r="S729"/>
      <c r="T729"/>
      <c r="U729"/>
      <c r="V729"/>
      <c r="W729"/>
      <c r="X729"/>
      <c r="Y729"/>
      <c r="Z729"/>
      <c r="AA729"/>
    </row>
    <row r="730" spans="2:27" s="25" customFormat="1" ht="15.75" customHeight="1" x14ac:dyDescent="0.2">
      <c r="B730" s="89"/>
      <c r="C730"/>
      <c r="D730"/>
      <c r="E730" s="69"/>
      <c r="F730"/>
      <c r="G730"/>
      <c r="H730"/>
      <c r="I730"/>
      <c r="J730"/>
      <c r="K730"/>
      <c r="L730"/>
      <c r="M730"/>
      <c r="N730"/>
      <c r="O730"/>
      <c r="P730"/>
      <c r="Q730"/>
      <c r="R730"/>
      <c r="S730"/>
      <c r="T730"/>
      <c r="U730"/>
      <c r="V730"/>
      <c r="W730"/>
      <c r="X730"/>
      <c r="Y730"/>
      <c r="Z730"/>
      <c r="AA730"/>
    </row>
    <row r="731" spans="2:27" s="25" customFormat="1" ht="15.75" customHeight="1" x14ac:dyDescent="0.2">
      <c r="B731" s="89"/>
      <c r="C731"/>
      <c r="D731"/>
      <c r="E731" s="69"/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  <c r="V731"/>
      <c r="W731"/>
      <c r="X731"/>
      <c r="Y731"/>
      <c r="Z731"/>
      <c r="AA731"/>
    </row>
    <row r="732" spans="2:27" s="25" customFormat="1" ht="15.75" customHeight="1" x14ac:dyDescent="0.2">
      <c r="B732" s="89"/>
      <c r="C732"/>
      <c r="D732"/>
      <c r="E732" s="69"/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  <c r="U732"/>
      <c r="V732"/>
      <c r="W732"/>
      <c r="X732"/>
      <c r="Y732"/>
      <c r="Z732"/>
      <c r="AA732"/>
    </row>
    <row r="733" spans="2:27" s="25" customFormat="1" ht="15.75" customHeight="1" x14ac:dyDescent="0.2">
      <c r="B733" s="89"/>
      <c r="C733"/>
      <c r="D733"/>
      <c r="E733" s="69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  <c r="V733"/>
      <c r="W733"/>
      <c r="X733"/>
      <c r="Y733"/>
      <c r="Z733"/>
      <c r="AA733"/>
    </row>
    <row r="734" spans="2:27" s="25" customFormat="1" ht="15.75" customHeight="1" x14ac:dyDescent="0.2">
      <c r="B734" s="89"/>
      <c r="C734"/>
      <c r="D734"/>
      <c r="E734" s="69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  <c r="V734"/>
      <c r="W734"/>
      <c r="X734"/>
      <c r="Y734"/>
      <c r="Z734"/>
      <c r="AA734"/>
    </row>
    <row r="735" spans="2:27" s="25" customFormat="1" ht="15.75" customHeight="1" x14ac:dyDescent="0.2">
      <c r="B735" s="89"/>
      <c r="C735"/>
      <c r="D735"/>
      <c r="E735" s="69"/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  <c r="U735"/>
      <c r="V735"/>
      <c r="W735"/>
      <c r="X735"/>
      <c r="Y735"/>
      <c r="Z735"/>
      <c r="AA735"/>
    </row>
    <row r="736" spans="2:27" s="25" customFormat="1" ht="15.75" customHeight="1" x14ac:dyDescent="0.2">
      <c r="B736" s="89"/>
      <c r="C736"/>
      <c r="D736"/>
      <c r="E736" s="69"/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  <c r="U736"/>
      <c r="V736"/>
      <c r="W736"/>
      <c r="X736"/>
      <c r="Y736"/>
      <c r="Z736"/>
      <c r="AA736"/>
    </row>
    <row r="737" spans="2:27" s="25" customFormat="1" ht="15.75" customHeight="1" x14ac:dyDescent="0.2">
      <c r="B737" s="89"/>
      <c r="C737"/>
      <c r="D737"/>
      <c r="E737" s="69"/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  <c r="U737"/>
      <c r="V737"/>
      <c r="W737"/>
      <c r="X737"/>
      <c r="Y737"/>
      <c r="Z737"/>
      <c r="AA737"/>
    </row>
    <row r="738" spans="2:27" s="25" customFormat="1" ht="15.75" customHeight="1" x14ac:dyDescent="0.2">
      <c r="B738" s="89"/>
      <c r="C738"/>
      <c r="D738"/>
      <c r="E738" s="69"/>
      <c r="F738"/>
      <c r="G738"/>
      <c r="H738"/>
      <c r="I738"/>
      <c r="J738"/>
      <c r="K738"/>
      <c r="L738"/>
      <c r="M738"/>
      <c r="N738"/>
      <c r="O738"/>
      <c r="P738"/>
      <c r="Q738"/>
      <c r="R738"/>
      <c r="S738"/>
      <c r="T738"/>
      <c r="U738"/>
      <c r="V738"/>
      <c r="W738"/>
      <c r="X738"/>
      <c r="Y738"/>
      <c r="Z738"/>
      <c r="AA738"/>
    </row>
    <row r="739" spans="2:27" s="25" customFormat="1" ht="15.75" customHeight="1" x14ac:dyDescent="0.2">
      <c r="B739" s="89"/>
      <c r="C739"/>
      <c r="D739"/>
      <c r="E739" s="69"/>
      <c r="F739"/>
      <c r="G739"/>
      <c r="H739"/>
      <c r="I739"/>
      <c r="J739"/>
      <c r="K739"/>
      <c r="L739"/>
      <c r="M739"/>
      <c r="N739"/>
      <c r="O739"/>
      <c r="P739"/>
      <c r="Q739"/>
      <c r="R739"/>
      <c r="S739"/>
      <c r="T739"/>
      <c r="U739"/>
      <c r="V739"/>
      <c r="W739"/>
      <c r="X739"/>
      <c r="Y739"/>
      <c r="Z739"/>
      <c r="AA739"/>
    </row>
    <row r="740" spans="2:27" s="25" customFormat="1" ht="15.75" customHeight="1" x14ac:dyDescent="0.2">
      <c r="B740" s="89"/>
      <c r="C740"/>
      <c r="D740"/>
      <c r="E740" s="69"/>
      <c r="F740"/>
      <c r="G740"/>
      <c r="H740"/>
      <c r="I740"/>
      <c r="J740"/>
      <c r="K740"/>
      <c r="L740"/>
      <c r="M740"/>
      <c r="N740"/>
      <c r="O740"/>
      <c r="P740"/>
      <c r="Q740"/>
      <c r="R740"/>
      <c r="S740"/>
      <c r="T740"/>
      <c r="U740"/>
      <c r="V740"/>
      <c r="W740"/>
      <c r="X740"/>
      <c r="Y740"/>
      <c r="Z740"/>
      <c r="AA740"/>
    </row>
    <row r="741" spans="2:27" s="25" customFormat="1" ht="15.75" customHeight="1" x14ac:dyDescent="0.2">
      <c r="B741" s="89"/>
      <c r="C741"/>
      <c r="D741"/>
      <c r="E741" s="69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  <c r="V741"/>
      <c r="W741"/>
      <c r="X741"/>
      <c r="Y741"/>
      <c r="Z741"/>
      <c r="AA741"/>
    </row>
    <row r="742" spans="2:27" s="25" customFormat="1" ht="15.75" customHeight="1" x14ac:dyDescent="0.2">
      <c r="B742" s="89"/>
      <c r="C742"/>
      <c r="D742"/>
      <c r="E742" s="69"/>
      <c r="F742"/>
      <c r="G742"/>
      <c r="H742"/>
      <c r="I742"/>
      <c r="J742"/>
      <c r="K742"/>
      <c r="L742"/>
      <c r="M742"/>
      <c r="N742"/>
      <c r="O742"/>
      <c r="P742"/>
      <c r="Q742"/>
      <c r="R742"/>
      <c r="S742"/>
      <c r="T742"/>
      <c r="U742"/>
      <c r="V742"/>
      <c r="W742"/>
      <c r="X742"/>
      <c r="Y742"/>
      <c r="Z742"/>
      <c r="AA742"/>
    </row>
    <row r="743" spans="2:27" s="25" customFormat="1" ht="15.75" customHeight="1" x14ac:dyDescent="0.2">
      <c r="B743" s="89"/>
      <c r="C743"/>
      <c r="D743"/>
      <c r="E743" s="69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  <c r="V743"/>
      <c r="W743"/>
      <c r="X743"/>
      <c r="Y743"/>
      <c r="Z743"/>
      <c r="AA743"/>
    </row>
    <row r="744" spans="2:27" s="25" customFormat="1" ht="15.75" customHeight="1" x14ac:dyDescent="0.2">
      <c r="B744" s="89"/>
      <c r="C744"/>
      <c r="D744"/>
      <c r="E744" s="69"/>
      <c r="F744"/>
      <c r="G744"/>
      <c r="H744"/>
      <c r="I744"/>
      <c r="J744"/>
      <c r="K744"/>
      <c r="L744"/>
      <c r="M744"/>
      <c r="N744"/>
      <c r="O744"/>
      <c r="P744"/>
      <c r="Q744"/>
      <c r="R744"/>
      <c r="S744"/>
      <c r="T744"/>
      <c r="U744"/>
      <c r="V744"/>
      <c r="W744"/>
      <c r="X744"/>
      <c r="Y744"/>
      <c r="Z744"/>
      <c r="AA744"/>
    </row>
    <row r="745" spans="2:27" s="25" customFormat="1" ht="15.75" customHeight="1" x14ac:dyDescent="0.2">
      <c r="B745" s="89"/>
      <c r="C745"/>
      <c r="D745"/>
      <c r="E745" s="69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  <c r="V745"/>
      <c r="W745"/>
      <c r="X745"/>
      <c r="Y745"/>
      <c r="Z745"/>
      <c r="AA745"/>
    </row>
    <row r="746" spans="2:27" s="25" customFormat="1" ht="15.75" customHeight="1" x14ac:dyDescent="0.2">
      <c r="B746" s="89"/>
      <c r="C746"/>
      <c r="D746"/>
      <c r="E746" s="69"/>
      <c r="F746"/>
      <c r="G746"/>
      <c r="H746"/>
      <c r="I746"/>
      <c r="J746"/>
      <c r="K746"/>
      <c r="L746"/>
      <c r="M746"/>
      <c r="N746"/>
      <c r="O746"/>
      <c r="P746"/>
      <c r="Q746"/>
      <c r="R746"/>
      <c r="S746"/>
      <c r="T746"/>
      <c r="U746"/>
      <c r="V746"/>
      <c r="W746"/>
      <c r="X746"/>
      <c r="Y746"/>
      <c r="Z746"/>
      <c r="AA746"/>
    </row>
    <row r="747" spans="2:27" s="25" customFormat="1" ht="15.75" customHeight="1" x14ac:dyDescent="0.2">
      <c r="B747" s="89"/>
      <c r="C747"/>
      <c r="D747"/>
      <c r="E747" s="69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  <c r="U747"/>
      <c r="V747"/>
      <c r="W747"/>
      <c r="X747"/>
      <c r="Y747"/>
      <c r="Z747"/>
      <c r="AA747"/>
    </row>
    <row r="748" spans="2:27" s="25" customFormat="1" ht="15.75" customHeight="1" x14ac:dyDescent="0.2">
      <c r="B748" s="89"/>
      <c r="C748"/>
      <c r="D748"/>
      <c r="E748" s="69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  <c r="V748"/>
      <c r="W748"/>
      <c r="X748"/>
      <c r="Y748"/>
      <c r="Z748"/>
      <c r="AA748"/>
    </row>
    <row r="749" spans="2:27" s="25" customFormat="1" ht="15.75" customHeight="1" x14ac:dyDescent="0.2">
      <c r="B749" s="89"/>
      <c r="C749"/>
      <c r="D749"/>
      <c r="E749" s="69"/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  <c r="T749"/>
      <c r="U749"/>
      <c r="V749"/>
      <c r="W749"/>
      <c r="X749"/>
      <c r="Y749"/>
      <c r="Z749"/>
      <c r="AA749"/>
    </row>
    <row r="750" spans="2:27" s="25" customFormat="1" ht="15.75" customHeight="1" x14ac:dyDescent="0.2">
      <c r="B750" s="89"/>
      <c r="C750"/>
      <c r="D750"/>
      <c r="E750" s="69"/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  <c r="V750"/>
      <c r="W750"/>
      <c r="X750"/>
      <c r="Y750"/>
      <c r="Z750"/>
      <c r="AA750"/>
    </row>
    <row r="751" spans="2:27" s="25" customFormat="1" ht="15.75" customHeight="1" x14ac:dyDescent="0.2">
      <c r="B751" s="89"/>
      <c r="C751"/>
      <c r="D751"/>
      <c r="E751" s="69"/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  <c r="V751"/>
      <c r="W751"/>
      <c r="X751"/>
      <c r="Y751"/>
      <c r="Z751"/>
      <c r="AA751"/>
    </row>
    <row r="752" spans="2:27" s="25" customFormat="1" ht="15.75" customHeight="1" x14ac:dyDescent="0.2">
      <c r="B752" s="89"/>
      <c r="C752"/>
      <c r="D752"/>
      <c r="E752" s="69"/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  <c r="V752"/>
      <c r="W752"/>
      <c r="X752"/>
      <c r="Y752"/>
      <c r="Z752"/>
      <c r="AA752"/>
    </row>
    <row r="753" spans="2:27" s="25" customFormat="1" ht="15.75" customHeight="1" x14ac:dyDescent="0.2">
      <c r="B753" s="89"/>
      <c r="C753"/>
      <c r="D753"/>
      <c r="E753" s="69"/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  <c r="T753"/>
      <c r="U753"/>
      <c r="V753"/>
      <c r="W753"/>
      <c r="X753"/>
      <c r="Y753"/>
      <c r="Z753"/>
      <c r="AA753"/>
    </row>
    <row r="754" spans="2:27" s="25" customFormat="1" ht="15.75" customHeight="1" x14ac:dyDescent="0.2">
      <c r="B754" s="89"/>
      <c r="C754"/>
      <c r="D754"/>
      <c r="E754" s="69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  <c r="T754"/>
      <c r="U754"/>
      <c r="V754"/>
      <c r="W754"/>
      <c r="X754"/>
      <c r="Y754"/>
      <c r="Z754"/>
      <c r="AA754"/>
    </row>
    <row r="755" spans="2:27" s="25" customFormat="1" ht="15.75" customHeight="1" x14ac:dyDescent="0.2">
      <c r="B755" s="89"/>
      <c r="C755"/>
      <c r="D755"/>
      <c r="E755" s="69"/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  <c r="V755"/>
      <c r="W755"/>
      <c r="X755"/>
      <c r="Y755"/>
      <c r="Z755"/>
      <c r="AA755"/>
    </row>
    <row r="756" spans="2:27" s="25" customFormat="1" ht="15.75" customHeight="1" x14ac:dyDescent="0.2">
      <c r="B756" s="89"/>
      <c r="C756"/>
      <c r="D756"/>
      <c r="E756" s="69"/>
      <c r="F756"/>
      <c r="G756"/>
      <c r="H756"/>
      <c r="I756"/>
      <c r="J756"/>
      <c r="K756"/>
      <c r="L756"/>
      <c r="M756"/>
      <c r="N756"/>
      <c r="O756"/>
      <c r="P756"/>
      <c r="Q756"/>
      <c r="R756"/>
      <c r="S756"/>
      <c r="T756"/>
      <c r="U756"/>
      <c r="V756"/>
      <c r="W756"/>
      <c r="X756"/>
      <c r="Y756"/>
      <c r="Z756"/>
      <c r="AA756"/>
    </row>
    <row r="757" spans="2:27" s="25" customFormat="1" ht="15.75" customHeight="1" x14ac:dyDescent="0.2">
      <c r="B757" s="89"/>
      <c r="C757"/>
      <c r="D757"/>
      <c r="E757" s="69"/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  <c r="T757"/>
      <c r="U757"/>
      <c r="V757"/>
      <c r="W757"/>
      <c r="X757"/>
      <c r="Y757"/>
      <c r="Z757"/>
      <c r="AA757"/>
    </row>
    <row r="758" spans="2:27" s="25" customFormat="1" ht="15.75" customHeight="1" x14ac:dyDescent="0.2">
      <c r="B758" s="89"/>
      <c r="C758"/>
      <c r="D758"/>
      <c r="E758" s="69"/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  <c r="T758"/>
      <c r="U758"/>
      <c r="V758"/>
      <c r="W758"/>
      <c r="X758"/>
      <c r="Y758"/>
      <c r="Z758"/>
      <c r="AA758"/>
    </row>
    <row r="759" spans="2:27" s="25" customFormat="1" ht="15.75" customHeight="1" x14ac:dyDescent="0.2">
      <c r="B759" s="89"/>
      <c r="C759"/>
      <c r="D759"/>
      <c r="E759" s="69"/>
      <c r="F759"/>
      <c r="G759"/>
      <c r="H759"/>
      <c r="I759"/>
      <c r="J759"/>
      <c r="K759"/>
      <c r="L759"/>
      <c r="M759"/>
      <c r="N759"/>
      <c r="O759"/>
      <c r="P759"/>
      <c r="Q759"/>
      <c r="R759"/>
      <c r="S759"/>
      <c r="T759"/>
      <c r="U759"/>
      <c r="V759"/>
      <c r="W759"/>
      <c r="X759"/>
      <c r="Y759"/>
      <c r="Z759"/>
      <c r="AA759"/>
    </row>
    <row r="760" spans="2:27" s="25" customFormat="1" ht="15.75" customHeight="1" x14ac:dyDescent="0.2">
      <c r="B760" s="89"/>
      <c r="C760"/>
      <c r="D760"/>
      <c r="E760" s="69"/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  <c r="T760"/>
      <c r="U760"/>
      <c r="V760"/>
      <c r="W760"/>
      <c r="X760"/>
      <c r="Y760"/>
      <c r="Z760"/>
      <c r="AA760"/>
    </row>
    <row r="761" spans="2:27" s="25" customFormat="1" ht="15.75" customHeight="1" x14ac:dyDescent="0.2">
      <c r="B761" s="89"/>
      <c r="C761"/>
      <c r="D761"/>
      <c r="E761" s="69"/>
      <c r="F761"/>
      <c r="G761"/>
      <c r="H761"/>
      <c r="I761"/>
      <c r="J761"/>
      <c r="K761"/>
      <c r="L761"/>
      <c r="M761"/>
      <c r="N761"/>
      <c r="O761"/>
      <c r="P761"/>
      <c r="Q761"/>
      <c r="R761"/>
      <c r="S761"/>
      <c r="T761"/>
      <c r="U761"/>
      <c r="V761"/>
      <c r="W761"/>
      <c r="X761"/>
      <c r="Y761"/>
      <c r="Z761"/>
      <c r="AA761"/>
    </row>
    <row r="762" spans="2:27" s="25" customFormat="1" ht="15.75" customHeight="1" x14ac:dyDescent="0.2">
      <c r="B762" s="89"/>
      <c r="C762"/>
      <c r="D762"/>
      <c r="E762" s="69"/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  <c r="U762"/>
      <c r="V762"/>
      <c r="W762"/>
      <c r="X762"/>
      <c r="Y762"/>
      <c r="Z762"/>
      <c r="AA762"/>
    </row>
    <row r="763" spans="2:27" s="25" customFormat="1" ht="15.75" customHeight="1" x14ac:dyDescent="0.2">
      <c r="B763" s="89"/>
      <c r="C763"/>
      <c r="D763"/>
      <c r="E763" s="69"/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  <c r="V763"/>
      <c r="W763"/>
      <c r="X763"/>
      <c r="Y763"/>
      <c r="Z763"/>
      <c r="AA763"/>
    </row>
    <row r="764" spans="2:27" s="25" customFormat="1" ht="15.75" customHeight="1" x14ac:dyDescent="0.2">
      <c r="B764" s="89"/>
      <c r="C764"/>
      <c r="D764"/>
      <c r="E764" s="69"/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  <c r="V764"/>
      <c r="W764"/>
      <c r="X764"/>
      <c r="Y764"/>
      <c r="Z764"/>
      <c r="AA764"/>
    </row>
    <row r="765" spans="2:27" s="25" customFormat="1" ht="15.75" customHeight="1" x14ac:dyDescent="0.2">
      <c r="B765" s="89"/>
      <c r="C765"/>
      <c r="D765"/>
      <c r="E765" s="69"/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  <c r="U765"/>
      <c r="V765"/>
      <c r="W765"/>
      <c r="X765"/>
      <c r="Y765"/>
      <c r="Z765"/>
      <c r="AA765"/>
    </row>
    <row r="766" spans="2:27" s="25" customFormat="1" ht="15.75" customHeight="1" x14ac:dyDescent="0.2">
      <c r="B766" s="89"/>
      <c r="C766"/>
      <c r="D766"/>
      <c r="E766" s="69"/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  <c r="T766"/>
      <c r="U766"/>
      <c r="V766"/>
      <c r="W766"/>
      <c r="X766"/>
      <c r="Y766"/>
      <c r="Z766"/>
      <c r="AA766"/>
    </row>
    <row r="767" spans="2:27" s="25" customFormat="1" ht="15.75" customHeight="1" x14ac:dyDescent="0.2">
      <c r="B767" s="89"/>
      <c r="C767"/>
      <c r="D767"/>
      <c r="E767" s="69"/>
      <c r="F767"/>
      <c r="G767"/>
      <c r="H767"/>
      <c r="I767"/>
      <c r="J767"/>
      <c r="K767"/>
      <c r="L767"/>
      <c r="M767"/>
      <c r="N767"/>
      <c r="O767"/>
      <c r="P767"/>
      <c r="Q767"/>
      <c r="R767"/>
      <c r="S767"/>
      <c r="T767"/>
      <c r="U767"/>
      <c r="V767"/>
      <c r="W767"/>
      <c r="X767"/>
      <c r="Y767"/>
      <c r="Z767"/>
      <c r="AA767"/>
    </row>
    <row r="768" spans="2:27" s="25" customFormat="1" ht="15.75" customHeight="1" x14ac:dyDescent="0.2">
      <c r="B768" s="89"/>
      <c r="C768"/>
      <c r="D768"/>
      <c r="E768" s="69"/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  <c r="U768"/>
      <c r="V768"/>
      <c r="W768"/>
      <c r="X768"/>
      <c r="Y768"/>
      <c r="Z768"/>
      <c r="AA768"/>
    </row>
    <row r="769" spans="2:27" s="25" customFormat="1" ht="15.75" customHeight="1" x14ac:dyDescent="0.2">
      <c r="B769" s="89"/>
      <c r="C769"/>
      <c r="D769"/>
      <c r="E769" s="69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  <c r="V769"/>
      <c r="W769"/>
      <c r="X769"/>
      <c r="Y769"/>
      <c r="Z769"/>
      <c r="AA769"/>
    </row>
    <row r="770" spans="2:27" s="25" customFormat="1" ht="15.75" customHeight="1" x14ac:dyDescent="0.2">
      <c r="B770" s="89"/>
      <c r="C770"/>
      <c r="D770"/>
      <c r="E770" s="69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  <c r="V770"/>
      <c r="W770"/>
      <c r="X770"/>
      <c r="Y770"/>
      <c r="Z770"/>
      <c r="AA770"/>
    </row>
    <row r="771" spans="2:27" s="25" customFormat="1" ht="15.75" customHeight="1" x14ac:dyDescent="0.2">
      <c r="B771" s="89"/>
      <c r="C771"/>
      <c r="D771"/>
      <c r="E771" s="69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  <c r="V771"/>
      <c r="W771"/>
      <c r="X771"/>
      <c r="Y771"/>
      <c r="Z771"/>
      <c r="AA771"/>
    </row>
    <row r="772" spans="2:27" s="25" customFormat="1" ht="15.75" customHeight="1" x14ac:dyDescent="0.2">
      <c r="B772" s="89"/>
      <c r="C772"/>
      <c r="D772"/>
      <c r="E772" s="69"/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  <c r="V772"/>
      <c r="W772"/>
      <c r="X772"/>
      <c r="Y772"/>
      <c r="Z772"/>
      <c r="AA772"/>
    </row>
    <row r="773" spans="2:27" s="25" customFormat="1" ht="15.75" customHeight="1" x14ac:dyDescent="0.2">
      <c r="B773" s="89"/>
      <c r="C773"/>
      <c r="D773"/>
      <c r="E773" s="69"/>
      <c r="F773"/>
      <c r="G773"/>
      <c r="H773"/>
      <c r="I773"/>
      <c r="J773"/>
      <c r="K773"/>
      <c r="L773"/>
      <c r="M773"/>
      <c r="N773"/>
      <c r="O773"/>
      <c r="P773"/>
      <c r="Q773"/>
      <c r="R773"/>
      <c r="S773"/>
      <c r="T773"/>
      <c r="U773"/>
      <c r="V773"/>
      <c r="W773"/>
      <c r="X773"/>
      <c r="Y773"/>
      <c r="Z773"/>
      <c r="AA773"/>
    </row>
    <row r="774" spans="2:27" s="25" customFormat="1" ht="15.75" customHeight="1" x14ac:dyDescent="0.2">
      <c r="B774" s="89"/>
      <c r="C774"/>
      <c r="D774"/>
      <c r="E774" s="69"/>
      <c r="F774"/>
      <c r="G774"/>
      <c r="H774"/>
      <c r="I774"/>
      <c r="J774"/>
      <c r="K774"/>
      <c r="L774"/>
      <c r="M774"/>
      <c r="N774"/>
      <c r="O774"/>
      <c r="P774"/>
      <c r="Q774"/>
      <c r="R774"/>
      <c r="S774"/>
      <c r="T774"/>
      <c r="U774"/>
      <c r="V774"/>
      <c r="W774"/>
      <c r="X774"/>
      <c r="Y774"/>
      <c r="Z774"/>
      <c r="AA774"/>
    </row>
    <row r="775" spans="2:27" s="25" customFormat="1" ht="15.75" customHeight="1" x14ac:dyDescent="0.2">
      <c r="B775" s="89"/>
      <c r="C775"/>
      <c r="D775"/>
      <c r="E775" s="69"/>
      <c r="F775"/>
      <c r="G775"/>
      <c r="H775"/>
      <c r="I775"/>
      <c r="J775"/>
      <c r="K775"/>
      <c r="L775"/>
      <c r="M775"/>
      <c r="N775"/>
      <c r="O775"/>
      <c r="P775"/>
      <c r="Q775"/>
      <c r="R775"/>
      <c r="S775"/>
      <c r="T775"/>
      <c r="U775"/>
      <c r="V775"/>
      <c r="W775"/>
      <c r="X775"/>
      <c r="Y775"/>
      <c r="Z775"/>
      <c r="AA775"/>
    </row>
    <row r="776" spans="2:27" s="25" customFormat="1" ht="15.75" customHeight="1" x14ac:dyDescent="0.2">
      <c r="B776" s="89"/>
      <c r="C776"/>
      <c r="D776"/>
      <c r="E776" s="69"/>
      <c r="F776"/>
      <c r="G776"/>
      <c r="H776"/>
      <c r="I776"/>
      <c r="J776"/>
      <c r="K776"/>
      <c r="L776"/>
      <c r="M776"/>
      <c r="N776"/>
      <c r="O776"/>
      <c r="P776"/>
      <c r="Q776"/>
      <c r="R776"/>
      <c r="S776"/>
      <c r="T776"/>
      <c r="U776"/>
      <c r="V776"/>
      <c r="W776"/>
      <c r="X776"/>
      <c r="Y776"/>
      <c r="Z776"/>
      <c r="AA776"/>
    </row>
    <row r="777" spans="2:27" s="25" customFormat="1" ht="15.75" customHeight="1" x14ac:dyDescent="0.2">
      <c r="B777" s="89"/>
      <c r="C777"/>
      <c r="D777"/>
      <c r="E777" s="69"/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  <c r="V777"/>
      <c r="W777"/>
      <c r="X777"/>
      <c r="Y777"/>
      <c r="Z777"/>
      <c r="AA777"/>
    </row>
    <row r="778" spans="2:27" s="25" customFormat="1" ht="15.75" customHeight="1" x14ac:dyDescent="0.2">
      <c r="B778" s="89"/>
      <c r="C778"/>
      <c r="D778"/>
      <c r="E778" s="69"/>
      <c r="F778"/>
      <c r="G778"/>
      <c r="H778"/>
      <c r="I778"/>
      <c r="J778"/>
      <c r="K778"/>
      <c r="L778"/>
      <c r="M778"/>
      <c r="N778"/>
      <c r="O778"/>
      <c r="P778"/>
      <c r="Q778"/>
      <c r="R778"/>
      <c r="S778"/>
      <c r="T778"/>
      <c r="U778"/>
      <c r="V778"/>
      <c r="W778"/>
      <c r="X778"/>
      <c r="Y778"/>
      <c r="Z778"/>
      <c r="AA778"/>
    </row>
    <row r="779" spans="2:27" s="25" customFormat="1" ht="15.75" customHeight="1" x14ac:dyDescent="0.2">
      <c r="B779" s="89"/>
      <c r="C779"/>
      <c r="D779"/>
      <c r="E779" s="69"/>
      <c r="F779"/>
      <c r="G779"/>
      <c r="H779"/>
      <c r="I779"/>
      <c r="J779"/>
      <c r="K779"/>
      <c r="L779"/>
      <c r="M779"/>
      <c r="N779"/>
      <c r="O779"/>
      <c r="P779"/>
      <c r="Q779"/>
      <c r="R779"/>
      <c r="S779"/>
      <c r="T779"/>
      <c r="U779"/>
      <c r="V779"/>
      <c r="W779"/>
      <c r="X779"/>
      <c r="Y779"/>
      <c r="Z779"/>
      <c r="AA779"/>
    </row>
    <row r="780" spans="2:27" s="25" customFormat="1" ht="15.75" customHeight="1" x14ac:dyDescent="0.2">
      <c r="B780" s="89"/>
      <c r="C780"/>
      <c r="D780"/>
      <c r="E780" s="69"/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  <c r="T780"/>
      <c r="U780"/>
      <c r="V780"/>
      <c r="W780"/>
      <c r="X780"/>
      <c r="Y780"/>
      <c r="Z780"/>
      <c r="AA780"/>
    </row>
    <row r="781" spans="2:27" s="25" customFormat="1" ht="15.75" customHeight="1" x14ac:dyDescent="0.2">
      <c r="B781" s="89"/>
      <c r="C781"/>
      <c r="D781"/>
      <c r="E781" s="69"/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  <c r="V781"/>
      <c r="W781"/>
      <c r="X781"/>
      <c r="Y781"/>
      <c r="Z781"/>
      <c r="AA781"/>
    </row>
    <row r="782" spans="2:27" s="25" customFormat="1" ht="15.75" customHeight="1" x14ac:dyDescent="0.2">
      <c r="B782" s="89"/>
      <c r="C782"/>
      <c r="D782"/>
      <c r="E782" s="69"/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  <c r="V782"/>
      <c r="W782"/>
      <c r="X782"/>
      <c r="Y782"/>
      <c r="Z782"/>
      <c r="AA782"/>
    </row>
    <row r="783" spans="2:27" s="25" customFormat="1" ht="15.75" customHeight="1" x14ac:dyDescent="0.2">
      <c r="B783" s="89"/>
      <c r="C783"/>
      <c r="D783"/>
      <c r="E783" s="69"/>
      <c r="F783"/>
      <c r="G783"/>
      <c r="H783"/>
      <c r="I783"/>
      <c r="J783"/>
      <c r="K783"/>
      <c r="L783"/>
      <c r="M783"/>
      <c r="N783"/>
      <c r="O783"/>
      <c r="P783"/>
      <c r="Q783"/>
      <c r="R783"/>
      <c r="S783"/>
      <c r="T783"/>
      <c r="U783"/>
      <c r="V783"/>
      <c r="W783"/>
      <c r="X783"/>
      <c r="Y783"/>
      <c r="Z783"/>
      <c r="AA783"/>
    </row>
    <row r="784" spans="2:27" s="25" customFormat="1" ht="15.75" customHeight="1" x14ac:dyDescent="0.2">
      <c r="B784" s="89"/>
      <c r="C784"/>
      <c r="D784"/>
      <c r="E784" s="69"/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  <c r="T784"/>
      <c r="U784"/>
      <c r="V784"/>
      <c r="W784"/>
      <c r="X784"/>
      <c r="Y784"/>
      <c r="Z784"/>
      <c r="AA784"/>
    </row>
    <row r="785" spans="2:27" s="25" customFormat="1" ht="15.75" customHeight="1" x14ac:dyDescent="0.2">
      <c r="B785" s="89"/>
      <c r="C785"/>
      <c r="D785"/>
      <c r="E785" s="69"/>
      <c r="F785"/>
      <c r="G785"/>
      <c r="H785"/>
      <c r="I785"/>
      <c r="J785"/>
      <c r="K785"/>
      <c r="L785"/>
      <c r="M785"/>
      <c r="N785"/>
      <c r="O785"/>
      <c r="P785"/>
      <c r="Q785"/>
      <c r="R785"/>
      <c r="S785"/>
      <c r="T785"/>
      <c r="U785"/>
      <c r="V785"/>
      <c r="W785"/>
      <c r="X785"/>
      <c r="Y785"/>
      <c r="Z785"/>
      <c r="AA785"/>
    </row>
    <row r="786" spans="2:27" s="25" customFormat="1" ht="15.75" customHeight="1" x14ac:dyDescent="0.2">
      <c r="B786" s="89"/>
      <c r="C786"/>
      <c r="D786"/>
      <c r="E786" s="69"/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  <c r="U786"/>
      <c r="V786"/>
      <c r="W786"/>
      <c r="X786"/>
      <c r="Y786"/>
      <c r="Z786"/>
      <c r="AA786"/>
    </row>
    <row r="787" spans="2:27" s="25" customFormat="1" ht="15.75" customHeight="1" x14ac:dyDescent="0.2">
      <c r="B787" s="89"/>
      <c r="C787"/>
      <c r="D787"/>
      <c r="E787" s="69"/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  <c r="V787"/>
      <c r="W787"/>
      <c r="X787"/>
      <c r="Y787"/>
      <c r="Z787"/>
      <c r="AA787"/>
    </row>
    <row r="788" spans="2:27" s="25" customFormat="1" ht="15.75" customHeight="1" x14ac:dyDescent="0.2">
      <c r="B788" s="89"/>
      <c r="C788"/>
      <c r="D788"/>
      <c r="E788" s="69"/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  <c r="V788"/>
      <c r="W788"/>
      <c r="X788"/>
      <c r="Y788"/>
      <c r="Z788"/>
      <c r="AA788"/>
    </row>
    <row r="789" spans="2:27" s="25" customFormat="1" ht="15.75" customHeight="1" x14ac:dyDescent="0.2">
      <c r="B789" s="89"/>
      <c r="C789"/>
      <c r="D789"/>
      <c r="E789" s="69"/>
      <c r="F789"/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  <c r="V789"/>
      <c r="W789"/>
      <c r="X789"/>
      <c r="Y789"/>
      <c r="Z789"/>
      <c r="AA789"/>
    </row>
    <row r="790" spans="2:27" s="25" customFormat="1" ht="15.75" customHeight="1" x14ac:dyDescent="0.2">
      <c r="B790" s="89"/>
      <c r="C790"/>
      <c r="D790"/>
      <c r="E790" s="69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  <c r="V790"/>
      <c r="W790"/>
      <c r="X790"/>
      <c r="Y790"/>
      <c r="Z790"/>
      <c r="AA790"/>
    </row>
    <row r="791" spans="2:27" s="25" customFormat="1" ht="15.75" customHeight="1" x14ac:dyDescent="0.2">
      <c r="B791" s="89"/>
      <c r="C791"/>
      <c r="D791"/>
      <c r="E791" s="69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  <c r="V791"/>
      <c r="W791"/>
      <c r="X791"/>
      <c r="Y791"/>
      <c r="Z791"/>
      <c r="AA791"/>
    </row>
    <row r="792" spans="2:27" s="25" customFormat="1" ht="15.75" customHeight="1" x14ac:dyDescent="0.2">
      <c r="B792" s="89"/>
      <c r="C792"/>
      <c r="D792"/>
      <c r="E792" s="69"/>
      <c r="F792"/>
      <c r="G792"/>
      <c r="H792"/>
      <c r="I792"/>
      <c r="J792"/>
      <c r="K792"/>
      <c r="L792"/>
      <c r="M792"/>
      <c r="N792"/>
      <c r="O792"/>
      <c r="P792"/>
      <c r="Q792"/>
      <c r="R792"/>
      <c r="S792"/>
      <c r="T792"/>
      <c r="U792"/>
      <c r="V792"/>
      <c r="W792"/>
      <c r="X792"/>
      <c r="Y792"/>
      <c r="Z792"/>
      <c r="AA792"/>
    </row>
    <row r="793" spans="2:27" s="25" customFormat="1" ht="15.75" customHeight="1" x14ac:dyDescent="0.2">
      <c r="B793" s="89"/>
      <c r="C793"/>
      <c r="D793"/>
      <c r="E793" s="69"/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  <c r="V793"/>
      <c r="W793"/>
      <c r="X793"/>
      <c r="Y793"/>
      <c r="Z793"/>
      <c r="AA793"/>
    </row>
    <row r="794" spans="2:27" s="25" customFormat="1" ht="15.75" customHeight="1" x14ac:dyDescent="0.2">
      <c r="B794" s="89"/>
      <c r="C794"/>
      <c r="D794"/>
      <c r="E794" s="69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  <c r="V794"/>
      <c r="W794"/>
      <c r="X794"/>
      <c r="Y794"/>
      <c r="Z794"/>
      <c r="AA794"/>
    </row>
    <row r="795" spans="2:27" s="25" customFormat="1" ht="15.75" customHeight="1" x14ac:dyDescent="0.2">
      <c r="B795" s="89"/>
      <c r="C795"/>
      <c r="D795"/>
      <c r="E795" s="69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  <c r="V795"/>
      <c r="W795"/>
      <c r="X795"/>
      <c r="Y795"/>
      <c r="Z795"/>
      <c r="AA795"/>
    </row>
    <row r="796" spans="2:27" s="25" customFormat="1" ht="15.75" customHeight="1" x14ac:dyDescent="0.2">
      <c r="B796" s="89"/>
      <c r="C796"/>
      <c r="D796"/>
      <c r="E796" s="69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  <c r="V796"/>
      <c r="W796"/>
      <c r="X796"/>
      <c r="Y796"/>
      <c r="Z796"/>
      <c r="AA796"/>
    </row>
    <row r="797" spans="2:27" s="25" customFormat="1" ht="15.75" customHeight="1" x14ac:dyDescent="0.2">
      <c r="B797" s="89"/>
      <c r="C797"/>
      <c r="D797"/>
      <c r="E797" s="69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  <c r="V797"/>
      <c r="W797"/>
      <c r="X797"/>
      <c r="Y797"/>
      <c r="Z797"/>
      <c r="AA797"/>
    </row>
    <row r="798" spans="2:27" s="25" customFormat="1" ht="15.75" customHeight="1" x14ac:dyDescent="0.2">
      <c r="B798" s="89"/>
      <c r="C798"/>
      <c r="D798"/>
      <c r="E798" s="69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  <c r="V798"/>
      <c r="W798"/>
      <c r="X798"/>
      <c r="Y798"/>
      <c r="Z798"/>
      <c r="AA798"/>
    </row>
    <row r="799" spans="2:27" s="25" customFormat="1" ht="15.75" customHeight="1" x14ac:dyDescent="0.2">
      <c r="B799" s="89"/>
      <c r="C799"/>
      <c r="D799"/>
      <c r="E799" s="6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  <c r="V799"/>
      <c r="W799"/>
      <c r="X799"/>
      <c r="Y799"/>
      <c r="Z799"/>
      <c r="AA799"/>
    </row>
    <row r="800" spans="2:27" s="25" customFormat="1" ht="15.75" customHeight="1" x14ac:dyDescent="0.2">
      <c r="B800" s="89"/>
      <c r="C800"/>
      <c r="D800"/>
      <c r="E800" s="69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  <c r="V800"/>
      <c r="W800"/>
      <c r="X800"/>
      <c r="Y800"/>
      <c r="Z800"/>
      <c r="AA800"/>
    </row>
    <row r="801" spans="2:27" s="25" customFormat="1" ht="15.75" customHeight="1" x14ac:dyDescent="0.2">
      <c r="B801" s="89"/>
      <c r="C801"/>
      <c r="D801"/>
      <c r="E801" s="69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  <c r="V801"/>
      <c r="W801"/>
      <c r="X801"/>
      <c r="Y801"/>
      <c r="Z801"/>
      <c r="AA801"/>
    </row>
    <row r="802" spans="2:27" s="25" customFormat="1" ht="15.75" customHeight="1" x14ac:dyDescent="0.2">
      <c r="B802" s="89"/>
      <c r="C802"/>
      <c r="D802"/>
      <c r="E802" s="69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  <c r="V802"/>
      <c r="W802"/>
      <c r="X802"/>
      <c r="Y802"/>
      <c r="Z802"/>
      <c r="AA802"/>
    </row>
    <row r="803" spans="2:27" s="25" customFormat="1" ht="15.75" customHeight="1" x14ac:dyDescent="0.2">
      <c r="B803" s="89"/>
      <c r="C803"/>
      <c r="D803"/>
      <c r="E803" s="69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  <c r="V803"/>
      <c r="W803"/>
      <c r="X803"/>
      <c r="Y803"/>
      <c r="Z803"/>
      <c r="AA803"/>
    </row>
    <row r="804" spans="2:27" s="25" customFormat="1" ht="15.75" customHeight="1" x14ac:dyDescent="0.2">
      <c r="B804" s="89"/>
      <c r="C804"/>
      <c r="D804"/>
      <c r="E804" s="69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  <c r="V804"/>
      <c r="W804"/>
      <c r="X804"/>
      <c r="Y804"/>
      <c r="Z804"/>
      <c r="AA804"/>
    </row>
    <row r="805" spans="2:27" s="25" customFormat="1" ht="15.75" customHeight="1" x14ac:dyDescent="0.2">
      <c r="B805" s="89"/>
      <c r="C805"/>
      <c r="D805"/>
      <c r="E805" s="69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  <c r="V805"/>
      <c r="W805"/>
      <c r="X805"/>
      <c r="Y805"/>
      <c r="Z805"/>
      <c r="AA805"/>
    </row>
    <row r="806" spans="2:27" s="25" customFormat="1" ht="15.75" customHeight="1" x14ac:dyDescent="0.2">
      <c r="B806" s="89"/>
      <c r="C806"/>
      <c r="D806"/>
      <c r="E806" s="69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  <c r="V806"/>
      <c r="W806"/>
      <c r="X806"/>
      <c r="Y806"/>
      <c r="Z806"/>
      <c r="AA806"/>
    </row>
    <row r="807" spans="2:27" s="25" customFormat="1" ht="15.75" customHeight="1" x14ac:dyDescent="0.2">
      <c r="B807" s="89"/>
      <c r="C807"/>
      <c r="D807"/>
      <c r="E807" s="69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  <c r="V807"/>
      <c r="W807"/>
      <c r="X807"/>
      <c r="Y807"/>
      <c r="Z807"/>
      <c r="AA807"/>
    </row>
    <row r="808" spans="2:27" s="25" customFormat="1" ht="15.75" customHeight="1" x14ac:dyDescent="0.2">
      <c r="B808" s="89"/>
      <c r="C808"/>
      <c r="D808"/>
      <c r="E808" s="69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  <c r="V808"/>
      <c r="W808"/>
      <c r="X808"/>
      <c r="Y808"/>
      <c r="Z808"/>
      <c r="AA808"/>
    </row>
    <row r="809" spans="2:27" s="25" customFormat="1" ht="15.75" customHeight="1" x14ac:dyDescent="0.2">
      <c r="B809" s="89"/>
      <c r="C809"/>
      <c r="D809"/>
      <c r="E809" s="6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  <c r="V809"/>
      <c r="W809"/>
      <c r="X809"/>
      <c r="Y809"/>
      <c r="Z809"/>
      <c r="AA809"/>
    </row>
    <row r="810" spans="2:27" s="25" customFormat="1" ht="15.75" customHeight="1" x14ac:dyDescent="0.2">
      <c r="B810" s="89"/>
      <c r="C810"/>
      <c r="D810"/>
      <c r="E810" s="69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  <c r="V810"/>
      <c r="W810"/>
      <c r="X810"/>
      <c r="Y810"/>
      <c r="Z810"/>
      <c r="AA810"/>
    </row>
    <row r="811" spans="2:27" s="25" customFormat="1" ht="15.75" customHeight="1" x14ac:dyDescent="0.2">
      <c r="B811" s="89"/>
      <c r="C811"/>
      <c r="D811"/>
      <c r="E811" s="69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  <c r="V811"/>
      <c r="W811"/>
      <c r="X811"/>
      <c r="Y811"/>
      <c r="Z811"/>
      <c r="AA811"/>
    </row>
    <row r="812" spans="2:27" s="25" customFormat="1" ht="15.75" customHeight="1" x14ac:dyDescent="0.2">
      <c r="B812" s="89"/>
      <c r="C812"/>
      <c r="D812"/>
      <c r="E812" s="69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  <c r="V812"/>
      <c r="W812"/>
      <c r="X812"/>
      <c r="Y812"/>
      <c r="Z812"/>
      <c r="AA812"/>
    </row>
    <row r="813" spans="2:27" s="25" customFormat="1" ht="15.75" customHeight="1" x14ac:dyDescent="0.2">
      <c r="B813" s="89"/>
      <c r="C813"/>
      <c r="D813"/>
      <c r="E813" s="69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  <c r="V813"/>
      <c r="W813"/>
      <c r="X813"/>
      <c r="Y813"/>
      <c r="Z813"/>
      <c r="AA813"/>
    </row>
    <row r="814" spans="2:27" s="25" customFormat="1" ht="15.75" customHeight="1" x14ac:dyDescent="0.2">
      <c r="B814" s="89"/>
      <c r="C814"/>
      <c r="D814"/>
      <c r="E814" s="69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  <c r="V814"/>
      <c r="W814"/>
      <c r="X814"/>
      <c r="Y814"/>
      <c r="Z814"/>
      <c r="AA814"/>
    </row>
    <row r="815" spans="2:27" s="25" customFormat="1" ht="15.75" customHeight="1" x14ac:dyDescent="0.2">
      <c r="B815" s="89"/>
      <c r="C815"/>
      <c r="D815"/>
      <c r="E815" s="69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  <c r="V815"/>
      <c r="W815"/>
      <c r="X815"/>
      <c r="Y815"/>
      <c r="Z815"/>
      <c r="AA815"/>
    </row>
    <row r="816" spans="2:27" s="25" customFormat="1" ht="15.75" customHeight="1" x14ac:dyDescent="0.2">
      <c r="B816" s="89"/>
      <c r="C816"/>
      <c r="D816"/>
      <c r="E816" s="69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  <c r="V816"/>
      <c r="W816"/>
      <c r="X816"/>
      <c r="Y816"/>
      <c r="Z816"/>
      <c r="AA816"/>
    </row>
    <row r="817" spans="2:27" s="25" customFormat="1" ht="15.75" customHeight="1" x14ac:dyDescent="0.2">
      <c r="B817" s="89"/>
      <c r="C817"/>
      <c r="D817"/>
      <c r="E817" s="69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  <c r="V817"/>
      <c r="W817"/>
      <c r="X817"/>
      <c r="Y817"/>
      <c r="Z817"/>
      <c r="AA817"/>
    </row>
    <row r="818" spans="2:27" s="25" customFormat="1" ht="15.75" customHeight="1" x14ac:dyDescent="0.2">
      <c r="B818" s="89"/>
      <c r="C818"/>
      <c r="D818"/>
      <c r="E818" s="69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  <c r="U818"/>
      <c r="V818"/>
      <c r="W818"/>
      <c r="X818"/>
      <c r="Y818"/>
      <c r="Z818"/>
      <c r="AA818"/>
    </row>
    <row r="819" spans="2:27" s="25" customFormat="1" ht="15.75" customHeight="1" x14ac:dyDescent="0.2">
      <c r="B819" s="89"/>
      <c r="C819"/>
      <c r="D819"/>
      <c r="E819" s="6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/>
      <c r="U819"/>
      <c r="V819"/>
      <c r="W819"/>
      <c r="X819"/>
      <c r="Y819"/>
      <c r="Z819"/>
      <c r="AA819"/>
    </row>
    <row r="820" spans="2:27" s="25" customFormat="1" ht="15.75" customHeight="1" x14ac:dyDescent="0.2">
      <c r="B820" s="89"/>
      <c r="C820"/>
      <c r="D820"/>
      <c r="E820" s="69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  <c r="U820"/>
      <c r="V820"/>
      <c r="W820"/>
      <c r="X820"/>
      <c r="Y820"/>
      <c r="Z820"/>
      <c r="AA820"/>
    </row>
    <row r="821" spans="2:27" s="25" customFormat="1" ht="15.75" customHeight="1" x14ac:dyDescent="0.2">
      <c r="B821" s="89"/>
      <c r="C821"/>
      <c r="D821"/>
      <c r="E821" s="69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  <c r="V821"/>
      <c r="W821"/>
      <c r="X821"/>
      <c r="Y821"/>
      <c r="Z821"/>
      <c r="AA821"/>
    </row>
    <row r="822" spans="2:27" s="25" customFormat="1" ht="15.75" customHeight="1" x14ac:dyDescent="0.2">
      <c r="B822" s="89"/>
      <c r="C822"/>
      <c r="D822"/>
      <c r="E822" s="69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  <c r="V822"/>
      <c r="W822"/>
      <c r="X822"/>
      <c r="Y822"/>
      <c r="Z822"/>
      <c r="AA822"/>
    </row>
    <row r="823" spans="2:27" s="25" customFormat="1" ht="15.75" customHeight="1" x14ac:dyDescent="0.2">
      <c r="B823" s="89"/>
      <c r="C823"/>
      <c r="D823"/>
      <c r="E823" s="69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  <c r="V823"/>
      <c r="W823"/>
      <c r="X823"/>
      <c r="Y823"/>
      <c r="Z823"/>
      <c r="AA823"/>
    </row>
    <row r="824" spans="2:27" s="25" customFormat="1" ht="15.75" customHeight="1" x14ac:dyDescent="0.2">
      <c r="B824" s="89"/>
      <c r="C824"/>
      <c r="D824"/>
      <c r="E824" s="69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  <c r="U824"/>
      <c r="V824"/>
      <c r="W824"/>
      <c r="X824"/>
      <c r="Y824"/>
      <c r="Z824"/>
      <c r="AA824"/>
    </row>
    <row r="825" spans="2:27" s="25" customFormat="1" ht="15.75" customHeight="1" x14ac:dyDescent="0.2">
      <c r="B825" s="89"/>
      <c r="C825"/>
      <c r="D825"/>
      <c r="E825" s="69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  <c r="V825"/>
      <c r="W825"/>
      <c r="X825"/>
      <c r="Y825"/>
      <c r="Z825"/>
      <c r="AA825"/>
    </row>
    <row r="826" spans="2:27" s="25" customFormat="1" ht="15.75" customHeight="1" x14ac:dyDescent="0.2">
      <c r="B826" s="89"/>
      <c r="C826"/>
      <c r="D826"/>
      <c r="E826" s="69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  <c r="U826"/>
      <c r="V826"/>
      <c r="W826"/>
      <c r="X826"/>
      <c r="Y826"/>
      <c r="Z826"/>
      <c r="AA826"/>
    </row>
    <row r="827" spans="2:27" s="25" customFormat="1" ht="15.75" customHeight="1" x14ac:dyDescent="0.2">
      <c r="B827" s="89"/>
      <c r="C827"/>
      <c r="D827"/>
      <c r="E827" s="69"/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  <c r="U827"/>
      <c r="V827"/>
      <c r="W827"/>
      <c r="X827"/>
      <c r="Y827"/>
      <c r="Z827"/>
      <c r="AA827"/>
    </row>
    <row r="828" spans="2:27" s="25" customFormat="1" ht="15.75" customHeight="1" x14ac:dyDescent="0.2">
      <c r="B828" s="89"/>
      <c r="C828"/>
      <c r="D828"/>
      <c r="E828" s="69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  <c r="V828"/>
      <c r="W828"/>
      <c r="X828"/>
      <c r="Y828"/>
      <c r="Z828"/>
      <c r="AA828"/>
    </row>
    <row r="829" spans="2:27" s="25" customFormat="1" ht="15.75" customHeight="1" x14ac:dyDescent="0.2">
      <c r="B829" s="89"/>
      <c r="C829"/>
      <c r="D829"/>
      <c r="E829" s="6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  <c r="V829"/>
      <c r="W829"/>
      <c r="X829"/>
      <c r="Y829"/>
      <c r="Z829"/>
      <c r="AA829"/>
    </row>
    <row r="830" spans="2:27" s="25" customFormat="1" ht="15.75" customHeight="1" x14ac:dyDescent="0.2">
      <c r="B830" s="89"/>
      <c r="C830"/>
      <c r="D830"/>
      <c r="E830" s="69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  <c r="V830"/>
      <c r="W830"/>
      <c r="X830"/>
      <c r="Y830"/>
      <c r="Z830"/>
      <c r="AA830"/>
    </row>
    <row r="831" spans="2:27" s="25" customFormat="1" ht="15.75" customHeight="1" x14ac:dyDescent="0.2">
      <c r="B831" s="89"/>
      <c r="C831"/>
      <c r="D831"/>
      <c r="E831" s="69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  <c r="V831"/>
      <c r="W831"/>
      <c r="X831"/>
      <c r="Y831"/>
      <c r="Z831"/>
      <c r="AA831"/>
    </row>
    <row r="832" spans="2:27" s="25" customFormat="1" ht="15.75" customHeight="1" x14ac:dyDescent="0.2">
      <c r="B832" s="89"/>
      <c r="C832"/>
      <c r="D832"/>
      <c r="E832" s="69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  <c r="V832"/>
      <c r="W832"/>
      <c r="X832"/>
      <c r="Y832"/>
      <c r="Z832"/>
      <c r="AA832"/>
    </row>
    <row r="833" spans="2:27" s="25" customFormat="1" ht="15.75" customHeight="1" x14ac:dyDescent="0.2">
      <c r="B833" s="89"/>
      <c r="C833"/>
      <c r="D833"/>
      <c r="E833" s="69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  <c r="V833"/>
      <c r="W833"/>
      <c r="X833"/>
      <c r="Y833"/>
      <c r="Z833"/>
      <c r="AA833"/>
    </row>
    <row r="834" spans="2:27" s="25" customFormat="1" ht="15.75" customHeight="1" x14ac:dyDescent="0.2">
      <c r="B834" s="89"/>
      <c r="C834"/>
      <c r="D834"/>
      <c r="E834" s="69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  <c r="V834"/>
      <c r="W834"/>
      <c r="X834"/>
      <c r="Y834"/>
      <c r="Z834"/>
      <c r="AA834"/>
    </row>
    <row r="835" spans="2:27" s="25" customFormat="1" ht="15.75" customHeight="1" x14ac:dyDescent="0.2">
      <c r="B835" s="89"/>
      <c r="C835"/>
      <c r="D835"/>
      <c r="E835" s="69"/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  <c r="U835"/>
      <c r="V835"/>
      <c r="W835"/>
      <c r="X835"/>
      <c r="Y835"/>
      <c r="Z835"/>
      <c r="AA835"/>
    </row>
    <row r="836" spans="2:27" s="25" customFormat="1" ht="15.75" customHeight="1" x14ac:dyDescent="0.2">
      <c r="B836" s="89"/>
      <c r="C836"/>
      <c r="D836"/>
      <c r="E836" s="69"/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  <c r="U836"/>
      <c r="V836"/>
      <c r="W836"/>
      <c r="X836"/>
      <c r="Y836"/>
      <c r="Z836"/>
      <c r="AA836"/>
    </row>
    <row r="837" spans="2:27" s="25" customFormat="1" ht="15.75" customHeight="1" x14ac:dyDescent="0.2">
      <c r="B837" s="89"/>
      <c r="C837"/>
      <c r="D837"/>
      <c r="E837" s="69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  <c r="U837"/>
      <c r="V837"/>
      <c r="W837"/>
      <c r="X837"/>
      <c r="Y837"/>
      <c r="Z837"/>
      <c r="AA837"/>
    </row>
    <row r="838" spans="2:27" s="25" customFormat="1" ht="15.75" customHeight="1" x14ac:dyDescent="0.2">
      <c r="B838" s="89"/>
      <c r="C838"/>
      <c r="D838"/>
      <c r="E838" s="69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  <c r="V838"/>
      <c r="W838"/>
      <c r="X838"/>
      <c r="Y838"/>
      <c r="Z838"/>
      <c r="AA838"/>
    </row>
    <row r="839" spans="2:27" s="25" customFormat="1" ht="15.75" customHeight="1" x14ac:dyDescent="0.2">
      <c r="B839" s="89"/>
      <c r="C839"/>
      <c r="D839"/>
      <c r="E839" s="6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  <c r="V839"/>
      <c r="W839"/>
      <c r="X839"/>
      <c r="Y839"/>
      <c r="Z839"/>
      <c r="AA839"/>
    </row>
    <row r="840" spans="2:27" s="25" customFormat="1" ht="15.75" customHeight="1" x14ac:dyDescent="0.2">
      <c r="B840" s="89"/>
      <c r="C840"/>
      <c r="D840"/>
      <c r="E840" s="69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  <c r="V840"/>
      <c r="W840"/>
      <c r="X840"/>
      <c r="Y840"/>
      <c r="Z840"/>
      <c r="AA840"/>
    </row>
    <row r="841" spans="2:27" s="25" customFormat="1" ht="15.75" customHeight="1" x14ac:dyDescent="0.2">
      <c r="B841" s="89"/>
      <c r="C841"/>
      <c r="D841"/>
      <c r="E841" s="69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  <c r="V841"/>
      <c r="W841"/>
      <c r="X841"/>
      <c r="Y841"/>
      <c r="Z841"/>
      <c r="AA841"/>
    </row>
    <row r="842" spans="2:27" s="25" customFormat="1" ht="15.75" customHeight="1" x14ac:dyDescent="0.2">
      <c r="B842" s="89"/>
      <c r="C842"/>
      <c r="D842"/>
      <c r="E842" s="69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  <c r="U842"/>
      <c r="V842"/>
      <c r="W842"/>
      <c r="X842"/>
      <c r="Y842"/>
      <c r="Z842"/>
      <c r="AA842"/>
    </row>
    <row r="843" spans="2:27" s="25" customFormat="1" ht="15.75" customHeight="1" x14ac:dyDescent="0.2">
      <c r="B843" s="89"/>
      <c r="C843"/>
      <c r="D843"/>
      <c r="E843" s="69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  <c r="V843"/>
      <c r="W843"/>
      <c r="X843"/>
      <c r="Y843"/>
      <c r="Z843"/>
      <c r="AA843"/>
    </row>
    <row r="844" spans="2:27" s="25" customFormat="1" ht="15.75" customHeight="1" x14ac:dyDescent="0.2">
      <c r="B844" s="89"/>
      <c r="C844"/>
      <c r="D844"/>
      <c r="E844" s="69"/>
      <c r="F844"/>
      <c r="G844"/>
      <c r="H844"/>
      <c r="I844"/>
      <c r="J844"/>
      <c r="K844"/>
      <c r="L844"/>
      <c r="M844"/>
      <c r="N844"/>
      <c r="O844"/>
      <c r="P844"/>
      <c r="Q844"/>
      <c r="R844"/>
      <c r="S844"/>
      <c r="T844"/>
      <c r="U844"/>
      <c r="V844"/>
      <c r="W844"/>
      <c r="X844"/>
      <c r="Y844"/>
      <c r="Z844"/>
      <c r="AA844"/>
    </row>
    <row r="845" spans="2:27" s="25" customFormat="1" ht="15.75" customHeight="1" x14ac:dyDescent="0.2">
      <c r="B845" s="89"/>
      <c r="C845"/>
      <c r="D845"/>
      <c r="E845" s="69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  <c r="U845"/>
      <c r="V845"/>
      <c r="W845"/>
      <c r="X845"/>
      <c r="Y845"/>
      <c r="Z845"/>
      <c r="AA845"/>
    </row>
    <row r="846" spans="2:27" s="25" customFormat="1" ht="15.75" customHeight="1" x14ac:dyDescent="0.2">
      <c r="B846" s="89"/>
      <c r="C846"/>
      <c r="D846"/>
      <c r="E846" s="69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  <c r="V846"/>
      <c r="W846"/>
      <c r="X846"/>
      <c r="Y846"/>
      <c r="Z846"/>
      <c r="AA846"/>
    </row>
    <row r="847" spans="2:27" s="25" customFormat="1" ht="15.75" customHeight="1" x14ac:dyDescent="0.2">
      <c r="B847" s="89"/>
      <c r="C847"/>
      <c r="D847"/>
      <c r="E847" s="69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  <c r="U847"/>
      <c r="V847"/>
      <c r="W847"/>
      <c r="X847"/>
      <c r="Y847"/>
      <c r="Z847"/>
      <c r="AA847"/>
    </row>
    <row r="848" spans="2:27" s="25" customFormat="1" ht="15.75" customHeight="1" x14ac:dyDescent="0.2">
      <c r="B848" s="89"/>
      <c r="C848"/>
      <c r="D848"/>
      <c r="E848" s="69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/>
      <c r="U848"/>
      <c r="V848"/>
      <c r="W848"/>
      <c r="X848"/>
      <c r="Y848"/>
      <c r="Z848"/>
      <c r="AA848"/>
    </row>
    <row r="849" spans="2:27" s="25" customFormat="1" ht="15.75" customHeight="1" x14ac:dyDescent="0.2">
      <c r="B849" s="89"/>
      <c r="C849"/>
      <c r="D849"/>
      <c r="E849" s="6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  <c r="V849"/>
      <c r="W849"/>
      <c r="X849"/>
      <c r="Y849"/>
      <c r="Z849"/>
      <c r="AA849"/>
    </row>
    <row r="850" spans="2:27" s="25" customFormat="1" ht="15.75" customHeight="1" x14ac:dyDescent="0.2">
      <c r="B850" s="89"/>
      <c r="C850"/>
      <c r="D850"/>
      <c r="E850" s="69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  <c r="V850"/>
      <c r="W850"/>
      <c r="X850"/>
      <c r="Y850"/>
      <c r="Z850"/>
      <c r="AA850"/>
    </row>
    <row r="851" spans="2:27" s="25" customFormat="1" ht="15.75" customHeight="1" x14ac:dyDescent="0.2">
      <c r="B851" s="89"/>
      <c r="C851"/>
      <c r="D851"/>
      <c r="E851" s="69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  <c r="U851"/>
      <c r="V851"/>
      <c r="W851"/>
      <c r="X851"/>
      <c r="Y851"/>
      <c r="Z851"/>
      <c r="AA851"/>
    </row>
    <row r="852" spans="2:27" s="25" customFormat="1" ht="15.75" customHeight="1" x14ac:dyDescent="0.2">
      <c r="B852" s="89"/>
      <c r="C852"/>
      <c r="D852"/>
      <c r="E852" s="69"/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  <c r="U852"/>
      <c r="V852"/>
      <c r="W852"/>
      <c r="X852"/>
      <c r="Y852"/>
      <c r="Z852"/>
      <c r="AA852"/>
    </row>
    <row r="853" spans="2:27" s="25" customFormat="1" ht="15.75" customHeight="1" x14ac:dyDescent="0.2">
      <c r="B853" s="89"/>
      <c r="C853"/>
      <c r="D853"/>
      <c r="E853" s="69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  <c r="V853"/>
      <c r="W853"/>
      <c r="X853"/>
      <c r="Y853"/>
      <c r="Z853"/>
      <c r="AA853"/>
    </row>
    <row r="854" spans="2:27" s="25" customFormat="1" ht="15.75" customHeight="1" x14ac:dyDescent="0.2">
      <c r="B854" s="89"/>
      <c r="C854"/>
      <c r="D854"/>
      <c r="E854" s="69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  <c r="V854"/>
      <c r="W854"/>
      <c r="X854"/>
      <c r="Y854"/>
      <c r="Z854"/>
      <c r="AA854"/>
    </row>
    <row r="855" spans="2:27" s="25" customFormat="1" ht="15.75" customHeight="1" x14ac:dyDescent="0.2">
      <c r="B855" s="89"/>
      <c r="C855"/>
      <c r="D855"/>
      <c r="E855" s="69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  <c r="U855"/>
      <c r="V855"/>
      <c r="W855"/>
      <c r="X855"/>
      <c r="Y855"/>
      <c r="Z855"/>
      <c r="AA855"/>
    </row>
    <row r="856" spans="2:27" s="25" customFormat="1" ht="15.75" customHeight="1" x14ac:dyDescent="0.2">
      <c r="B856" s="89"/>
      <c r="C856"/>
      <c r="D856"/>
      <c r="E856" s="69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  <c r="U856"/>
      <c r="V856"/>
      <c r="W856"/>
      <c r="X856"/>
      <c r="Y856"/>
      <c r="Z856"/>
      <c r="AA856"/>
    </row>
    <row r="857" spans="2:27" s="25" customFormat="1" ht="15.75" customHeight="1" x14ac:dyDescent="0.2">
      <c r="B857" s="89"/>
      <c r="C857"/>
      <c r="D857"/>
      <c r="E857" s="69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  <c r="U857"/>
      <c r="V857"/>
      <c r="W857"/>
      <c r="X857"/>
      <c r="Y857"/>
      <c r="Z857"/>
      <c r="AA857"/>
    </row>
    <row r="858" spans="2:27" s="25" customFormat="1" ht="15.75" customHeight="1" x14ac:dyDescent="0.2">
      <c r="B858" s="89"/>
      <c r="C858"/>
      <c r="D858"/>
      <c r="E858" s="69"/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  <c r="U858"/>
      <c r="V858"/>
      <c r="W858"/>
      <c r="X858"/>
      <c r="Y858"/>
      <c r="Z858"/>
      <c r="AA858"/>
    </row>
    <row r="859" spans="2:27" s="25" customFormat="1" ht="15.75" customHeight="1" x14ac:dyDescent="0.2">
      <c r="B859" s="89"/>
      <c r="C859"/>
      <c r="D859"/>
      <c r="E859" s="69"/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  <c r="U859"/>
      <c r="V859"/>
      <c r="W859"/>
      <c r="X859"/>
      <c r="Y859"/>
      <c r="Z859"/>
      <c r="AA859"/>
    </row>
    <row r="860" spans="2:27" s="25" customFormat="1" ht="15.75" customHeight="1" x14ac:dyDescent="0.2">
      <c r="B860" s="89"/>
      <c r="C860"/>
      <c r="D860"/>
      <c r="E860" s="69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  <c r="U860"/>
      <c r="V860"/>
      <c r="W860"/>
      <c r="X860"/>
      <c r="Y860"/>
      <c r="Z860"/>
      <c r="AA860"/>
    </row>
    <row r="861" spans="2:27" s="25" customFormat="1" ht="15.75" customHeight="1" x14ac:dyDescent="0.2">
      <c r="B861" s="89"/>
      <c r="C861"/>
      <c r="D861"/>
      <c r="E861" s="69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  <c r="V861"/>
      <c r="W861"/>
      <c r="X861"/>
      <c r="Y861"/>
      <c r="Z861"/>
      <c r="AA861"/>
    </row>
    <row r="862" spans="2:27" s="25" customFormat="1" ht="15.75" customHeight="1" x14ac:dyDescent="0.2">
      <c r="B862" s="89"/>
      <c r="C862"/>
      <c r="D862"/>
      <c r="E862" s="69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  <c r="V862"/>
      <c r="W862"/>
      <c r="X862"/>
      <c r="Y862"/>
      <c r="Z862"/>
      <c r="AA862"/>
    </row>
    <row r="863" spans="2:27" s="25" customFormat="1" ht="15.75" customHeight="1" x14ac:dyDescent="0.2">
      <c r="B863" s="89"/>
      <c r="C863"/>
      <c r="D863"/>
      <c r="E863" s="69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  <c r="V863"/>
      <c r="W863"/>
      <c r="X863"/>
      <c r="Y863"/>
      <c r="Z863"/>
      <c r="AA863"/>
    </row>
    <row r="864" spans="2:27" s="25" customFormat="1" ht="15.75" customHeight="1" x14ac:dyDescent="0.2">
      <c r="B864" s="89"/>
      <c r="C864"/>
      <c r="D864"/>
      <c r="E864" s="69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/>
      <c r="U864"/>
      <c r="V864"/>
      <c r="W864"/>
      <c r="X864"/>
      <c r="Y864"/>
      <c r="Z864"/>
      <c r="AA864"/>
    </row>
    <row r="865" spans="2:27" s="25" customFormat="1" ht="15.75" customHeight="1" x14ac:dyDescent="0.2">
      <c r="B865" s="89"/>
      <c r="C865"/>
      <c r="D865"/>
      <c r="E865" s="69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  <c r="V865"/>
      <c r="W865"/>
      <c r="X865"/>
      <c r="Y865"/>
      <c r="Z865"/>
      <c r="AA865"/>
    </row>
    <row r="866" spans="2:27" s="25" customFormat="1" ht="15.75" customHeight="1" x14ac:dyDescent="0.2">
      <c r="B866" s="89"/>
      <c r="C866"/>
      <c r="D866"/>
      <c r="E866" s="69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  <c r="U866"/>
      <c r="V866"/>
      <c r="W866"/>
      <c r="X866"/>
      <c r="Y866"/>
      <c r="Z866"/>
      <c r="AA866"/>
    </row>
    <row r="867" spans="2:27" s="25" customFormat="1" ht="15.75" customHeight="1" x14ac:dyDescent="0.2">
      <c r="B867" s="89"/>
      <c r="C867"/>
      <c r="D867"/>
      <c r="E867" s="69"/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  <c r="T867"/>
      <c r="U867"/>
      <c r="V867"/>
      <c r="W867"/>
      <c r="X867"/>
      <c r="Y867"/>
      <c r="Z867"/>
      <c r="AA867"/>
    </row>
    <row r="868" spans="2:27" s="25" customFormat="1" ht="15.75" customHeight="1" x14ac:dyDescent="0.2">
      <c r="B868" s="89"/>
      <c r="C868"/>
      <c r="D868"/>
      <c r="E868" s="69"/>
      <c r="F868"/>
      <c r="G868"/>
      <c r="H868"/>
      <c r="I868"/>
      <c r="J868"/>
      <c r="K868"/>
      <c r="L868"/>
      <c r="M868"/>
      <c r="N868"/>
      <c r="O868"/>
      <c r="P868"/>
      <c r="Q868"/>
      <c r="R868"/>
      <c r="S868"/>
      <c r="T868"/>
      <c r="U868"/>
      <c r="V868"/>
      <c r="W868"/>
      <c r="X868"/>
      <c r="Y868"/>
      <c r="Z868"/>
      <c r="AA868"/>
    </row>
    <row r="869" spans="2:27" s="25" customFormat="1" ht="15.75" customHeight="1" x14ac:dyDescent="0.2">
      <c r="B869" s="89"/>
      <c r="C869"/>
      <c r="D869"/>
      <c r="E869" s="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  <c r="V869"/>
      <c r="W869"/>
      <c r="X869"/>
      <c r="Y869"/>
      <c r="Z869"/>
      <c r="AA869"/>
    </row>
    <row r="870" spans="2:27" s="25" customFormat="1" ht="15.75" customHeight="1" x14ac:dyDescent="0.2">
      <c r="B870" s="89"/>
      <c r="C870"/>
      <c r="D870"/>
      <c r="E870" s="69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  <c r="V870"/>
      <c r="W870"/>
      <c r="X870"/>
      <c r="Y870"/>
      <c r="Z870"/>
      <c r="AA870"/>
    </row>
    <row r="871" spans="2:27" s="25" customFormat="1" ht="15.75" customHeight="1" x14ac:dyDescent="0.2">
      <c r="B871" s="89"/>
      <c r="C871"/>
      <c r="D871"/>
      <c r="E871" s="69"/>
      <c r="F871"/>
      <c r="G871"/>
      <c r="H871"/>
      <c r="I871"/>
      <c r="J871"/>
      <c r="K871"/>
      <c r="L871"/>
      <c r="M871"/>
      <c r="N871"/>
      <c r="O871"/>
      <c r="P871"/>
      <c r="Q871"/>
      <c r="R871"/>
      <c r="S871"/>
      <c r="T871"/>
      <c r="U871"/>
      <c r="V871"/>
      <c r="W871"/>
      <c r="X871"/>
      <c r="Y871"/>
      <c r="Z871"/>
      <c r="AA871"/>
    </row>
    <row r="872" spans="2:27" s="25" customFormat="1" ht="15.75" customHeight="1" x14ac:dyDescent="0.2">
      <c r="B872" s="89"/>
      <c r="C872"/>
      <c r="D872"/>
      <c r="E872" s="69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  <c r="U872"/>
      <c r="V872"/>
      <c r="W872"/>
      <c r="X872"/>
      <c r="Y872"/>
      <c r="Z872"/>
      <c r="AA872"/>
    </row>
    <row r="873" spans="2:27" s="25" customFormat="1" ht="15.75" customHeight="1" x14ac:dyDescent="0.2">
      <c r="B873" s="89"/>
      <c r="C873"/>
      <c r="D873"/>
      <c r="E873" s="69"/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  <c r="T873"/>
      <c r="U873"/>
      <c r="V873"/>
      <c r="W873"/>
      <c r="X873"/>
      <c r="Y873"/>
      <c r="Z873"/>
      <c r="AA873"/>
    </row>
    <row r="874" spans="2:27" s="25" customFormat="1" ht="15.75" customHeight="1" x14ac:dyDescent="0.2">
      <c r="B874" s="89"/>
      <c r="C874"/>
      <c r="D874"/>
      <c r="E874" s="69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  <c r="V874"/>
      <c r="W874"/>
      <c r="X874"/>
      <c r="Y874"/>
      <c r="Z874"/>
      <c r="AA874"/>
    </row>
    <row r="875" spans="2:27" s="25" customFormat="1" ht="15.75" customHeight="1" x14ac:dyDescent="0.2">
      <c r="B875" s="89"/>
      <c r="C875"/>
      <c r="D875"/>
      <c r="E875" s="69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  <c r="V875"/>
      <c r="W875"/>
      <c r="X875"/>
      <c r="Y875"/>
      <c r="Z875"/>
      <c r="AA875"/>
    </row>
    <row r="876" spans="2:27" s="25" customFormat="1" ht="15.75" customHeight="1" x14ac:dyDescent="0.2">
      <c r="B876" s="89"/>
      <c r="C876"/>
      <c r="D876"/>
      <c r="E876" s="69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  <c r="V876"/>
      <c r="W876"/>
      <c r="X876"/>
      <c r="Y876"/>
      <c r="Z876"/>
      <c r="AA876"/>
    </row>
    <row r="877" spans="2:27" s="25" customFormat="1" ht="15.75" customHeight="1" x14ac:dyDescent="0.2">
      <c r="B877" s="89"/>
      <c r="C877"/>
      <c r="D877"/>
      <c r="E877" s="69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  <c r="U877"/>
      <c r="V877"/>
      <c r="W877"/>
      <c r="X877"/>
      <c r="Y877"/>
      <c r="Z877"/>
      <c r="AA877"/>
    </row>
    <row r="878" spans="2:27" s="25" customFormat="1" ht="15.75" customHeight="1" x14ac:dyDescent="0.2">
      <c r="B878" s="89"/>
      <c r="C878"/>
      <c r="D878"/>
      <c r="E878" s="69"/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  <c r="T878"/>
      <c r="U878"/>
      <c r="V878"/>
      <c r="W878"/>
      <c r="X878"/>
      <c r="Y878"/>
      <c r="Z878"/>
      <c r="AA878"/>
    </row>
    <row r="879" spans="2:27" s="25" customFormat="1" ht="15.75" customHeight="1" x14ac:dyDescent="0.2">
      <c r="B879" s="89"/>
      <c r="C879"/>
      <c r="D879"/>
      <c r="E879" s="6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  <c r="U879"/>
      <c r="V879"/>
      <c r="W879"/>
      <c r="X879"/>
      <c r="Y879"/>
      <c r="Z879"/>
      <c r="AA879"/>
    </row>
    <row r="880" spans="2:27" s="25" customFormat="1" ht="15.75" customHeight="1" x14ac:dyDescent="0.2">
      <c r="B880" s="89"/>
      <c r="C880"/>
      <c r="D880"/>
      <c r="E880" s="69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  <c r="U880"/>
      <c r="V880"/>
      <c r="W880"/>
      <c r="X880"/>
      <c r="Y880"/>
      <c r="Z880"/>
      <c r="AA880"/>
    </row>
    <row r="881" spans="2:27" s="25" customFormat="1" ht="15.75" customHeight="1" x14ac:dyDescent="0.2">
      <c r="B881" s="89"/>
      <c r="C881"/>
      <c r="D881"/>
      <c r="E881" s="69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  <c r="U881"/>
      <c r="V881"/>
      <c r="W881"/>
      <c r="X881"/>
      <c r="Y881"/>
      <c r="Z881"/>
      <c r="AA881"/>
    </row>
    <row r="882" spans="2:27" s="25" customFormat="1" ht="15.75" customHeight="1" x14ac:dyDescent="0.2">
      <c r="B882" s="89"/>
      <c r="C882"/>
      <c r="D882"/>
      <c r="E882" s="69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  <c r="U882"/>
      <c r="V882"/>
      <c r="W882"/>
      <c r="X882"/>
      <c r="Y882"/>
      <c r="Z882"/>
      <c r="AA882"/>
    </row>
    <row r="883" spans="2:27" s="25" customFormat="1" ht="15.75" customHeight="1" x14ac:dyDescent="0.2">
      <c r="B883" s="89"/>
      <c r="C883"/>
      <c r="D883"/>
      <c r="E883" s="69"/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  <c r="T883"/>
      <c r="U883"/>
      <c r="V883"/>
      <c r="W883"/>
      <c r="X883"/>
      <c r="Y883"/>
      <c r="Z883"/>
      <c r="AA883"/>
    </row>
    <row r="884" spans="2:27" s="25" customFormat="1" ht="15.75" customHeight="1" x14ac:dyDescent="0.2">
      <c r="B884" s="89"/>
      <c r="C884"/>
      <c r="D884"/>
      <c r="E884" s="69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  <c r="V884"/>
      <c r="W884"/>
      <c r="X884"/>
      <c r="Y884"/>
      <c r="Z884"/>
      <c r="AA884"/>
    </row>
    <row r="885" spans="2:27" s="25" customFormat="1" ht="15.75" customHeight="1" x14ac:dyDescent="0.2">
      <c r="B885" s="89"/>
      <c r="C885"/>
      <c r="D885"/>
      <c r="E885" s="69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  <c r="V885"/>
      <c r="W885"/>
      <c r="X885"/>
      <c r="Y885"/>
      <c r="Z885"/>
      <c r="AA885"/>
    </row>
    <row r="886" spans="2:27" s="25" customFormat="1" ht="15.75" customHeight="1" x14ac:dyDescent="0.2">
      <c r="B886" s="89"/>
      <c r="C886"/>
      <c r="D886"/>
      <c r="E886" s="69"/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  <c r="T886"/>
      <c r="U886"/>
      <c r="V886"/>
      <c r="W886"/>
      <c r="X886"/>
      <c r="Y886"/>
      <c r="Z886"/>
      <c r="AA886"/>
    </row>
    <row r="887" spans="2:27" s="25" customFormat="1" ht="15.75" customHeight="1" x14ac:dyDescent="0.2">
      <c r="B887" s="89"/>
      <c r="C887"/>
      <c r="D887"/>
      <c r="E887" s="69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  <c r="V887"/>
      <c r="W887"/>
      <c r="X887"/>
      <c r="Y887"/>
      <c r="Z887"/>
      <c r="AA887"/>
    </row>
    <row r="888" spans="2:27" s="25" customFormat="1" ht="15.75" customHeight="1" x14ac:dyDescent="0.2">
      <c r="B888" s="89"/>
      <c r="C888"/>
      <c r="D888"/>
      <c r="E888" s="69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  <c r="U888"/>
      <c r="V888"/>
      <c r="W888"/>
      <c r="X888"/>
      <c r="Y888"/>
      <c r="Z888"/>
      <c r="AA888"/>
    </row>
    <row r="889" spans="2:27" s="25" customFormat="1" ht="15.75" customHeight="1" x14ac:dyDescent="0.2">
      <c r="B889" s="89"/>
      <c r="C889"/>
      <c r="D889"/>
      <c r="E889" s="6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  <c r="V889"/>
      <c r="W889"/>
      <c r="X889"/>
      <c r="Y889"/>
      <c r="Z889"/>
      <c r="AA889"/>
    </row>
    <row r="890" spans="2:27" s="25" customFormat="1" ht="15.75" customHeight="1" x14ac:dyDescent="0.2">
      <c r="B890" s="89"/>
      <c r="C890"/>
      <c r="D890"/>
      <c r="E890" s="69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  <c r="V890"/>
      <c r="W890"/>
      <c r="X890"/>
      <c r="Y890"/>
      <c r="Z890"/>
      <c r="AA890"/>
    </row>
    <row r="891" spans="2:27" s="25" customFormat="1" ht="15.75" customHeight="1" x14ac:dyDescent="0.2">
      <c r="B891" s="89"/>
      <c r="C891"/>
      <c r="D891"/>
      <c r="E891" s="69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  <c r="V891"/>
      <c r="W891"/>
      <c r="X891"/>
      <c r="Y891"/>
      <c r="Z891"/>
      <c r="AA891"/>
    </row>
    <row r="892" spans="2:27" s="25" customFormat="1" ht="15.75" customHeight="1" x14ac:dyDescent="0.2">
      <c r="B892" s="89"/>
      <c r="C892"/>
      <c r="D892"/>
      <c r="E892" s="69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  <c r="V892"/>
      <c r="W892"/>
      <c r="X892"/>
      <c r="Y892"/>
      <c r="Z892"/>
      <c r="AA892"/>
    </row>
    <row r="893" spans="2:27" s="25" customFormat="1" ht="15.75" customHeight="1" x14ac:dyDescent="0.2">
      <c r="B893" s="89"/>
      <c r="C893"/>
      <c r="D893"/>
      <c r="E893" s="69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  <c r="U893"/>
      <c r="V893"/>
      <c r="W893"/>
      <c r="X893"/>
      <c r="Y893"/>
      <c r="Z893"/>
      <c r="AA893"/>
    </row>
    <row r="894" spans="2:27" s="25" customFormat="1" ht="15.75" customHeight="1" x14ac:dyDescent="0.2">
      <c r="B894" s="89"/>
      <c r="C894"/>
      <c r="D894"/>
      <c r="E894" s="69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  <c r="V894"/>
      <c r="W894"/>
      <c r="X894"/>
      <c r="Y894"/>
      <c r="Z894"/>
      <c r="AA894"/>
    </row>
    <row r="895" spans="2:27" s="25" customFormat="1" ht="15.75" customHeight="1" x14ac:dyDescent="0.2">
      <c r="B895" s="89"/>
      <c r="C895"/>
      <c r="D895"/>
      <c r="E895" s="69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  <c r="V895"/>
      <c r="W895"/>
      <c r="X895"/>
      <c r="Y895"/>
      <c r="Z895"/>
      <c r="AA895"/>
    </row>
    <row r="896" spans="2:27" s="25" customFormat="1" ht="15.75" customHeight="1" x14ac:dyDescent="0.2">
      <c r="B896" s="89"/>
      <c r="C896"/>
      <c r="D896"/>
      <c r="E896" s="69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  <c r="V896"/>
      <c r="W896"/>
      <c r="X896"/>
      <c r="Y896"/>
      <c r="Z896"/>
      <c r="AA896"/>
    </row>
    <row r="897" spans="2:27" s="25" customFormat="1" ht="15.75" customHeight="1" x14ac:dyDescent="0.2">
      <c r="B897" s="89"/>
      <c r="C897"/>
      <c r="D897"/>
      <c r="E897" s="69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  <c r="V897"/>
      <c r="W897"/>
      <c r="X897"/>
      <c r="Y897"/>
      <c r="Z897"/>
      <c r="AA897"/>
    </row>
    <row r="898" spans="2:27" s="25" customFormat="1" ht="15.75" customHeight="1" x14ac:dyDescent="0.2">
      <c r="B898" s="89"/>
      <c r="C898"/>
      <c r="D898"/>
      <c r="E898" s="69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  <c r="V898"/>
      <c r="W898"/>
      <c r="X898"/>
      <c r="Y898"/>
      <c r="Z898"/>
      <c r="AA898"/>
    </row>
    <row r="899" spans="2:27" s="25" customFormat="1" ht="15.75" customHeight="1" x14ac:dyDescent="0.2">
      <c r="B899" s="89"/>
      <c r="C899"/>
      <c r="D899"/>
      <c r="E899" s="6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  <c r="V899"/>
      <c r="W899"/>
      <c r="X899"/>
      <c r="Y899"/>
      <c r="Z899"/>
      <c r="AA899"/>
    </row>
    <row r="900" spans="2:27" s="25" customFormat="1" ht="15.75" customHeight="1" x14ac:dyDescent="0.2">
      <c r="B900" s="89"/>
      <c r="C900"/>
      <c r="D900"/>
      <c r="E900" s="69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  <c r="V900"/>
      <c r="W900"/>
      <c r="X900"/>
      <c r="Y900"/>
      <c r="Z900"/>
      <c r="AA900"/>
    </row>
    <row r="901" spans="2:27" s="25" customFormat="1" ht="15.75" customHeight="1" x14ac:dyDescent="0.2">
      <c r="B901" s="89"/>
      <c r="C901"/>
      <c r="D901"/>
      <c r="E901" s="69"/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/>
      <c r="U901"/>
      <c r="V901"/>
      <c r="W901"/>
      <c r="X901"/>
      <c r="Y901"/>
      <c r="Z901"/>
      <c r="AA901"/>
    </row>
    <row r="902" spans="2:27" s="25" customFormat="1" ht="15.75" customHeight="1" x14ac:dyDescent="0.2">
      <c r="B902" s="89"/>
      <c r="C902"/>
      <c r="D902"/>
      <c r="E902" s="69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  <c r="V902"/>
      <c r="W902"/>
      <c r="X902"/>
      <c r="Y902"/>
      <c r="Z902"/>
      <c r="AA902"/>
    </row>
    <row r="903" spans="2:27" s="25" customFormat="1" ht="15.75" customHeight="1" x14ac:dyDescent="0.2">
      <c r="B903" s="89"/>
      <c r="C903"/>
      <c r="D903"/>
      <c r="E903" s="69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  <c r="V903"/>
      <c r="W903"/>
      <c r="X903"/>
      <c r="Y903"/>
      <c r="Z903"/>
      <c r="AA903"/>
    </row>
    <row r="904" spans="2:27" s="25" customFormat="1" ht="15.75" customHeight="1" x14ac:dyDescent="0.2">
      <c r="B904" s="89"/>
      <c r="C904"/>
      <c r="D904"/>
      <c r="E904" s="69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  <c r="V904"/>
      <c r="W904"/>
      <c r="X904"/>
      <c r="Y904"/>
      <c r="Z904"/>
      <c r="AA904"/>
    </row>
    <row r="905" spans="2:27" s="25" customFormat="1" ht="15.75" customHeight="1" x14ac:dyDescent="0.2">
      <c r="B905" s="89"/>
      <c r="C905"/>
      <c r="D905"/>
      <c r="E905" s="69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  <c r="V905"/>
      <c r="W905"/>
      <c r="X905"/>
      <c r="Y905"/>
      <c r="Z905"/>
      <c r="AA905"/>
    </row>
    <row r="906" spans="2:27" s="25" customFormat="1" ht="15.75" customHeight="1" x14ac:dyDescent="0.2">
      <c r="B906" s="89"/>
      <c r="C906"/>
      <c r="D906"/>
      <c r="E906" s="69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  <c r="V906"/>
      <c r="W906"/>
      <c r="X906"/>
      <c r="Y906"/>
      <c r="Z906"/>
      <c r="AA906"/>
    </row>
    <row r="907" spans="2:27" s="25" customFormat="1" ht="15.75" customHeight="1" x14ac:dyDescent="0.2">
      <c r="B907" s="89"/>
      <c r="C907"/>
      <c r="D907"/>
      <c r="E907" s="69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  <c r="V907"/>
      <c r="W907"/>
      <c r="X907"/>
      <c r="Y907"/>
      <c r="Z907"/>
      <c r="AA907"/>
    </row>
    <row r="908" spans="2:27" s="25" customFormat="1" ht="15.75" customHeight="1" x14ac:dyDescent="0.2">
      <c r="B908" s="89"/>
      <c r="C908"/>
      <c r="D908"/>
      <c r="E908" s="69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  <c r="V908"/>
      <c r="W908"/>
      <c r="X908"/>
      <c r="Y908"/>
      <c r="Z908"/>
      <c r="AA908"/>
    </row>
    <row r="909" spans="2:27" s="25" customFormat="1" ht="15.75" customHeight="1" x14ac:dyDescent="0.2">
      <c r="B909" s="89"/>
      <c r="C909"/>
      <c r="D909"/>
      <c r="E909" s="6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  <c r="V909"/>
      <c r="W909"/>
      <c r="X909"/>
      <c r="Y909"/>
      <c r="Z909"/>
      <c r="AA909"/>
    </row>
    <row r="910" spans="2:27" s="25" customFormat="1" ht="15.75" customHeight="1" x14ac:dyDescent="0.2">
      <c r="B910" s="89"/>
      <c r="C910"/>
      <c r="D910"/>
      <c r="E910" s="69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  <c r="V910"/>
      <c r="W910"/>
      <c r="X910"/>
      <c r="Y910"/>
      <c r="Z910"/>
      <c r="AA910"/>
    </row>
    <row r="911" spans="2:27" s="25" customFormat="1" ht="15.75" customHeight="1" x14ac:dyDescent="0.2">
      <c r="B911" s="89"/>
      <c r="C911"/>
      <c r="D911"/>
      <c r="E911" s="69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  <c r="V911"/>
      <c r="W911"/>
      <c r="X911"/>
      <c r="Y911"/>
      <c r="Z911"/>
      <c r="AA911"/>
    </row>
    <row r="912" spans="2:27" s="25" customFormat="1" ht="15.75" customHeight="1" x14ac:dyDescent="0.2">
      <c r="B912" s="89"/>
      <c r="C912"/>
      <c r="D912"/>
      <c r="E912" s="69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  <c r="V912"/>
      <c r="W912"/>
      <c r="X912"/>
      <c r="Y912"/>
      <c r="Z912"/>
      <c r="AA912"/>
    </row>
    <row r="913" spans="2:27" s="25" customFormat="1" ht="15.75" customHeight="1" x14ac:dyDescent="0.2">
      <c r="B913" s="89"/>
      <c r="C913"/>
      <c r="D913"/>
      <c r="E913" s="69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  <c r="V913"/>
      <c r="W913"/>
      <c r="X913"/>
      <c r="Y913"/>
      <c r="Z913"/>
      <c r="AA913"/>
    </row>
    <row r="914" spans="2:27" s="25" customFormat="1" ht="15.75" customHeight="1" x14ac:dyDescent="0.2">
      <c r="B914" s="89"/>
      <c r="C914"/>
      <c r="D914"/>
      <c r="E914" s="69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  <c r="V914"/>
      <c r="W914"/>
      <c r="X914"/>
      <c r="Y914"/>
      <c r="Z914"/>
      <c r="AA914"/>
    </row>
    <row r="915" spans="2:27" s="25" customFormat="1" ht="15.75" customHeight="1" x14ac:dyDescent="0.2">
      <c r="B915" s="89"/>
      <c r="C915"/>
      <c r="D915"/>
      <c r="E915" s="69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  <c r="V915"/>
      <c r="W915"/>
      <c r="X915"/>
      <c r="Y915"/>
      <c r="Z915"/>
      <c r="AA915"/>
    </row>
    <row r="916" spans="2:27" s="25" customFormat="1" ht="15.75" customHeight="1" x14ac:dyDescent="0.2">
      <c r="B916" s="89"/>
      <c r="C916"/>
      <c r="D916"/>
      <c r="E916" s="69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  <c r="V916"/>
      <c r="W916"/>
      <c r="X916"/>
      <c r="Y916"/>
      <c r="Z916"/>
      <c r="AA916"/>
    </row>
    <row r="917" spans="2:27" s="25" customFormat="1" ht="15.75" customHeight="1" x14ac:dyDescent="0.2">
      <c r="B917" s="89"/>
      <c r="C917"/>
      <c r="D917"/>
      <c r="E917" s="69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  <c r="V917"/>
      <c r="W917"/>
      <c r="X917"/>
      <c r="Y917"/>
      <c r="Z917"/>
      <c r="AA917"/>
    </row>
    <row r="918" spans="2:27" s="25" customFormat="1" ht="15.75" customHeight="1" x14ac:dyDescent="0.2">
      <c r="B918" s="89"/>
      <c r="C918"/>
      <c r="D918"/>
      <c r="E918" s="69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  <c r="V918"/>
      <c r="W918"/>
      <c r="X918"/>
      <c r="Y918"/>
      <c r="Z918"/>
      <c r="AA918"/>
    </row>
    <row r="919" spans="2:27" s="25" customFormat="1" ht="15.75" customHeight="1" x14ac:dyDescent="0.2">
      <c r="B919" s="89"/>
      <c r="C919"/>
      <c r="D919"/>
      <c r="E919" s="6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  <c r="V919"/>
      <c r="W919"/>
      <c r="X919"/>
      <c r="Y919"/>
      <c r="Z919"/>
      <c r="AA919"/>
    </row>
    <row r="920" spans="2:27" s="25" customFormat="1" ht="15.75" customHeight="1" x14ac:dyDescent="0.2">
      <c r="B920" s="89"/>
      <c r="C920"/>
      <c r="D920"/>
      <c r="E920" s="69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  <c r="V920"/>
      <c r="W920"/>
      <c r="X920"/>
      <c r="Y920"/>
      <c r="Z920"/>
      <c r="AA920"/>
    </row>
    <row r="921" spans="2:27" s="25" customFormat="1" ht="15.75" customHeight="1" x14ac:dyDescent="0.2">
      <c r="B921" s="89"/>
      <c r="C921"/>
      <c r="D921"/>
      <c r="E921" s="69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  <c r="V921"/>
      <c r="W921"/>
      <c r="X921"/>
      <c r="Y921"/>
      <c r="Z921"/>
      <c r="AA921"/>
    </row>
    <row r="922" spans="2:27" s="25" customFormat="1" ht="15.75" customHeight="1" x14ac:dyDescent="0.2">
      <c r="B922" s="89"/>
      <c r="C922"/>
      <c r="D922"/>
      <c r="E922" s="69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  <c r="V922"/>
      <c r="W922"/>
      <c r="X922"/>
      <c r="Y922"/>
      <c r="Z922"/>
      <c r="AA922"/>
    </row>
    <row r="923" spans="2:27" s="25" customFormat="1" ht="15.75" customHeight="1" x14ac:dyDescent="0.2">
      <c r="B923" s="89"/>
      <c r="C923"/>
      <c r="D923"/>
      <c r="E923" s="69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  <c r="V923"/>
      <c r="W923"/>
      <c r="X923"/>
      <c r="Y923"/>
      <c r="Z923"/>
      <c r="AA923"/>
    </row>
    <row r="924" spans="2:27" s="25" customFormat="1" ht="15.75" customHeight="1" x14ac:dyDescent="0.2">
      <c r="B924" s="89"/>
      <c r="C924"/>
      <c r="D924"/>
      <c r="E924" s="69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  <c r="V924"/>
      <c r="W924"/>
      <c r="X924"/>
      <c r="Y924"/>
      <c r="Z924"/>
      <c r="AA924"/>
    </row>
    <row r="925" spans="2:27" s="25" customFormat="1" ht="15.75" customHeight="1" x14ac:dyDescent="0.2">
      <c r="B925" s="89"/>
      <c r="C925"/>
      <c r="D925"/>
      <c r="E925" s="69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  <c r="V925"/>
      <c r="W925"/>
      <c r="X925"/>
      <c r="Y925"/>
      <c r="Z925"/>
      <c r="AA925"/>
    </row>
    <row r="926" spans="2:27" s="25" customFormat="1" ht="15.75" customHeight="1" x14ac:dyDescent="0.2">
      <c r="B926" s="89"/>
      <c r="C926"/>
      <c r="D926"/>
      <c r="E926" s="69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  <c r="V926"/>
      <c r="W926"/>
      <c r="X926"/>
      <c r="Y926"/>
      <c r="Z926"/>
      <c r="AA926"/>
    </row>
    <row r="927" spans="2:27" s="25" customFormat="1" ht="15.75" customHeight="1" x14ac:dyDescent="0.2">
      <c r="B927" s="89"/>
      <c r="C927"/>
      <c r="D927"/>
      <c r="E927" s="69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  <c r="V927"/>
      <c r="W927"/>
      <c r="X927"/>
      <c r="Y927"/>
      <c r="Z927"/>
      <c r="AA927"/>
    </row>
    <row r="928" spans="2:27" s="25" customFormat="1" ht="15.75" customHeight="1" x14ac:dyDescent="0.2">
      <c r="B928" s="89"/>
      <c r="C928"/>
      <c r="D928"/>
      <c r="E928" s="69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  <c r="V928"/>
      <c r="W928"/>
      <c r="X928"/>
      <c r="Y928"/>
      <c r="Z928"/>
      <c r="AA928"/>
    </row>
    <row r="929" spans="2:27" s="25" customFormat="1" ht="15.75" customHeight="1" x14ac:dyDescent="0.2">
      <c r="B929" s="89"/>
      <c r="C929"/>
      <c r="D929"/>
      <c r="E929" s="6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  <c r="V929"/>
      <c r="W929"/>
      <c r="X929"/>
      <c r="Y929"/>
      <c r="Z929"/>
      <c r="AA929"/>
    </row>
    <row r="930" spans="2:27" s="25" customFormat="1" ht="15.75" customHeight="1" x14ac:dyDescent="0.2">
      <c r="B930" s="89"/>
      <c r="C930"/>
      <c r="D930"/>
      <c r="E930" s="69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  <c r="V930"/>
      <c r="W930"/>
      <c r="X930"/>
      <c r="Y930"/>
      <c r="Z930"/>
      <c r="AA930"/>
    </row>
    <row r="931" spans="2:27" s="25" customFormat="1" ht="15.75" customHeight="1" x14ac:dyDescent="0.2">
      <c r="B931" s="89"/>
      <c r="C931"/>
      <c r="D931"/>
      <c r="E931" s="69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  <c r="V931"/>
      <c r="W931"/>
      <c r="X931"/>
      <c r="Y931"/>
      <c r="Z931"/>
      <c r="AA931"/>
    </row>
    <row r="932" spans="2:27" s="25" customFormat="1" ht="15.75" customHeight="1" x14ac:dyDescent="0.2">
      <c r="B932" s="89"/>
      <c r="C932"/>
      <c r="D932"/>
      <c r="E932" s="69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  <c r="V932"/>
      <c r="W932"/>
      <c r="X932"/>
      <c r="Y932"/>
      <c r="Z932"/>
      <c r="AA932"/>
    </row>
    <row r="933" spans="2:27" s="25" customFormat="1" ht="15.75" customHeight="1" x14ac:dyDescent="0.2">
      <c r="B933" s="89"/>
      <c r="C933"/>
      <c r="D933"/>
      <c r="E933" s="69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  <c r="V933"/>
      <c r="W933"/>
      <c r="X933"/>
      <c r="Y933"/>
      <c r="Z933"/>
      <c r="AA933"/>
    </row>
    <row r="934" spans="2:27" s="25" customFormat="1" ht="15.75" customHeight="1" x14ac:dyDescent="0.2">
      <c r="B934" s="89"/>
      <c r="C934"/>
      <c r="D934"/>
      <c r="E934" s="69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  <c r="V934"/>
      <c r="W934"/>
      <c r="X934"/>
      <c r="Y934"/>
      <c r="Z934"/>
      <c r="AA934"/>
    </row>
    <row r="935" spans="2:27" s="25" customFormat="1" ht="15.75" customHeight="1" x14ac:dyDescent="0.2">
      <c r="B935" s="89"/>
      <c r="C935"/>
      <c r="D935"/>
      <c r="E935" s="69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  <c r="V935"/>
      <c r="W935"/>
      <c r="X935"/>
      <c r="Y935"/>
      <c r="Z935"/>
      <c r="AA935"/>
    </row>
    <row r="936" spans="2:27" s="25" customFormat="1" ht="15.75" customHeight="1" x14ac:dyDescent="0.2">
      <c r="B936" s="89"/>
      <c r="C936"/>
      <c r="D936"/>
      <c r="E936" s="69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  <c r="V936"/>
      <c r="W936"/>
      <c r="X936"/>
      <c r="Y936"/>
      <c r="Z936"/>
      <c r="AA936"/>
    </row>
    <row r="937" spans="2:27" s="25" customFormat="1" ht="15.75" customHeight="1" x14ac:dyDescent="0.2">
      <c r="B937" s="89"/>
      <c r="C937"/>
      <c r="D937"/>
      <c r="E937" s="69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  <c r="V937"/>
      <c r="W937"/>
      <c r="X937"/>
      <c r="Y937"/>
      <c r="Z937"/>
      <c r="AA937"/>
    </row>
    <row r="938" spans="2:27" s="25" customFormat="1" ht="15.75" customHeight="1" x14ac:dyDescent="0.2">
      <c r="B938" s="89"/>
      <c r="C938"/>
      <c r="D938"/>
      <c r="E938" s="69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  <c r="V938"/>
      <c r="W938"/>
      <c r="X938"/>
      <c r="Y938"/>
      <c r="Z938"/>
      <c r="AA938"/>
    </row>
    <row r="939" spans="2:27" s="25" customFormat="1" ht="15.75" customHeight="1" x14ac:dyDescent="0.2">
      <c r="B939" s="89"/>
      <c r="C939"/>
      <c r="D939"/>
      <c r="E939" s="6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  <c r="V939"/>
      <c r="W939"/>
      <c r="X939"/>
      <c r="Y939"/>
      <c r="Z939"/>
      <c r="AA939"/>
    </row>
    <row r="940" spans="2:27" s="25" customFormat="1" ht="15.75" customHeight="1" x14ac:dyDescent="0.2">
      <c r="B940" s="89"/>
      <c r="C940"/>
      <c r="D940"/>
      <c r="E940" s="69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  <c r="V940"/>
      <c r="W940"/>
      <c r="X940"/>
      <c r="Y940"/>
      <c r="Z940"/>
      <c r="AA940"/>
    </row>
    <row r="941" spans="2:27" s="25" customFormat="1" ht="15.75" customHeight="1" x14ac:dyDescent="0.2">
      <c r="B941" s="89"/>
      <c r="C941"/>
      <c r="D941"/>
      <c r="E941" s="69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  <c r="V941"/>
      <c r="W941"/>
      <c r="X941"/>
      <c r="Y941"/>
      <c r="Z941"/>
      <c r="AA941"/>
    </row>
    <row r="942" spans="2:27" s="25" customFormat="1" ht="15.75" customHeight="1" x14ac:dyDescent="0.2">
      <c r="B942" s="89"/>
      <c r="C942"/>
      <c r="D942"/>
      <c r="E942" s="69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  <c r="V942"/>
      <c r="W942"/>
      <c r="X942"/>
      <c r="Y942"/>
      <c r="Z942"/>
      <c r="AA942"/>
    </row>
    <row r="943" spans="2:27" s="25" customFormat="1" ht="15.75" customHeight="1" x14ac:dyDescent="0.2">
      <c r="B943" s="89"/>
      <c r="C943"/>
      <c r="D943"/>
      <c r="E943" s="69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  <c r="V943"/>
      <c r="W943"/>
      <c r="X943"/>
      <c r="Y943"/>
      <c r="Z943"/>
      <c r="AA943"/>
    </row>
    <row r="944" spans="2:27" s="25" customFormat="1" ht="15.75" customHeight="1" x14ac:dyDescent="0.2">
      <c r="B944" s="89"/>
      <c r="C944"/>
      <c r="D944"/>
      <c r="E944" s="69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  <c r="V944"/>
      <c r="W944"/>
      <c r="X944"/>
      <c r="Y944"/>
      <c r="Z944"/>
      <c r="AA944"/>
    </row>
    <row r="945" spans="2:27" s="25" customFormat="1" ht="15.75" customHeight="1" x14ac:dyDescent="0.2">
      <c r="B945" s="89"/>
      <c r="C945"/>
      <c r="D945"/>
      <c r="E945" s="69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  <c r="U945"/>
      <c r="V945"/>
      <c r="W945"/>
      <c r="X945"/>
      <c r="Y945"/>
      <c r="Z945"/>
      <c r="AA945"/>
    </row>
    <row r="946" spans="2:27" s="25" customFormat="1" ht="15.75" customHeight="1" x14ac:dyDescent="0.2">
      <c r="B946" s="89"/>
      <c r="C946"/>
      <c r="D946"/>
      <c r="E946" s="69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  <c r="V946"/>
      <c r="W946"/>
      <c r="X946"/>
      <c r="Y946"/>
      <c r="Z946"/>
      <c r="AA946"/>
    </row>
    <row r="947" spans="2:27" s="25" customFormat="1" ht="15.75" customHeight="1" x14ac:dyDescent="0.2">
      <c r="B947" s="89"/>
      <c r="C947"/>
      <c r="D947"/>
      <c r="E947" s="69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  <c r="U947"/>
      <c r="V947"/>
      <c r="W947"/>
      <c r="X947"/>
      <c r="Y947"/>
      <c r="Z947"/>
      <c r="AA947"/>
    </row>
    <row r="948" spans="2:27" s="25" customFormat="1" ht="15.75" customHeight="1" x14ac:dyDescent="0.2">
      <c r="B948" s="89"/>
      <c r="C948"/>
      <c r="D948"/>
      <c r="E948" s="69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  <c r="U948"/>
      <c r="V948"/>
      <c r="W948"/>
      <c r="X948"/>
      <c r="Y948"/>
      <c r="Z948"/>
      <c r="AA948"/>
    </row>
    <row r="949" spans="2:27" s="25" customFormat="1" ht="15.75" customHeight="1" x14ac:dyDescent="0.2">
      <c r="B949" s="89"/>
      <c r="C949"/>
      <c r="D949"/>
      <c r="E949" s="6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  <c r="V949"/>
      <c r="W949"/>
      <c r="X949"/>
      <c r="Y949"/>
      <c r="Z949"/>
      <c r="AA949"/>
    </row>
    <row r="950" spans="2:27" s="25" customFormat="1" ht="15.75" customHeight="1" x14ac:dyDescent="0.2">
      <c r="B950" s="89"/>
      <c r="C950"/>
      <c r="D950"/>
      <c r="E950" s="69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  <c r="U950"/>
      <c r="V950"/>
      <c r="W950"/>
      <c r="X950"/>
      <c r="Y950"/>
      <c r="Z950"/>
      <c r="AA950"/>
    </row>
    <row r="951" spans="2:27" s="25" customFormat="1" ht="15.75" customHeight="1" x14ac:dyDescent="0.2">
      <c r="B951" s="89"/>
      <c r="C951"/>
      <c r="D951"/>
      <c r="E951" s="69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  <c r="V951"/>
      <c r="W951"/>
      <c r="X951"/>
      <c r="Y951"/>
      <c r="Z951"/>
      <c r="AA951"/>
    </row>
    <row r="952" spans="2:27" s="25" customFormat="1" ht="15.75" customHeight="1" x14ac:dyDescent="0.2">
      <c r="B952" s="89"/>
      <c r="C952"/>
      <c r="D952"/>
      <c r="E952" s="69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  <c r="U952"/>
      <c r="V952"/>
      <c r="W952"/>
      <c r="X952"/>
      <c r="Y952"/>
      <c r="Z952"/>
      <c r="AA952"/>
    </row>
    <row r="953" spans="2:27" s="25" customFormat="1" ht="15.75" customHeight="1" x14ac:dyDescent="0.2">
      <c r="B953" s="89"/>
      <c r="C953"/>
      <c r="D953"/>
      <c r="E953" s="69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  <c r="U953"/>
      <c r="V953"/>
      <c r="W953"/>
      <c r="X953"/>
      <c r="Y953"/>
      <c r="Z953"/>
      <c r="AA953"/>
    </row>
    <row r="954" spans="2:27" s="25" customFormat="1" ht="15.75" customHeight="1" x14ac:dyDescent="0.2">
      <c r="B954" s="89"/>
      <c r="C954"/>
      <c r="D954"/>
      <c r="E954" s="69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  <c r="V954"/>
      <c r="W954"/>
      <c r="X954"/>
      <c r="Y954"/>
      <c r="Z954"/>
      <c r="AA954"/>
    </row>
    <row r="955" spans="2:27" s="25" customFormat="1" ht="15.75" customHeight="1" x14ac:dyDescent="0.2">
      <c r="B955" s="89"/>
      <c r="C955"/>
      <c r="D955"/>
      <c r="E955" s="69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  <c r="V955"/>
      <c r="W955"/>
      <c r="X955"/>
      <c r="Y955"/>
      <c r="Z955"/>
      <c r="AA955"/>
    </row>
    <row r="956" spans="2:27" s="25" customFormat="1" ht="15.75" customHeight="1" x14ac:dyDescent="0.2">
      <c r="B956" s="89"/>
      <c r="C956"/>
      <c r="D956"/>
      <c r="E956" s="69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  <c r="U956"/>
      <c r="V956"/>
      <c r="W956"/>
      <c r="X956"/>
      <c r="Y956"/>
      <c r="Z956"/>
      <c r="AA956"/>
    </row>
    <row r="957" spans="2:27" s="25" customFormat="1" ht="15.75" customHeight="1" x14ac:dyDescent="0.2">
      <c r="B957" s="89"/>
      <c r="C957"/>
      <c r="D957"/>
      <c r="E957" s="69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  <c r="V957"/>
      <c r="W957"/>
      <c r="X957"/>
      <c r="Y957"/>
      <c r="Z957"/>
      <c r="AA957"/>
    </row>
    <row r="958" spans="2:27" s="25" customFormat="1" ht="15.75" customHeight="1" x14ac:dyDescent="0.2">
      <c r="B958" s="89"/>
      <c r="C958"/>
      <c r="D958"/>
      <c r="E958" s="69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  <c r="V958"/>
      <c r="W958"/>
      <c r="X958"/>
      <c r="Y958"/>
      <c r="Z958"/>
      <c r="AA958"/>
    </row>
    <row r="959" spans="2:27" s="25" customFormat="1" ht="15.75" customHeight="1" x14ac:dyDescent="0.2">
      <c r="B959" s="89"/>
      <c r="C959"/>
      <c r="D959"/>
      <c r="E959" s="6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  <c r="V959"/>
      <c r="W959"/>
      <c r="X959"/>
      <c r="Y959"/>
      <c r="Z959"/>
      <c r="AA959"/>
    </row>
    <row r="960" spans="2:27" s="25" customFormat="1" ht="15.75" customHeight="1" x14ac:dyDescent="0.2">
      <c r="B960" s="89"/>
      <c r="C960"/>
      <c r="D960"/>
      <c r="E960" s="69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  <c r="U960"/>
      <c r="V960"/>
      <c r="W960"/>
      <c r="X960"/>
      <c r="Y960"/>
      <c r="Z960"/>
      <c r="AA960"/>
    </row>
    <row r="961" spans="2:27" s="25" customFormat="1" ht="15.75" customHeight="1" x14ac:dyDescent="0.2">
      <c r="B961" s="89"/>
      <c r="C961"/>
      <c r="D961"/>
      <c r="E961" s="69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  <c r="V961"/>
      <c r="W961"/>
      <c r="X961"/>
      <c r="Y961"/>
      <c r="Z961"/>
      <c r="AA961"/>
    </row>
    <row r="962" spans="2:27" s="25" customFormat="1" ht="15.75" customHeight="1" x14ac:dyDescent="0.2">
      <c r="B962" s="89"/>
      <c r="C962"/>
      <c r="D962"/>
      <c r="E962" s="69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  <c r="V962"/>
      <c r="W962"/>
      <c r="X962"/>
      <c r="Y962"/>
      <c r="Z962"/>
      <c r="AA962"/>
    </row>
    <row r="963" spans="2:27" s="25" customFormat="1" ht="15.75" customHeight="1" x14ac:dyDescent="0.2">
      <c r="B963" s="89"/>
      <c r="C963"/>
      <c r="D963"/>
      <c r="E963" s="69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  <c r="V963"/>
      <c r="W963"/>
      <c r="X963"/>
      <c r="Y963"/>
      <c r="Z963"/>
      <c r="AA963"/>
    </row>
    <row r="964" spans="2:27" s="25" customFormat="1" ht="15.75" customHeight="1" x14ac:dyDescent="0.2">
      <c r="B964" s="89"/>
      <c r="C964"/>
      <c r="D964"/>
      <c r="E964" s="69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  <c r="V964"/>
      <c r="W964"/>
      <c r="X964"/>
      <c r="Y964"/>
      <c r="Z964"/>
      <c r="AA964"/>
    </row>
    <row r="965" spans="2:27" s="25" customFormat="1" ht="15.75" customHeight="1" x14ac:dyDescent="0.2">
      <c r="B965" s="89"/>
      <c r="C965"/>
      <c r="D965"/>
      <c r="E965" s="69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  <c r="T965"/>
      <c r="U965"/>
      <c r="V965"/>
      <c r="W965"/>
      <c r="X965"/>
      <c r="Y965"/>
      <c r="Z965"/>
      <c r="AA965"/>
    </row>
    <row r="966" spans="2:27" s="25" customFormat="1" ht="15.75" customHeight="1" x14ac:dyDescent="0.2">
      <c r="B966" s="89"/>
      <c r="C966"/>
      <c r="D966"/>
      <c r="E966" s="69"/>
      <c r="F966"/>
      <c r="G966"/>
      <c r="H966"/>
      <c r="I966"/>
      <c r="J966"/>
      <c r="K966"/>
      <c r="L966"/>
      <c r="M966"/>
      <c r="N966"/>
      <c r="O966"/>
      <c r="P966"/>
      <c r="Q966"/>
      <c r="R966"/>
      <c r="S966"/>
      <c r="T966"/>
      <c r="U966"/>
      <c r="V966"/>
      <c r="W966"/>
      <c r="X966"/>
      <c r="Y966"/>
      <c r="Z966"/>
      <c r="AA966"/>
    </row>
    <row r="967" spans="2:27" s="25" customFormat="1" ht="15.75" customHeight="1" x14ac:dyDescent="0.2">
      <c r="B967" s="89"/>
      <c r="C967"/>
      <c r="D967"/>
      <c r="E967" s="69"/>
      <c r="F967"/>
      <c r="G967"/>
      <c r="H967"/>
      <c r="I967"/>
      <c r="J967"/>
      <c r="K967"/>
      <c r="L967"/>
      <c r="M967"/>
      <c r="N967"/>
      <c r="O967"/>
      <c r="P967"/>
      <c r="Q967"/>
      <c r="R967"/>
      <c r="S967"/>
      <c r="T967"/>
      <c r="U967"/>
      <c r="V967"/>
      <c r="W967"/>
      <c r="X967"/>
      <c r="Y967"/>
      <c r="Z967"/>
      <c r="AA967"/>
    </row>
    <row r="968" spans="2:27" s="25" customFormat="1" ht="15.75" customHeight="1" x14ac:dyDescent="0.2">
      <c r="B968" s="89"/>
      <c r="C968"/>
      <c r="D968"/>
      <c r="E968" s="69"/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  <c r="U968"/>
      <c r="V968"/>
      <c r="W968"/>
      <c r="X968"/>
      <c r="Y968"/>
      <c r="Z968"/>
      <c r="AA968"/>
    </row>
    <row r="969" spans="2:27" s="25" customFormat="1" ht="15.75" customHeight="1" x14ac:dyDescent="0.2">
      <c r="B969" s="89"/>
      <c r="C969"/>
      <c r="D969"/>
      <c r="E969" s="69"/>
      <c r="F969"/>
      <c r="G969"/>
      <c r="H969"/>
      <c r="I969"/>
      <c r="J969"/>
      <c r="K969"/>
      <c r="L969"/>
      <c r="M969"/>
      <c r="N969"/>
      <c r="O969"/>
      <c r="P969"/>
      <c r="Q969"/>
      <c r="R969"/>
      <c r="S969"/>
      <c r="T969"/>
      <c r="U969"/>
      <c r="V969"/>
      <c r="W969"/>
      <c r="X969"/>
      <c r="Y969"/>
      <c r="Z969"/>
      <c r="AA969"/>
    </row>
    <row r="970" spans="2:27" s="25" customFormat="1" ht="15.75" customHeight="1" x14ac:dyDescent="0.2">
      <c r="B970" s="89"/>
      <c r="C970"/>
      <c r="D970"/>
      <c r="E970" s="69"/>
      <c r="F970"/>
      <c r="G970"/>
      <c r="H970"/>
      <c r="I970"/>
      <c r="J970"/>
      <c r="K970"/>
      <c r="L970"/>
      <c r="M970"/>
      <c r="N970"/>
      <c r="O970"/>
      <c r="P970"/>
      <c r="Q970"/>
      <c r="R970"/>
      <c r="S970"/>
      <c r="T970"/>
      <c r="U970"/>
      <c r="V970"/>
      <c r="W970"/>
      <c r="X970"/>
      <c r="Y970"/>
      <c r="Z970"/>
      <c r="AA970"/>
    </row>
    <row r="971" spans="2:27" s="25" customFormat="1" ht="15.75" customHeight="1" x14ac:dyDescent="0.2">
      <c r="B971" s="89"/>
      <c r="C971"/>
      <c r="D971"/>
      <c r="E971" s="69"/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  <c r="T971"/>
      <c r="U971"/>
      <c r="V971"/>
      <c r="W971"/>
      <c r="X971"/>
      <c r="Y971"/>
      <c r="Z971"/>
      <c r="AA971"/>
    </row>
    <row r="972" spans="2:27" s="25" customFormat="1" ht="15.75" customHeight="1" x14ac:dyDescent="0.2">
      <c r="B972" s="89"/>
      <c r="C972"/>
      <c r="D972"/>
      <c r="E972" s="69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  <c r="U972"/>
      <c r="V972"/>
      <c r="W972"/>
      <c r="X972"/>
      <c r="Y972"/>
      <c r="Z972"/>
      <c r="AA972"/>
    </row>
    <row r="973" spans="2:27" s="25" customFormat="1" ht="15.75" customHeight="1" x14ac:dyDescent="0.2">
      <c r="B973" s="89"/>
      <c r="C973"/>
      <c r="D973"/>
      <c r="E973" s="69"/>
      <c r="F973"/>
      <c r="G973"/>
      <c r="H973"/>
      <c r="I973"/>
      <c r="J973"/>
      <c r="K973"/>
      <c r="L973"/>
      <c r="M973"/>
      <c r="N973"/>
      <c r="O973"/>
      <c r="P973"/>
      <c r="Q973"/>
      <c r="R973"/>
      <c r="S973"/>
      <c r="T973"/>
      <c r="U973"/>
      <c r="V973"/>
      <c r="W973"/>
      <c r="X973"/>
      <c r="Y973"/>
      <c r="Z973"/>
      <c r="AA973"/>
    </row>
    <row r="974" spans="2:27" s="25" customFormat="1" ht="15.75" customHeight="1" x14ac:dyDescent="0.2">
      <c r="B974" s="89"/>
      <c r="C974"/>
      <c r="D974"/>
      <c r="E974" s="69"/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  <c r="T974"/>
      <c r="U974"/>
      <c r="V974"/>
      <c r="W974"/>
      <c r="X974"/>
      <c r="Y974"/>
      <c r="Z974"/>
      <c r="AA974"/>
    </row>
    <row r="975" spans="2:27" s="25" customFormat="1" ht="15.75" customHeight="1" x14ac:dyDescent="0.2">
      <c r="B975" s="89"/>
      <c r="C975"/>
      <c r="D975"/>
      <c r="E975" s="69"/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  <c r="U975"/>
      <c r="V975"/>
      <c r="W975"/>
      <c r="X975"/>
      <c r="Y975"/>
      <c r="Z975"/>
      <c r="AA975"/>
    </row>
    <row r="976" spans="2:27" s="25" customFormat="1" ht="15.75" customHeight="1" x14ac:dyDescent="0.2">
      <c r="B976" s="89"/>
      <c r="C976"/>
      <c r="D976"/>
      <c r="E976" s="69"/>
      <c r="F976"/>
      <c r="G976"/>
      <c r="H976"/>
      <c r="I976"/>
      <c r="J976"/>
      <c r="K976"/>
      <c r="L976"/>
      <c r="M976"/>
      <c r="N976"/>
      <c r="O976"/>
      <c r="P976"/>
      <c r="Q976"/>
      <c r="R976"/>
      <c r="S976"/>
      <c r="T976"/>
      <c r="U976"/>
      <c r="V976"/>
      <c r="W976"/>
      <c r="X976"/>
      <c r="Y976"/>
      <c r="Z976"/>
      <c r="AA976"/>
    </row>
    <row r="977" spans="2:27" s="25" customFormat="1" ht="15.75" customHeight="1" x14ac:dyDescent="0.2">
      <c r="B977" s="89"/>
      <c r="C977"/>
      <c r="D977"/>
      <c r="E977" s="69"/>
      <c r="F977"/>
      <c r="G977"/>
      <c r="H977"/>
      <c r="I977"/>
      <c r="J977"/>
      <c r="K977"/>
      <c r="L977"/>
      <c r="M977"/>
      <c r="N977"/>
      <c r="O977"/>
      <c r="P977"/>
      <c r="Q977"/>
      <c r="R977"/>
      <c r="S977"/>
      <c r="T977"/>
      <c r="U977"/>
      <c r="V977"/>
      <c r="W977"/>
      <c r="X977"/>
      <c r="Y977"/>
      <c r="Z977"/>
      <c r="AA977"/>
    </row>
    <row r="978" spans="2:27" s="25" customFormat="1" ht="15.75" customHeight="1" x14ac:dyDescent="0.2">
      <c r="B978" s="89"/>
      <c r="C978"/>
      <c r="D978"/>
      <c r="E978" s="69"/>
      <c r="F978"/>
      <c r="G978"/>
      <c r="H978"/>
      <c r="I978"/>
      <c r="J978"/>
      <c r="K978"/>
      <c r="L978"/>
      <c r="M978"/>
      <c r="N978"/>
      <c r="O978"/>
      <c r="P978"/>
      <c r="Q978"/>
      <c r="R978"/>
      <c r="S978"/>
      <c r="T978"/>
      <c r="U978"/>
      <c r="V978"/>
      <c r="W978"/>
      <c r="X978"/>
      <c r="Y978"/>
      <c r="Z978"/>
      <c r="AA978"/>
    </row>
    <row r="979" spans="2:27" s="25" customFormat="1" ht="15.75" customHeight="1" x14ac:dyDescent="0.2">
      <c r="B979" s="89"/>
      <c r="C979"/>
      <c r="D979"/>
      <c r="E979" s="69"/>
      <c r="F979"/>
      <c r="G979"/>
      <c r="H979"/>
      <c r="I979"/>
      <c r="J979"/>
      <c r="K979"/>
      <c r="L979"/>
      <c r="M979"/>
      <c r="N979"/>
      <c r="O979"/>
      <c r="P979"/>
      <c r="Q979"/>
      <c r="R979"/>
      <c r="S979"/>
      <c r="T979"/>
      <c r="U979"/>
      <c r="V979"/>
      <c r="W979"/>
      <c r="X979"/>
      <c r="Y979"/>
      <c r="Z979"/>
      <c r="AA979"/>
    </row>
    <row r="980" spans="2:27" s="25" customFormat="1" ht="15.75" customHeight="1" x14ac:dyDescent="0.2">
      <c r="B980" s="89"/>
      <c r="C980"/>
      <c r="D980"/>
      <c r="E980" s="69"/>
      <c r="F980"/>
      <c r="G980"/>
      <c r="H980"/>
      <c r="I980"/>
      <c r="J980"/>
      <c r="K980"/>
      <c r="L980"/>
      <c r="M980"/>
      <c r="N980"/>
      <c r="O980"/>
      <c r="P980"/>
      <c r="Q980"/>
      <c r="R980"/>
      <c r="S980"/>
      <c r="T980"/>
      <c r="U980"/>
      <c r="V980"/>
      <c r="W980"/>
      <c r="X980"/>
      <c r="Y980"/>
      <c r="Z980"/>
      <c r="AA980"/>
    </row>
    <row r="981" spans="2:27" s="25" customFormat="1" ht="15.75" customHeight="1" x14ac:dyDescent="0.2">
      <c r="B981" s="89"/>
      <c r="C981"/>
      <c r="D981"/>
      <c r="E981" s="69"/>
      <c r="F981"/>
      <c r="G981"/>
      <c r="H981"/>
      <c r="I981"/>
      <c r="J981"/>
      <c r="K981"/>
      <c r="L981"/>
      <c r="M981"/>
      <c r="N981"/>
      <c r="O981"/>
      <c r="P981"/>
      <c r="Q981"/>
      <c r="R981"/>
      <c r="S981"/>
      <c r="T981"/>
      <c r="U981"/>
      <c r="V981"/>
      <c r="W981"/>
      <c r="X981"/>
      <c r="Y981"/>
      <c r="Z981"/>
      <c r="AA981"/>
    </row>
    <row r="982" spans="2:27" s="25" customFormat="1" ht="15.75" customHeight="1" x14ac:dyDescent="0.2">
      <c r="B982" s="89"/>
      <c r="C982"/>
      <c r="D982"/>
      <c r="E982" s="69"/>
      <c r="F982"/>
      <c r="G982"/>
      <c r="H982"/>
      <c r="I982"/>
      <c r="J982"/>
      <c r="K982"/>
      <c r="L982"/>
      <c r="M982"/>
      <c r="N982"/>
      <c r="O982"/>
      <c r="P982"/>
      <c r="Q982"/>
      <c r="R982"/>
      <c r="S982"/>
      <c r="T982"/>
      <c r="U982"/>
      <c r="V982"/>
      <c r="W982"/>
      <c r="X982"/>
      <c r="Y982"/>
      <c r="Z982"/>
      <c r="AA982"/>
    </row>
    <row r="983" spans="2:27" s="25" customFormat="1" ht="15.75" customHeight="1" x14ac:dyDescent="0.2">
      <c r="B983" s="89"/>
      <c r="C983"/>
      <c r="D983"/>
      <c r="E983" s="69"/>
      <c r="F983"/>
      <c r="G983"/>
      <c r="H983"/>
      <c r="I983"/>
      <c r="J983"/>
      <c r="K983"/>
      <c r="L983"/>
      <c r="M983"/>
      <c r="N983"/>
      <c r="O983"/>
      <c r="P983"/>
      <c r="Q983"/>
      <c r="R983"/>
      <c r="S983"/>
      <c r="T983"/>
      <c r="U983"/>
      <c r="V983"/>
      <c r="W983"/>
      <c r="X983"/>
      <c r="Y983"/>
      <c r="Z983"/>
      <c r="AA983"/>
    </row>
    <row r="984" spans="2:27" s="25" customFormat="1" ht="15.75" customHeight="1" x14ac:dyDescent="0.2">
      <c r="B984" s="89"/>
      <c r="C984"/>
      <c r="D984"/>
      <c r="E984" s="69"/>
      <c r="F984"/>
      <c r="G984"/>
      <c r="H984"/>
      <c r="I984"/>
      <c r="J984"/>
      <c r="K984"/>
      <c r="L984"/>
      <c r="M984"/>
      <c r="N984"/>
      <c r="O984"/>
      <c r="P984"/>
      <c r="Q984"/>
      <c r="R984"/>
      <c r="S984"/>
      <c r="T984"/>
      <c r="U984"/>
      <c r="V984"/>
      <c r="W984"/>
      <c r="X984"/>
      <c r="Y984"/>
      <c r="Z984"/>
      <c r="AA984"/>
    </row>
    <row r="985" spans="2:27" s="25" customFormat="1" ht="15.75" customHeight="1" x14ac:dyDescent="0.2">
      <c r="B985" s="89"/>
      <c r="C985"/>
      <c r="D985"/>
      <c r="E985" s="69"/>
      <c r="F985"/>
      <c r="G985"/>
      <c r="H985"/>
      <c r="I985"/>
      <c r="J985"/>
      <c r="K985"/>
      <c r="L985"/>
      <c r="M985"/>
      <c r="N985"/>
      <c r="O985"/>
      <c r="P985"/>
      <c r="Q985"/>
      <c r="R985"/>
      <c r="S985"/>
      <c r="T985"/>
      <c r="U985"/>
      <c r="V985"/>
      <c r="W985"/>
      <c r="X985"/>
      <c r="Y985"/>
      <c r="Z985"/>
      <c r="AA985"/>
    </row>
    <row r="986" spans="2:27" s="25" customFormat="1" ht="15.75" customHeight="1" x14ac:dyDescent="0.2">
      <c r="B986" s="89"/>
      <c r="C986"/>
      <c r="D986"/>
      <c r="E986" s="69"/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  <c r="U986"/>
      <c r="V986"/>
      <c r="W986"/>
      <c r="X986"/>
      <c r="Y986"/>
      <c r="Z986"/>
      <c r="AA986"/>
    </row>
    <row r="987" spans="2:27" s="25" customFormat="1" ht="15.75" customHeight="1" x14ac:dyDescent="0.2">
      <c r="B987" s="89"/>
      <c r="C987"/>
      <c r="D987"/>
      <c r="E987" s="69"/>
      <c r="F987"/>
      <c r="G987"/>
      <c r="H987"/>
      <c r="I987"/>
      <c r="J987"/>
      <c r="K987"/>
      <c r="L987"/>
      <c r="M987"/>
      <c r="N987"/>
      <c r="O987"/>
      <c r="P987"/>
      <c r="Q987"/>
      <c r="R987"/>
      <c r="S987"/>
      <c r="T987"/>
      <c r="U987"/>
      <c r="V987"/>
      <c r="W987"/>
      <c r="X987"/>
      <c r="Y987"/>
      <c r="Z987"/>
      <c r="AA987"/>
    </row>
    <row r="988" spans="2:27" s="25" customFormat="1" ht="15.75" customHeight="1" x14ac:dyDescent="0.2">
      <c r="B988" s="89"/>
      <c r="C988"/>
      <c r="D988"/>
      <c r="E988" s="69"/>
      <c r="F988"/>
      <c r="G988"/>
      <c r="H988"/>
      <c r="I988"/>
      <c r="J988"/>
      <c r="K988"/>
      <c r="L988"/>
      <c r="M988"/>
      <c r="N988"/>
      <c r="O988"/>
      <c r="P988"/>
      <c r="Q988"/>
      <c r="R988"/>
      <c r="S988"/>
      <c r="T988"/>
      <c r="U988"/>
      <c r="V988"/>
      <c r="W988"/>
      <c r="X988"/>
      <c r="Y988"/>
      <c r="Z988"/>
      <c r="AA988"/>
    </row>
    <row r="989" spans="2:27" s="25" customFormat="1" ht="15.75" customHeight="1" x14ac:dyDescent="0.2">
      <c r="B989" s="89"/>
      <c r="C989"/>
      <c r="D989"/>
      <c r="E989" s="69"/>
      <c r="F989"/>
      <c r="G989"/>
      <c r="H989"/>
      <c r="I989"/>
      <c r="J989"/>
      <c r="K989"/>
      <c r="L989"/>
      <c r="M989"/>
      <c r="N989"/>
      <c r="O989"/>
      <c r="P989"/>
      <c r="Q989"/>
      <c r="R989"/>
      <c r="S989"/>
      <c r="T989"/>
      <c r="U989"/>
      <c r="V989"/>
      <c r="W989"/>
      <c r="X989"/>
      <c r="Y989"/>
      <c r="Z989"/>
      <c r="AA989"/>
    </row>
    <row r="990" spans="2:27" s="25" customFormat="1" ht="15.75" customHeight="1" x14ac:dyDescent="0.2">
      <c r="B990" s="89"/>
      <c r="C990"/>
      <c r="D990"/>
      <c r="E990" s="69"/>
      <c r="F990"/>
      <c r="G990"/>
      <c r="H990"/>
      <c r="I990"/>
      <c r="J990"/>
      <c r="K990"/>
      <c r="L990"/>
      <c r="M990"/>
      <c r="N990"/>
      <c r="O990"/>
      <c r="P990"/>
      <c r="Q990"/>
      <c r="R990"/>
      <c r="S990"/>
      <c r="T990"/>
      <c r="U990"/>
      <c r="V990"/>
      <c r="W990"/>
      <c r="X990"/>
      <c r="Y990"/>
      <c r="Z990"/>
      <c r="AA990"/>
    </row>
    <row r="991" spans="2:27" s="25" customFormat="1" ht="15.75" customHeight="1" x14ac:dyDescent="0.2">
      <c r="B991" s="89"/>
      <c r="C991"/>
      <c r="D991"/>
      <c r="E991" s="69"/>
      <c r="F991"/>
      <c r="G991"/>
      <c r="H991"/>
      <c r="I991"/>
      <c r="J991"/>
      <c r="K991"/>
      <c r="L991"/>
      <c r="M991"/>
      <c r="N991"/>
      <c r="O991"/>
      <c r="P991"/>
      <c r="Q991"/>
      <c r="R991"/>
      <c r="S991"/>
      <c r="T991"/>
      <c r="U991"/>
      <c r="V991"/>
      <c r="W991"/>
      <c r="X991"/>
      <c r="Y991"/>
      <c r="Z991"/>
      <c r="AA991"/>
    </row>
    <row r="992" spans="2:27" s="25" customFormat="1" ht="15.75" customHeight="1" x14ac:dyDescent="0.2">
      <c r="B992" s="89"/>
      <c r="C992"/>
      <c r="D992"/>
      <c r="E992" s="69"/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  <c r="T992"/>
      <c r="U992"/>
      <c r="V992"/>
      <c r="W992"/>
      <c r="X992"/>
      <c r="Y992"/>
      <c r="Z992"/>
      <c r="AA992"/>
    </row>
    <row r="993" spans="2:27" s="25" customFormat="1" ht="15.75" customHeight="1" x14ac:dyDescent="0.2">
      <c r="B993" s="89"/>
      <c r="C993"/>
      <c r="D993"/>
      <c r="E993" s="69"/>
      <c r="F993"/>
      <c r="G993"/>
      <c r="H993"/>
      <c r="I993"/>
      <c r="J993"/>
      <c r="K993"/>
      <c r="L993"/>
      <c r="M993"/>
      <c r="N993"/>
      <c r="O993"/>
      <c r="P993"/>
      <c r="Q993"/>
      <c r="R993"/>
      <c r="S993"/>
      <c r="T993"/>
      <c r="U993"/>
      <c r="V993"/>
      <c r="W993"/>
      <c r="X993"/>
      <c r="Y993"/>
      <c r="Z993"/>
      <c r="AA993"/>
    </row>
  </sheetData>
  <mergeCells count="11">
    <mergeCell ref="B7:E7"/>
    <mergeCell ref="F7:G7"/>
    <mergeCell ref="B8:E8"/>
    <mergeCell ref="F8:G8"/>
    <mergeCell ref="E1:E3"/>
    <mergeCell ref="B4:E4"/>
    <mergeCell ref="F4:G4"/>
    <mergeCell ref="B5:E5"/>
    <mergeCell ref="F5:G5"/>
    <mergeCell ref="B6:E6"/>
    <mergeCell ref="F6:G6"/>
  </mergeCells>
  <conditionalFormatting sqref="A4:B8 A9:H1048576">
    <cfRule type="expression" dxfId="65" priority="1">
      <formula>ISNUMBER(SEARCH("Holiday", $E4))</formula>
    </cfRule>
    <cfRule type="expression" dxfId="64" priority="2">
      <formula>AND(WEEKDAY($A4,2)&lt;6, $A4&lt;&gt;"")</formula>
    </cfRule>
  </conditionalFormatting>
  <conditionalFormatting sqref="A1:H3">
    <cfRule type="expression" dxfId="63" priority="23">
      <formula>ISNUMBER(SEARCH("Holiday", $E1))</formula>
    </cfRule>
    <cfRule type="expression" dxfId="62" priority="24">
      <formula>AND(WEEKDAY($A1,2)&lt;6, $A1&lt;&gt;"")</formula>
    </cfRule>
  </conditionalFormatting>
  <conditionalFormatting sqref="F4:H8">
    <cfRule type="expression" dxfId="61" priority="3">
      <formula>ISNUMBER(SEARCH("Holiday", $E4))</formula>
    </cfRule>
    <cfRule type="expression" dxfId="60" priority="4">
      <formula>AND(WEEKDAY($A4,2)&lt;6, $A4&lt;&gt;"")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47EF0-2341-43D8-9E56-765F3A956085}">
  <dimension ref="A1:AA999"/>
  <sheetViews>
    <sheetView topLeftCell="A26" workbookViewId="0">
      <selection activeCell="E39" sqref="E39"/>
    </sheetView>
  </sheetViews>
  <sheetFormatPr defaultColWidth="12.5" defaultRowHeight="14.25" x14ac:dyDescent="0.2"/>
  <cols>
    <col min="1" max="1" width="20.25" style="25" bestFit="1" customWidth="1"/>
    <col min="2" max="2" width="7.375" style="89" bestFit="1" customWidth="1"/>
    <col min="3" max="3" width="11" customWidth="1"/>
    <col min="4" max="4" width="11.25" customWidth="1"/>
    <col min="5" max="5" width="28" style="69" customWidth="1"/>
    <col min="7" max="7" width="12" customWidth="1"/>
    <col min="8" max="8" width="19" customWidth="1"/>
    <col min="9" max="9" width="7.75" customWidth="1"/>
    <col min="10" max="10" width="94.25" bestFit="1" customWidth="1"/>
    <col min="11" max="13" width="7.75" customWidth="1"/>
    <col min="14" max="14" width="9" customWidth="1"/>
    <col min="15" max="27" width="7.75" customWidth="1"/>
  </cols>
  <sheetData>
    <row r="1" spans="1:27" ht="17.25" customHeight="1" x14ac:dyDescent="0.25">
      <c r="A1" s="48"/>
      <c r="B1" s="81"/>
      <c r="C1" s="49"/>
      <c r="D1" s="49"/>
      <c r="E1" s="97" t="s">
        <v>0</v>
      </c>
      <c r="F1" s="50"/>
      <c r="G1" s="51"/>
      <c r="H1" s="52"/>
      <c r="K1" s="28"/>
      <c r="L1" s="28"/>
      <c r="M1" s="28"/>
      <c r="N1" s="28"/>
      <c r="O1" s="28"/>
      <c r="P1" s="28"/>
    </row>
    <row r="2" spans="1:27" ht="17.25" customHeight="1" x14ac:dyDescent="0.25">
      <c r="A2" s="53"/>
      <c r="B2" s="82"/>
      <c r="C2" s="54"/>
      <c r="D2" s="54"/>
      <c r="E2" s="98"/>
      <c r="F2" s="55"/>
      <c r="G2" s="56"/>
      <c r="H2" s="57"/>
      <c r="J2" s="26" t="s">
        <v>17</v>
      </c>
      <c r="K2" s="29"/>
      <c r="L2" s="29"/>
      <c r="M2" s="30"/>
      <c r="N2" s="31"/>
      <c r="O2" s="28"/>
      <c r="P2" s="28"/>
    </row>
    <row r="3" spans="1:27" ht="15.75" x14ac:dyDescent="0.25">
      <c r="A3" s="58"/>
      <c r="B3" s="83"/>
      <c r="C3" s="59"/>
      <c r="D3" s="59"/>
      <c r="E3" s="99"/>
      <c r="F3" s="60"/>
      <c r="G3" s="61"/>
      <c r="H3" s="62"/>
      <c r="J3" s="27" t="s">
        <v>18</v>
      </c>
      <c r="K3" s="29"/>
      <c r="L3" s="29"/>
      <c r="M3" s="32"/>
      <c r="N3" s="33"/>
      <c r="O3" s="34"/>
      <c r="P3" s="35"/>
    </row>
    <row r="4" spans="1:27" ht="15" x14ac:dyDescent="0.25">
      <c r="A4" s="21" t="s">
        <v>1</v>
      </c>
      <c r="B4" s="94"/>
      <c r="C4" s="95"/>
      <c r="D4" s="95"/>
      <c r="E4" s="96"/>
      <c r="F4" s="91" t="s">
        <v>2</v>
      </c>
      <c r="G4" s="92"/>
      <c r="H4" s="1"/>
      <c r="J4" s="25"/>
      <c r="K4" s="20"/>
      <c r="L4" s="20"/>
      <c r="M4" s="14"/>
      <c r="N4" s="15"/>
    </row>
    <row r="5" spans="1:27" ht="15" x14ac:dyDescent="0.25">
      <c r="A5" s="21" t="s">
        <v>43</v>
      </c>
      <c r="B5" s="94"/>
      <c r="C5" s="95"/>
      <c r="D5" s="95"/>
      <c r="E5" s="96"/>
      <c r="F5" s="91" t="s">
        <v>3</v>
      </c>
      <c r="G5" s="92"/>
      <c r="H5" s="1"/>
      <c r="J5" s="26" t="s">
        <v>19</v>
      </c>
      <c r="K5" s="19"/>
      <c r="L5" s="19"/>
      <c r="M5" s="14"/>
      <c r="N5" s="15"/>
    </row>
    <row r="6" spans="1:27" ht="15" x14ac:dyDescent="0.25">
      <c r="A6" s="21" t="s">
        <v>4</v>
      </c>
      <c r="B6" s="94"/>
      <c r="C6" s="95"/>
      <c r="D6" s="95"/>
      <c r="E6" s="96"/>
      <c r="F6" s="91" t="s">
        <v>6</v>
      </c>
      <c r="G6" s="92"/>
      <c r="H6" s="1"/>
      <c r="J6" s="26" t="s">
        <v>30</v>
      </c>
      <c r="K6" s="19"/>
      <c r="L6" s="19"/>
      <c r="M6" s="14"/>
      <c r="N6" s="15"/>
    </row>
    <row r="7" spans="1:27" ht="15" x14ac:dyDescent="0.25">
      <c r="A7" s="21" t="s">
        <v>5</v>
      </c>
      <c r="B7" s="94"/>
      <c r="C7" s="95"/>
      <c r="D7" s="95"/>
      <c r="E7" s="96"/>
      <c r="F7" s="91" t="s">
        <v>8</v>
      </c>
      <c r="G7" s="92"/>
      <c r="H7" s="1"/>
    </row>
    <row r="8" spans="1:27" ht="15" x14ac:dyDescent="0.25">
      <c r="A8" s="21" t="s">
        <v>7</v>
      </c>
      <c r="B8" s="94"/>
      <c r="C8" s="95"/>
      <c r="D8" s="95"/>
      <c r="E8" s="96"/>
      <c r="F8" s="93"/>
      <c r="G8" s="92"/>
      <c r="H8" s="2"/>
    </row>
    <row r="9" spans="1:27" ht="15" x14ac:dyDescent="0.25">
      <c r="A9" s="78"/>
      <c r="B9" s="84"/>
      <c r="C9" s="77"/>
      <c r="D9" s="77"/>
      <c r="E9" s="77"/>
      <c r="F9" s="77"/>
      <c r="G9" s="77"/>
      <c r="H9" s="77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ht="15" x14ac:dyDescent="0.25">
      <c r="A10" s="40" t="s">
        <v>9</v>
      </c>
      <c r="B10" s="85" t="s">
        <v>31</v>
      </c>
      <c r="C10" s="41" t="s">
        <v>10</v>
      </c>
      <c r="D10" s="41" t="s">
        <v>11</v>
      </c>
      <c r="E10" s="42" t="s">
        <v>12</v>
      </c>
      <c r="F10" s="43" t="s">
        <v>13</v>
      </c>
      <c r="G10" s="42" t="s">
        <v>14</v>
      </c>
      <c r="H10" s="42" t="s">
        <v>15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1:27" s="37" customFormat="1" ht="15" x14ac:dyDescent="0.25">
      <c r="A11" s="75">
        <f>'February 2026'!A50+1</f>
        <v>46082</v>
      </c>
      <c r="B11" s="79">
        <f>WEEKNUM(A11, 2)</f>
        <v>9</v>
      </c>
      <c r="C11" s="71"/>
      <c r="D11" s="71"/>
      <c r="E11" s="76"/>
      <c r="F11" s="73"/>
      <c r="G11" s="73"/>
      <c r="H11" s="73">
        <f t="shared" ref="H11" si="0">SUM(F11:G11)</f>
        <v>0</v>
      </c>
    </row>
    <row r="12" spans="1:27" s="28" customFormat="1" ht="15.75" customHeight="1" x14ac:dyDescent="0.2">
      <c r="A12" s="44" t="s">
        <v>34</v>
      </c>
      <c r="B12" s="80"/>
      <c r="C12" s="45"/>
      <c r="D12" s="45"/>
      <c r="E12" s="63"/>
      <c r="F12" s="46">
        <f ca="1">SUMIF($B:$E,RIGHT($A12,1),F:F)</f>
        <v>0</v>
      </c>
      <c r="G12" s="46">
        <f ca="1">SUMIF($B:$E,RIGHT($A12,1),G:G)</f>
        <v>0</v>
      </c>
      <c r="H12" s="47">
        <f ca="1">SUMIF($B:$E,RIGHT($A12,1),H:H)</f>
        <v>0</v>
      </c>
    </row>
    <row r="13" spans="1:27" s="28" customFormat="1" ht="15.75" customHeight="1" x14ac:dyDescent="0.2">
      <c r="A13" s="36"/>
      <c r="B13" s="86"/>
      <c r="C13" s="34"/>
      <c r="D13" s="34"/>
      <c r="E13" s="64"/>
      <c r="F13" s="38"/>
      <c r="G13" s="38"/>
      <c r="H13" s="39"/>
    </row>
    <row r="14" spans="1:27" ht="15" x14ac:dyDescent="0.25">
      <c r="A14" s="40" t="s">
        <v>9</v>
      </c>
      <c r="B14" s="85" t="s">
        <v>31</v>
      </c>
      <c r="C14" s="41" t="s">
        <v>10</v>
      </c>
      <c r="D14" s="41" t="s">
        <v>11</v>
      </c>
      <c r="E14" s="42" t="s">
        <v>12</v>
      </c>
      <c r="F14" s="43" t="s">
        <v>13</v>
      </c>
      <c r="G14" s="42" t="s">
        <v>14</v>
      </c>
      <c r="H14" s="42" t="s">
        <v>15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spans="1:27" s="37" customFormat="1" ht="15" x14ac:dyDescent="0.25">
      <c r="A15" s="70">
        <f>A11+1</f>
        <v>46083</v>
      </c>
      <c r="B15" s="79">
        <f t="shared" ref="B15:B18" si="1">WEEKNUM(A15, 2)</f>
        <v>10</v>
      </c>
      <c r="C15" s="71"/>
      <c r="D15" s="71"/>
      <c r="E15" s="72"/>
      <c r="F15" s="73"/>
      <c r="G15" s="73"/>
      <c r="H15" s="73">
        <f>SUM(F15:G15)</f>
        <v>0</v>
      </c>
    </row>
    <row r="16" spans="1:27" s="37" customFormat="1" ht="15" x14ac:dyDescent="0.25">
      <c r="A16" s="70">
        <f>A15+1</f>
        <v>46084</v>
      </c>
      <c r="B16" s="79">
        <f t="shared" si="1"/>
        <v>10</v>
      </c>
      <c r="C16" s="71"/>
      <c r="D16" s="71"/>
      <c r="E16" s="72"/>
      <c r="F16" s="73"/>
      <c r="G16" s="73"/>
      <c r="H16" s="73">
        <f t="shared" ref="H16:H18" si="2">SUM(F16:G16)</f>
        <v>0</v>
      </c>
    </row>
    <row r="17" spans="1:27" s="37" customFormat="1" ht="15" x14ac:dyDescent="0.25">
      <c r="A17" s="70">
        <f t="shared" ref="A17:A18" si="3">A16+1</f>
        <v>46085</v>
      </c>
      <c r="B17" s="79">
        <f t="shared" si="1"/>
        <v>10</v>
      </c>
      <c r="C17" s="71"/>
      <c r="D17" s="71"/>
      <c r="E17" s="72"/>
      <c r="F17" s="73"/>
      <c r="G17" s="73"/>
      <c r="H17" s="73">
        <f t="shared" si="2"/>
        <v>0</v>
      </c>
    </row>
    <row r="18" spans="1:27" ht="15.75" customHeight="1" x14ac:dyDescent="0.25">
      <c r="A18" s="70">
        <f t="shared" si="3"/>
        <v>46086</v>
      </c>
      <c r="B18" s="79">
        <f t="shared" si="1"/>
        <v>10</v>
      </c>
      <c r="C18" s="71"/>
      <c r="D18" s="71"/>
      <c r="E18" s="72"/>
      <c r="F18" s="73"/>
      <c r="G18" s="73"/>
      <c r="H18" s="73">
        <f t="shared" si="2"/>
        <v>0</v>
      </c>
    </row>
    <row r="19" spans="1:27" ht="15.75" customHeight="1" x14ac:dyDescent="0.25">
      <c r="A19" s="70">
        <f>A18+1</f>
        <v>46087</v>
      </c>
      <c r="B19" s="79">
        <f>WEEKNUM(A19, 2)</f>
        <v>10</v>
      </c>
      <c r="C19" s="71"/>
      <c r="D19" s="71"/>
      <c r="E19" s="74"/>
      <c r="F19" s="73"/>
      <c r="G19" s="73"/>
      <c r="H19" s="73">
        <f>SUM(F19:G19)</f>
        <v>0</v>
      </c>
    </row>
    <row r="20" spans="1:27" ht="15.75" customHeight="1" x14ac:dyDescent="0.25">
      <c r="A20" s="70">
        <f>A19+1</f>
        <v>46088</v>
      </c>
      <c r="B20" s="79">
        <f t="shared" ref="B20:B28" si="4">WEEKNUM(A20, 2)</f>
        <v>10</v>
      </c>
      <c r="C20" s="71"/>
      <c r="D20" s="71"/>
      <c r="E20" s="72"/>
      <c r="F20" s="73"/>
      <c r="G20" s="73"/>
      <c r="H20" s="73">
        <f>SUM(F20:G20)</f>
        <v>0</v>
      </c>
    </row>
    <row r="21" spans="1:27" ht="15.75" customHeight="1" x14ac:dyDescent="0.25">
      <c r="A21" s="70">
        <f>A20+1</f>
        <v>46089</v>
      </c>
      <c r="B21" s="79">
        <f t="shared" si="4"/>
        <v>10</v>
      </c>
      <c r="C21" s="71"/>
      <c r="D21" s="71"/>
      <c r="E21" s="74"/>
      <c r="F21" s="73"/>
      <c r="G21" s="73"/>
      <c r="H21" s="73">
        <f t="shared" ref="H21:H28" si="5">SUM(F21:G21)</f>
        <v>0</v>
      </c>
    </row>
    <row r="22" spans="1:27" s="28" customFormat="1" ht="15.75" customHeight="1" x14ac:dyDescent="0.2">
      <c r="A22" s="44" t="str">
        <f>"Total of Week "&amp;RIGHT(A12,2)+1</f>
        <v>Total of Week 10</v>
      </c>
      <c r="B22" s="80"/>
      <c r="C22" s="45"/>
      <c r="D22" s="45"/>
      <c r="E22" s="63"/>
      <c r="F22" s="46">
        <f ca="1">SUMIF($B:$E,RIGHT($A22,2),F:F)</f>
        <v>0</v>
      </c>
      <c r="G22" s="46">
        <f ca="1">SUMIF($B:$E,RIGHT($A22,2),G:G)</f>
        <v>0</v>
      </c>
      <c r="H22" s="47">
        <f ca="1">SUMIF($B:$E,RIGHT($A22,2),H:H)</f>
        <v>0</v>
      </c>
    </row>
    <row r="23" spans="1:27" ht="15.75" customHeight="1" x14ac:dyDescent="0.25">
      <c r="A23" s="22"/>
      <c r="B23" s="87"/>
      <c r="C23" s="5"/>
      <c r="D23" s="5"/>
      <c r="E23" s="65"/>
      <c r="F23" s="6"/>
      <c r="G23" s="5"/>
      <c r="H23" s="7"/>
    </row>
    <row r="24" spans="1:27" ht="15" x14ac:dyDescent="0.25">
      <c r="A24" s="40" t="s">
        <v>9</v>
      </c>
      <c r="B24" s="85" t="s">
        <v>31</v>
      </c>
      <c r="C24" s="41" t="s">
        <v>10</v>
      </c>
      <c r="D24" s="41" t="s">
        <v>11</v>
      </c>
      <c r="E24" s="42" t="s">
        <v>12</v>
      </c>
      <c r="F24" s="43" t="s">
        <v>13</v>
      </c>
      <c r="G24" s="42" t="s">
        <v>14</v>
      </c>
      <c r="H24" s="42" t="s">
        <v>15</v>
      </c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spans="1:27" ht="15.75" customHeight="1" x14ac:dyDescent="0.25">
      <c r="A25" s="70">
        <f>A21+1</f>
        <v>46090</v>
      </c>
      <c r="B25" s="79">
        <f t="shared" si="4"/>
        <v>11</v>
      </c>
      <c r="C25" s="71"/>
      <c r="D25" s="71"/>
      <c r="E25" s="72"/>
      <c r="F25" s="73"/>
      <c r="G25" s="73"/>
      <c r="H25" s="73">
        <f t="shared" si="5"/>
        <v>0</v>
      </c>
    </row>
    <row r="26" spans="1:27" ht="15.75" customHeight="1" x14ac:dyDescent="0.25">
      <c r="A26" s="70">
        <f>A25+1</f>
        <v>46091</v>
      </c>
      <c r="B26" s="79">
        <f t="shared" si="4"/>
        <v>11</v>
      </c>
      <c r="C26" s="71"/>
      <c r="D26" s="71"/>
      <c r="E26" s="74"/>
      <c r="F26" s="73"/>
      <c r="G26" s="73"/>
      <c r="H26" s="73">
        <f t="shared" si="5"/>
        <v>0</v>
      </c>
    </row>
    <row r="27" spans="1:27" ht="15.75" customHeight="1" x14ac:dyDescent="0.25">
      <c r="A27" s="70">
        <f t="shared" ref="A27:A28" si="6">A26+1</f>
        <v>46092</v>
      </c>
      <c r="B27" s="79">
        <f>WEEKNUM(A27, 2)</f>
        <v>11</v>
      </c>
      <c r="C27" s="71"/>
      <c r="D27" s="71"/>
      <c r="E27" s="72"/>
      <c r="F27" s="73"/>
      <c r="G27" s="73"/>
      <c r="H27" s="73">
        <f t="shared" si="5"/>
        <v>0</v>
      </c>
    </row>
    <row r="28" spans="1:27" ht="15.75" customHeight="1" x14ac:dyDescent="0.25">
      <c r="A28" s="70">
        <f t="shared" si="6"/>
        <v>46093</v>
      </c>
      <c r="B28" s="79">
        <f t="shared" si="4"/>
        <v>11</v>
      </c>
      <c r="C28" s="71"/>
      <c r="D28" s="71"/>
      <c r="E28" s="72"/>
      <c r="F28" s="73"/>
      <c r="G28" s="73"/>
      <c r="H28" s="73">
        <f t="shared" si="5"/>
        <v>0</v>
      </c>
    </row>
    <row r="29" spans="1:27" ht="15.75" customHeight="1" x14ac:dyDescent="0.25">
      <c r="A29" s="70">
        <f>A28+1</f>
        <v>46094</v>
      </c>
      <c r="B29" s="79">
        <f>WEEKNUM(A29, 2)</f>
        <v>11</v>
      </c>
      <c r="C29" s="71"/>
      <c r="D29" s="71"/>
      <c r="E29" s="74"/>
      <c r="F29" s="73"/>
      <c r="G29" s="73"/>
      <c r="H29" s="73">
        <f>SUM(F29:G29)</f>
        <v>0</v>
      </c>
    </row>
    <row r="30" spans="1:27" ht="15.75" customHeight="1" x14ac:dyDescent="0.25">
      <c r="A30" s="70">
        <f>A29+1</f>
        <v>46095</v>
      </c>
      <c r="B30" s="79">
        <f t="shared" ref="B30:B38" si="7">WEEKNUM(A30, 2)</f>
        <v>11</v>
      </c>
      <c r="C30" s="71"/>
      <c r="D30" s="71"/>
      <c r="E30" s="72"/>
      <c r="F30" s="73"/>
      <c r="G30" s="73"/>
      <c r="H30" s="73">
        <f>SUM(F30:G30)</f>
        <v>0</v>
      </c>
    </row>
    <row r="31" spans="1:27" ht="15.75" customHeight="1" x14ac:dyDescent="0.25">
      <c r="A31" s="70">
        <f>A30+1</f>
        <v>46096</v>
      </c>
      <c r="B31" s="79">
        <f t="shared" si="7"/>
        <v>11</v>
      </c>
      <c r="C31" s="71"/>
      <c r="D31" s="71"/>
      <c r="E31" s="74"/>
      <c r="F31" s="73"/>
      <c r="G31" s="73"/>
      <c r="H31" s="73">
        <f t="shared" ref="H31:H38" si="8">SUM(F31:G31)</f>
        <v>0</v>
      </c>
    </row>
    <row r="32" spans="1:27" s="28" customFormat="1" ht="15.75" customHeight="1" x14ac:dyDescent="0.2">
      <c r="A32" s="44" t="str">
        <f>"Total of Week "&amp;RIGHT(A22,2)+1</f>
        <v>Total of Week 11</v>
      </c>
      <c r="B32" s="80"/>
      <c r="C32" s="45"/>
      <c r="D32" s="45"/>
      <c r="E32" s="63"/>
      <c r="F32" s="46">
        <f ca="1">SUMIF($B:$E,RIGHT($A32,2),F:F)</f>
        <v>0</v>
      </c>
      <c r="G32" s="46">
        <f ca="1">SUMIF($B:$E,RIGHT($A32,2),G:G)</f>
        <v>0</v>
      </c>
      <c r="H32" s="47">
        <f ca="1">SUMIF($B:$E,RIGHT($A32,2),H:H)</f>
        <v>0</v>
      </c>
    </row>
    <row r="33" spans="1:27" ht="15.75" customHeight="1" x14ac:dyDescent="0.25">
      <c r="A33" s="22"/>
      <c r="B33" s="87"/>
      <c r="C33" s="5"/>
      <c r="D33" s="5"/>
      <c r="E33" s="65"/>
      <c r="F33" s="6"/>
      <c r="G33" s="5"/>
      <c r="H33" s="7"/>
    </row>
    <row r="34" spans="1:27" ht="15" x14ac:dyDescent="0.25">
      <c r="A34" s="40" t="s">
        <v>9</v>
      </c>
      <c r="B34" s="85" t="s">
        <v>31</v>
      </c>
      <c r="C34" s="41" t="s">
        <v>10</v>
      </c>
      <c r="D34" s="41" t="s">
        <v>11</v>
      </c>
      <c r="E34" s="42" t="s">
        <v>12</v>
      </c>
      <c r="F34" s="43" t="s">
        <v>13</v>
      </c>
      <c r="G34" s="42" t="s">
        <v>14</v>
      </c>
      <c r="H34" s="42" t="s">
        <v>15</v>
      </c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spans="1:27" ht="15.75" customHeight="1" x14ac:dyDescent="0.25">
      <c r="A35" s="70">
        <f>A31+1</f>
        <v>46097</v>
      </c>
      <c r="B35" s="79">
        <f t="shared" si="7"/>
        <v>12</v>
      </c>
      <c r="C35" s="71"/>
      <c r="D35" s="71"/>
      <c r="E35" s="72"/>
      <c r="F35" s="73"/>
      <c r="G35" s="73"/>
      <c r="H35" s="73">
        <f t="shared" si="8"/>
        <v>0</v>
      </c>
    </row>
    <row r="36" spans="1:27" ht="15.75" customHeight="1" x14ac:dyDescent="0.25">
      <c r="A36" s="70">
        <f>A35+1</f>
        <v>46098</v>
      </c>
      <c r="B36" s="79">
        <f t="shared" si="7"/>
        <v>12</v>
      </c>
      <c r="C36" s="71"/>
      <c r="D36" s="71"/>
      <c r="E36" s="74"/>
      <c r="F36" s="73"/>
      <c r="G36" s="73"/>
      <c r="H36" s="73">
        <f t="shared" si="8"/>
        <v>0</v>
      </c>
    </row>
    <row r="37" spans="1:27" ht="15.75" customHeight="1" x14ac:dyDescent="0.25">
      <c r="A37" s="70">
        <f t="shared" ref="A37:A38" si="9">A36+1</f>
        <v>46099</v>
      </c>
      <c r="B37" s="79">
        <f>WEEKNUM(A37, 2)</f>
        <v>12</v>
      </c>
      <c r="C37" s="71"/>
      <c r="D37" s="71"/>
      <c r="E37" s="72"/>
      <c r="F37" s="73"/>
      <c r="G37" s="73"/>
      <c r="H37" s="73">
        <f t="shared" si="8"/>
        <v>0</v>
      </c>
    </row>
    <row r="38" spans="1:27" ht="15.75" customHeight="1" x14ac:dyDescent="0.25">
      <c r="A38" s="70">
        <f t="shared" si="9"/>
        <v>46100</v>
      </c>
      <c r="B38" s="79">
        <f t="shared" si="7"/>
        <v>12</v>
      </c>
      <c r="C38" s="71"/>
      <c r="D38" s="71"/>
      <c r="E38" s="72"/>
      <c r="F38" s="73"/>
      <c r="G38" s="73"/>
      <c r="H38" s="73">
        <f t="shared" si="8"/>
        <v>0</v>
      </c>
    </row>
    <row r="39" spans="1:27" ht="15.75" customHeight="1" x14ac:dyDescent="0.25">
      <c r="A39" s="70">
        <f>A38+1</f>
        <v>46101</v>
      </c>
      <c r="B39" s="79">
        <f>WEEKNUM(A39, 2)</f>
        <v>12</v>
      </c>
      <c r="C39" s="71"/>
      <c r="D39" s="71"/>
      <c r="E39" s="74"/>
      <c r="F39" s="73"/>
      <c r="G39" s="73"/>
      <c r="H39" s="73">
        <f>SUM(F39:G39)</f>
        <v>0</v>
      </c>
    </row>
    <row r="40" spans="1:27" ht="15.75" customHeight="1" x14ac:dyDescent="0.25">
      <c r="A40" s="70">
        <f>A39+1</f>
        <v>46102</v>
      </c>
      <c r="B40" s="79">
        <f t="shared" ref="B40:B48" si="10">WEEKNUM(A40, 2)</f>
        <v>12</v>
      </c>
      <c r="C40" s="71"/>
      <c r="D40" s="71"/>
      <c r="E40" s="72"/>
      <c r="F40" s="73"/>
      <c r="G40" s="73"/>
      <c r="H40" s="73">
        <f>SUM(F40:G40)</f>
        <v>0</v>
      </c>
    </row>
    <row r="41" spans="1:27" ht="15.75" customHeight="1" x14ac:dyDescent="0.25">
      <c r="A41" s="70">
        <f>A40+1</f>
        <v>46103</v>
      </c>
      <c r="B41" s="79">
        <f t="shared" si="10"/>
        <v>12</v>
      </c>
      <c r="C41" s="71"/>
      <c r="D41" s="71"/>
      <c r="E41" s="74"/>
      <c r="F41" s="73"/>
      <c r="G41" s="73"/>
      <c r="H41" s="73">
        <f t="shared" ref="H41:H48" si="11">SUM(F41:G41)</f>
        <v>0</v>
      </c>
    </row>
    <row r="42" spans="1:27" s="28" customFormat="1" ht="15.75" customHeight="1" x14ac:dyDescent="0.2">
      <c r="A42" s="44" t="str">
        <f>"Total of Week "&amp;RIGHT(A32,2)+1</f>
        <v>Total of Week 12</v>
      </c>
      <c r="B42" s="80"/>
      <c r="C42" s="45"/>
      <c r="D42" s="45"/>
      <c r="E42" s="63"/>
      <c r="F42" s="46">
        <f ca="1">SUMIF($B:$E,RIGHT($A42,2),F:F)</f>
        <v>0</v>
      </c>
      <c r="G42" s="46">
        <f ca="1">SUMIF($B:$E,RIGHT($A42,2),G:G)</f>
        <v>0</v>
      </c>
      <c r="H42" s="47">
        <f ca="1">SUMIF($B:$E,RIGHT($A42,2),H:H)</f>
        <v>0</v>
      </c>
    </row>
    <row r="43" spans="1:27" ht="15.75" customHeight="1" x14ac:dyDescent="0.25">
      <c r="A43" s="22"/>
      <c r="B43" s="87"/>
      <c r="C43" s="5"/>
      <c r="D43" s="5"/>
      <c r="E43" s="65"/>
      <c r="F43" s="6"/>
      <c r="G43" s="5"/>
      <c r="H43" s="7"/>
    </row>
    <row r="44" spans="1:27" ht="15" x14ac:dyDescent="0.25">
      <c r="A44" s="40" t="s">
        <v>9</v>
      </c>
      <c r="B44" s="85" t="s">
        <v>31</v>
      </c>
      <c r="C44" s="41" t="s">
        <v>10</v>
      </c>
      <c r="D44" s="41" t="s">
        <v>11</v>
      </c>
      <c r="E44" s="42" t="s">
        <v>12</v>
      </c>
      <c r="F44" s="43" t="s">
        <v>13</v>
      </c>
      <c r="G44" s="42" t="s">
        <v>14</v>
      </c>
      <c r="H44" s="42" t="s">
        <v>15</v>
      </c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spans="1:27" ht="15.75" customHeight="1" x14ac:dyDescent="0.25">
      <c r="A45" s="70">
        <f>A41+1</f>
        <v>46104</v>
      </c>
      <c r="B45" s="79">
        <f t="shared" si="10"/>
        <v>13</v>
      </c>
      <c r="C45" s="71"/>
      <c r="D45" s="71"/>
      <c r="E45" s="72"/>
      <c r="F45" s="73"/>
      <c r="G45" s="73"/>
      <c r="H45" s="73">
        <f t="shared" si="11"/>
        <v>0</v>
      </c>
    </row>
    <row r="46" spans="1:27" ht="15.75" customHeight="1" x14ac:dyDescent="0.25">
      <c r="A46" s="70">
        <f>A45+1</f>
        <v>46105</v>
      </c>
      <c r="B46" s="79">
        <f t="shared" si="10"/>
        <v>13</v>
      </c>
      <c r="C46" s="71"/>
      <c r="D46" s="71"/>
      <c r="E46" s="74"/>
      <c r="F46" s="73"/>
      <c r="G46" s="73"/>
      <c r="H46" s="73">
        <f t="shared" si="11"/>
        <v>0</v>
      </c>
    </row>
    <row r="47" spans="1:27" ht="15.75" customHeight="1" x14ac:dyDescent="0.25">
      <c r="A47" s="70">
        <f t="shared" ref="A47:A48" si="12">A46+1</f>
        <v>46106</v>
      </c>
      <c r="B47" s="79">
        <f>WEEKNUM(A47, 2)</f>
        <v>13</v>
      </c>
      <c r="C47" s="71"/>
      <c r="D47" s="71"/>
      <c r="E47" s="72"/>
      <c r="F47" s="73"/>
      <c r="G47" s="73"/>
      <c r="H47" s="73">
        <f t="shared" si="11"/>
        <v>0</v>
      </c>
    </row>
    <row r="48" spans="1:27" ht="15.75" customHeight="1" x14ac:dyDescent="0.25">
      <c r="A48" s="70">
        <f t="shared" si="12"/>
        <v>46107</v>
      </c>
      <c r="B48" s="79">
        <f t="shared" si="10"/>
        <v>13</v>
      </c>
      <c r="C48" s="71"/>
      <c r="D48" s="71"/>
      <c r="E48" s="72"/>
      <c r="F48" s="73"/>
      <c r="G48" s="73"/>
      <c r="H48" s="73">
        <f t="shared" si="11"/>
        <v>0</v>
      </c>
    </row>
    <row r="49" spans="1:27" ht="15.75" customHeight="1" x14ac:dyDescent="0.25">
      <c r="A49" s="70">
        <f>A48+1</f>
        <v>46108</v>
      </c>
      <c r="B49" s="79">
        <f>WEEKNUM(A49, 2)</f>
        <v>13</v>
      </c>
      <c r="C49" s="71"/>
      <c r="D49" s="71"/>
      <c r="E49" s="74"/>
      <c r="F49" s="73"/>
      <c r="G49" s="73"/>
      <c r="H49" s="73">
        <f>SUM(F49:G49)</f>
        <v>0</v>
      </c>
    </row>
    <row r="50" spans="1:27" ht="15.75" customHeight="1" x14ac:dyDescent="0.25">
      <c r="A50" s="70">
        <f>A49+1</f>
        <v>46109</v>
      </c>
      <c r="B50" s="79">
        <f t="shared" ref="B50:B56" si="13">WEEKNUM(A50, 2)</f>
        <v>13</v>
      </c>
      <c r="C50" s="71"/>
      <c r="D50" s="71"/>
      <c r="E50" s="72"/>
      <c r="F50" s="73"/>
      <c r="G50" s="73"/>
      <c r="H50" s="73">
        <f>SUM(F50:G50)</f>
        <v>0</v>
      </c>
    </row>
    <row r="51" spans="1:27" ht="15.75" customHeight="1" x14ac:dyDescent="0.25">
      <c r="A51" s="70">
        <f>A50+1</f>
        <v>46110</v>
      </c>
      <c r="B51" s="79">
        <f t="shared" si="13"/>
        <v>13</v>
      </c>
      <c r="C51" s="71"/>
      <c r="D51" s="71"/>
      <c r="E51" s="74"/>
      <c r="F51" s="73"/>
      <c r="G51" s="73"/>
      <c r="H51" s="73">
        <f t="shared" ref="H51:H55" si="14">SUM(F51:G51)</f>
        <v>0</v>
      </c>
    </row>
    <row r="52" spans="1:27" s="28" customFormat="1" ht="15.75" customHeight="1" x14ac:dyDescent="0.2">
      <c r="A52" s="44" t="str">
        <f>"Total of Week "&amp;RIGHT(A42,2)+1</f>
        <v>Total of Week 13</v>
      </c>
      <c r="B52" s="80"/>
      <c r="C52" s="45"/>
      <c r="D52" s="45"/>
      <c r="E52" s="63"/>
      <c r="F52" s="46">
        <f ca="1">SUMIF($B:$E,RIGHT($A52,2),F:F)</f>
        <v>0</v>
      </c>
      <c r="G52" s="46">
        <f ca="1">SUMIF($B:$E,RIGHT($A52,2),G:G)</f>
        <v>0</v>
      </c>
      <c r="H52" s="47">
        <f ca="1">SUMIF($B:$E,RIGHT($A52,2),H:H)</f>
        <v>0</v>
      </c>
    </row>
    <row r="53" spans="1:27" ht="15.75" customHeight="1" x14ac:dyDescent="0.25">
      <c r="A53" s="22"/>
      <c r="B53" s="87"/>
      <c r="C53" s="5"/>
      <c r="D53" s="5"/>
      <c r="E53" s="65"/>
      <c r="F53" s="6"/>
      <c r="G53" s="5"/>
      <c r="H53" s="7"/>
    </row>
    <row r="54" spans="1:27" ht="15" x14ac:dyDescent="0.25">
      <c r="A54" s="40" t="s">
        <v>9</v>
      </c>
      <c r="B54" s="85" t="s">
        <v>31</v>
      </c>
      <c r="C54" s="41" t="s">
        <v>10</v>
      </c>
      <c r="D54" s="41" t="s">
        <v>11</v>
      </c>
      <c r="E54" s="42" t="s">
        <v>12</v>
      </c>
      <c r="F54" s="43" t="s">
        <v>13</v>
      </c>
      <c r="G54" s="42" t="s">
        <v>14</v>
      </c>
      <c r="H54" s="42" t="s">
        <v>15</v>
      </c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spans="1:27" ht="15.75" customHeight="1" x14ac:dyDescent="0.25">
      <c r="A55" s="70">
        <f t="shared" ref="A55" si="15">A51+1</f>
        <v>46111</v>
      </c>
      <c r="B55" s="79">
        <f t="shared" si="13"/>
        <v>14</v>
      </c>
      <c r="C55" s="71"/>
      <c r="D55" s="71"/>
      <c r="E55" s="72"/>
      <c r="F55" s="73"/>
      <c r="G55" s="73"/>
      <c r="H55" s="73">
        <f t="shared" si="14"/>
        <v>0</v>
      </c>
    </row>
    <row r="56" spans="1:27" ht="15.75" customHeight="1" x14ac:dyDescent="0.25">
      <c r="A56" s="70">
        <f>A55+1</f>
        <v>46112</v>
      </c>
      <c r="B56" s="79">
        <f t="shared" si="13"/>
        <v>14</v>
      </c>
      <c r="C56" s="71"/>
      <c r="D56" s="71"/>
      <c r="E56" s="74"/>
      <c r="F56" s="73"/>
      <c r="G56" s="73"/>
      <c r="H56" s="73">
        <f t="shared" ref="H56" si="16">SUM(F56:G56)</f>
        <v>0</v>
      </c>
    </row>
    <row r="57" spans="1:27" s="28" customFormat="1" ht="15.75" customHeight="1" x14ac:dyDescent="0.2">
      <c r="A57" s="44" t="str">
        <f>"Total of Week "&amp;RIGHT(A52,2)+1</f>
        <v>Total of Week 14</v>
      </c>
      <c r="B57" s="80"/>
      <c r="C57" s="45"/>
      <c r="D57" s="45"/>
      <c r="E57" s="63"/>
      <c r="F57" s="46">
        <f ca="1">SUMIF($B:$E,RIGHT($A57,2),F:F)</f>
        <v>0</v>
      </c>
      <c r="G57" s="46">
        <f ca="1">SUMIF($B:$E,RIGHT($A57,2),G:G)</f>
        <v>0</v>
      </c>
      <c r="H57" s="47">
        <f ca="1">SUMIF($B:$E,RIGHT($A57,2),H:H)</f>
        <v>0</v>
      </c>
    </row>
    <row r="58" spans="1:27" ht="12" customHeight="1" x14ac:dyDescent="0.25">
      <c r="A58" s="23"/>
      <c r="B58" s="84"/>
      <c r="C58" s="8"/>
      <c r="D58" s="8"/>
      <c r="E58" s="66"/>
      <c r="F58" s="9"/>
      <c r="G58" s="9"/>
      <c r="H58" s="10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 ht="15.75" customHeight="1" x14ac:dyDescent="0.25">
      <c r="A59" s="24" t="s">
        <v>16</v>
      </c>
      <c r="B59" s="88"/>
      <c r="C59" s="11"/>
      <c r="D59" s="11"/>
      <c r="E59" s="67"/>
      <c r="F59" s="12"/>
      <c r="G59" s="11"/>
      <c r="H59" s="13">
        <f ca="1">SUMIF(A7:A58,"*Total of week*",H7:H58)</f>
        <v>0</v>
      </c>
      <c r="I59" s="3"/>
      <c r="J59" s="3"/>
      <c r="K59" s="3"/>
      <c r="L59" s="3"/>
      <c r="M59" s="3"/>
      <c r="N59" s="3"/>
      <c r="O59" s="3"/>
      <c r="P59" s="3"/>
      <c r="Q59" s="3"/>
      <c r="R59" s="3"/>
    </row>
    <row r="60" spans="1:27" ht="15.75" customHeight="1" x14ac:dyDescent="0.25">
      <c r="E60" s="4"/>
      <c r="F60" s="15"/>
      <c r="O60" s="3"/>
      <c r="P60" s="3"/>
      <c r="R60" s="3"/>
    </row>
    <row r="61" spans="1:27" ht="15.75" customHeight="1" x14ac:dyDescent="0.25">
      <c r="E61" s="4"/>
      <c r="F61" s="15"/>
      <c r="O61" s="3"/>
    </row>
    <row r="62" spans="1:27" ht="15.75" customHeight="1" x14ac:dyDescent="0.25">
      <c r="A62" s="26"/>
      <c r="B62" s="90"/>
      <c r="C62" s="17"/>
      <c r="D62" s="16"/>
      <c r="E62" s="4"/>
      <c r="F62" s="15"/>
    </row>
    <row r="63" spans="1:27" ht="15.75" customHeight="1" x14ac:dyDescent="0.25">
      <c r="A63" s="26"/>
      <c r="B63" s="90"/>
      <c r="C63" s="16"/>
      <c r="D63" s="16"/>
      <c r="E63" s="68"/>
      <c r="F63" s="18"/>
      <c r="G63" s="16"/>
      <c r="H63" s="3"/>
    </row>
    <row r="64" spans="1:27" ht="15.75" customHeight="1" x14ac:dyDescent="0.25">
      <c r="A64" s="26"/>
      <c r="B64" s="90"/>
      <c r="C64" s="19"/>
      <c r="D64" s="19"/>
      <c r="E64" s="4"/>
      <c r="F64" s="15"/>
    </row>
    <row r="65" spans="1:8" s="28" customFormat="1" ht="15.75" customHeight="1" x14ac:dyDescent="0.25">
      <c r="A65" s="36"/>
      <c r="B65" s="86"/>
      <c r="C65" s="29"/>
      <c r="D65" s="29"/>
      <c r="E65" s="64"/>
      <c r="F65" s="33"/>
      <c r="G65" s="34"/>
      <c r="H65" s="35"/>
    </row>
    <row r="66" spans="1:8" ht="15.75" customHeight="1" x14ac:dyDescent="0.25">
      <c r="C66" s="20"/>
      <c r="D66" s="20"/>
      <c r="E66" s="4"/>
      <c r="F66" s="15"/>
    </row>
    <row r="67" spans="1:8" ht="15.75" customHeight="1" x14ac:dyDescent="0.25">
      <c r="A67" s="26"/>
      <c r="B67" s="90"/>
      <c r="C67" s="19"/>
      <c r="D67" s="19"/>
      <c r="E67" s="4"/>
      <c r="F67" s="15"/>
    </row>
    <row r="68" spans="1:8" ht="15.75" customHeight="1" x14ac:dyDescent="0.25">
      <c r="A68" s="26"/>
      <c r="B68" s="90"/>
      <c r="C68" s="19"/>
      <c r="D68" s="19"/>
      <c r="E68" s="4"/>
      <c r="F68" s="15"/>
    </row>
    <row r="69" spans="1:8" ht="15.75" customHeight="1" x14ac:dyDescent="0.2"/>
    <row r="70" spans="1:8" ht="15.75" customHeight="1" x14ac:dyDescent="0.2"/>
    <row r="71" spans="1:8" ht="15.75" customHeight="1" x14ac:dyDescent="0.2"/>
    <row r="72" spans="1:8" ht="15.75" customHeight="1" x14ac:dyDescent="0.2"/>
    <row r="73" spans="1:8" ht="15.75" customHeight="1" x14ac:dyDescent="0.2"/>
    <row r="74" spans="1:8" ht="15.75" customHeight="1" x14ac:dyDescent="0.2"/>
    <row r="75" spans="1:8" ht="15.75" customHeight="1" x14ac:dyDescent="0.2"/>
    <row r="76" spans="1:8" ht="15.75" customHeight="1" x14ac:dyDescent="0.2"/>
    <row r="77" spans="1:8" ht="15.75" customHeight="1" x14ac:dyDescent="0.2"/>
    <row r="78" spans="1:8" ht="15.75" customHeight="1" x14ac:dyDescent="0.2"/>
    <row r="79" spans="1:8" ht="15.75" customHeight="1" x14ac:dyDescent="0.2"/>
    <row r="80" spans="1:8" ht="15.75" customHeight="1" x14ac:dyDescent="0.2"/>
    <row r="81" spans="2:27" ht="15.75" customHeight="1" x14ac:dyDescent="0.2"/>
    <row r="82" spans="2:27" ht="15.75" customHeight="1" x14ac:dyDescent="0.2"/>
    <row r="83" spans="2:27" ht="15.75" customHeight="1" x14ac:dyDescent="0.2"/>
    <row r="84" spans="2:27" s="25" customFormat="1" ht="15.75" customHeight="1" x14ac:dyDescent="0.2">
      <c r="B84" s="89"/>
      <c r="C84"/>
      <c r="D84"/>
      <c r="E84" s="69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</row>
    <row r="85" spans="2:27" s="25" customFormat="1" ht="15.75" customHeight="1" x14ac:dyDescent="0.2">
      <c r="B85" s="89"/>
      <c r="C85"/>
      <c r="D85"/>
      <c r="E85" s="69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</row>
    <row r="86" spans="2:27" s="25" customFormat="1" ht="15.75" customHeight="1" x14ac:dyDescent="0.2">
      <c r="B86" s="89"/>
      <c r="C86"/>
      <c r="D86"/>
      <c r="E86" s="69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</row>
    <row r="87" spans="2:27" s="25" customFormat="1" ht="15.75" customHeight="1" x14ac:dyDescent="0.2">
      <c r="B87" s="89"/>
      <c r="C87"/>
      <c r="D87"/>
      <c r="E87" s="69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</row>
    <row r="88" spans="2:27" s="25" customFormat="1" ht="15.75" customHeight="1" x14ac:dyDescent="0.2">
      <c r="B88" s="89"/>
      <c r="C88"/>
      <c r="D88"/>
      <c r="E88" s="69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</row>
    <row r="89" spans="2:27" s="25" customFormat="1" ht="15.75" customHeight="1" x14ac:dyDescent="0.2">
      <c r="B89" s="89"/>
      <c r="C89"/>
      <c r="D89"/>
      <c r="E89" s="6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</row>
    <row r="90" spans="2:27" s="25" customFormat="1" ht="15.75" customHeight="1" x14ac:dyDescent="0.2">
      <c r="B90" s="89"/>
      <c r="C90"/>
      <c r="D90"/>
      <c r="E90" s="69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2:27" s="25" customFormat="1" ht="15.75" customHeight="1" x14ac:dyDescent="0.2">
      <c r="B91" s="89"/>
      <c r="C91"/>
      <c r="D91"/>
      <c r="E91" s="69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</row>
    <row r="92" spans="2:27" s="25" customFormat="1" ht="15.75" customHeight="1" x14ac:dyDescent="0.2">
      <c r="B92" s="89"/>
      <c r="C92"/>
      <c r="D92"/>
      <c r="E92" s="69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2:27" s="25" customFormat="1" ht="15.75" customHeight="1" x14ac:dyDescent="0.2">
      <c r="B93" s="89"/>
      <c r="C93"/>
      <c r="D93"/>
      <c r="E93" s="69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</row>
    <row r="94" spans="2:27" s="25" customFormat="1" ht="15.75" customHeight="1" x14ac:dyDescent="0.2">
      <c r="B94" s="89"/>
      <c r="C94"/>
      <c r="D94"/>
      <c r="E94" s="69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</row>
    <row r="95" spans="2:27" s="25" customFormat="1" ht="15.75" customHeight="1" x14ac:dyDescent="0.2">
      <c r="B95" s="89"/>
      <c r="C95"/>
      <c r="D95"/>
      <c r="E95" s="69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</row>
    <row r="96" spans="2:27" s="25" customFormat="1" ht="15.75" customHeight="1" x14ac:dyDescent="0.2">
      <c r="B96" s="89"/>
      <c r="C96"/>
      <c r="D96"/>
      <c r="E96" s="69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</row>
    <row r="97" spans="2:27" s="25" customFormat="1" ht="15.75" customHeight="1" x14ac:dyDescent="0.2">
      <c r="B97" s="89"/>
      <c r="C97"/>
      <c r="D97"/>
      <c r="E97" s="69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</row>
    <row r="98" spans="2:27" s="25" customFormat="1" ht="15.75" customHeight="1" x14ac:dyDescent="0.2">
      <c r="B98" s="89"/>
      <c r="C98"/>
      <c r="D98"/>
      <c r="E98" s="69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</row>
    <row r="99" spans="2:27" s="25" customFormat="1" ht="15.75" customHeight="1" x14ac:dyDescent="0.2">
      <c r="B99" s="89"/>
      <c r="C99"/>
      <c r="D99"/>
      <c r="E99" s="6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</row>
    <row r="100" spans="2:27" s="25" customFormat="1" ht="15.75" customHeight="1" x14ac:dyDescent="0.2">
      <c r="B100" s="89"/>
      <c r="C100"/>
      <c r="D100"/>
      <c r="E100" s="69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</row>
    <row r="101" spans="2:27" s="25" customFormat="1" ht="15.75" customHeight="1" x14ac:dyDescent="0.2">
      <c r="B101" s="89"/>
      <c r="C101"/>
      <c r="D101"/>
      <c r="E101" s="69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</row>
    <row r="102" spans="2:27" s="25" customFormat="1" ht="15.75" customHeight="1" x14ac:dyDescent="0.2">
      <c r="B102" s="89"/>
      <c r="C102"/>
      <c r="D102"/>
      <c r="E102" s="69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2:27" s="25" customFormat="1" ht="15.75" customHeight="1" x14ac:dyDescent="0.2">
      <c r="B103" s="89"/>
      <c r="C103"/>
      <c r="D103"/>
      <c r="E103" s="69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</row>
    <row r="104" spans="2:27" s="25" customFormat="1" ht="15.75" customHeight="1" x14ac:dyDescent="0.2">
      <c r="B104" s="89"/>
      <c r="C104"/>
      <c r="D104"/>
      <c r="E104" s="69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</row>
    <row r="105" spans="2:27" s="25" customFormat="1" ht="15.75" customHeight="1" x14ac:dyDescent="0.2">
      <c r="B105" s="89"/>
      <c r="C105"/>
      <c r="D105"/>
      <c r="E105" s="69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</row>
    <row r="106" spans="2:27" s="25" customFormat="1" ht="15.75" customHeight="1" x14ac:dyDescent="0.2">
      <c r="B106" s="89"/>
      <c r="C106"/>
      <c r="D106"/>
      <c r="E106" s="69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</row>
    <row r="107" spans="2:27" s="25" customFormat="1" ht="15.75" customHeight="1" x14ac:dyDescent="0.2">
      <c r="B107" s="89"/>
      <c r="C107"/>
      <c r="D107"/>
      <c r="E107" s="69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</row>
    <row r="108" spans="2:27" s="25" customFormat="1" ht="15.75" customHeight="1" x14ac:dyDescent="0.2">
      <c r="B108" s="89"/>
      <c r="C108"/>
      <c r="D108"/>
      <c r="E108" s="69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</row>
    <row r="109" spans="2:27" s="25" customFormat="1" ht="15.75" customHeight="1" x14ac:dyDescent="0.2">
      <c r="B109" s="89"/>
      <c r="C109"/>
      <c r="D109"/>
      <c r="E109" s="6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</row>
    <row r="110" spans="2:27" s="25" customFormat="1" ht="15.75" customHeight="1" x14ac:dyDescent="0.2">
      <c r="B110" s="89"/>
      <c r="C110"/>
      <c r="D110"/>
      <c r="E110" s="69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</row>
    <row r="111" spans="2:27" s="25" customFormat="1" ht="15.75" customHeight="1" x14ac:dyDescent="0.2">
      <c r="B111" s="89"/>
      <c r="C111"/>
      <c r="D111"/>
      <c r="E111" s="69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2:27" s="25" customFormat="1" ht="15.75" customHeight="1" x14ac:dyDescent="0.2">
      <c r="B112" s="89"/>
      <c r="C112"/>
      <c r="D112"/>
      <c r="E112" s="69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</row>
    <row r="113" spans="2:27" s="25" customFormat="1" ht="15.75" customHeight="1" x14ac:dyDescent="0.2">
      <c r="B113" s="89"/>
      <c r="C113"/>
      <c r="D113"/>
      <c r="E113" s="69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</row>
    <row r="114" spans="2:27" s="25" customFormat="1" ht="15.75" customHeight="1" x14ac:dyDescent="0.2">
      <c r="B114" s="89"/>
      <c r="C114"/>
      <c r="D114"/>
      <c r="E114" s="69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2:27" s="25" customFormat="1" ht="15.75" customHeight="1" x14ac:dyDescent="0.2">
      <c r="B115" s="89"/>
      <c r="C115"/>
      <c r="D115"/>
      <c r="E115" s="69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</row>
    <row r="116" spans="2:27" s="25" customFormat="1" ht="15.75" customHeight="1" x14ac:dyDescent="0.2">
      <c r="B116" s="89"/>
      <c r="C116"/>
      <c r="D116"/>
      <c r="E116" s="69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</row>
    <row r="117" spans="2:27" s="25" customFormat="1" ht="15.75" customHeight="1" x14ac:dyDescent="0.2">
      <c r="B117" s="89"/>
      <c r="C117"/>
      <c r="D117"/>
      <c r="E117" s="69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</row>
    <row r="118" spans="2:27" s="25" customFormat="1" ht="15.75" customHeight="1" x14ac:dyDescent="0.2">
      <c r="B118" s="89"/>
      <c r="C118"/>
      <c r="D118"/>
      <c r="E118" s="69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</row>
    <row r="119" spans="2:27" s="25" customFormat="1" ht="15.75" customHeight="1" x14ac:dyDescent="0.2">
      <c r="B119" s="89"/>
      <c r="C119"/>
      <c r="D119"/>
      <c r="E119" s="6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</row>
    <row r="120" spans="2:27" s="25" customFormat="1" ht="15.75" customHeight="1" x14ac:dyDescent="0.2">
      <c r="B120" s="89"/>
      <c r="C120"/>
      <c r="D120"/>
      <c r="E120" s="69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</row>
    <row r="121" spans="2:27" s="25" customFormat="1" ht="15.75" customHeight="1" x14ac:dyDescent="0.2">
      <c r="B121" s="89"/>
      <c r="C121"/>
      <c r="D121"/>
      <c r="E121" s="69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</row>
    <row r="122" spans="2:27" s="25" customFormat="1" ht="15.75" customHeight="1" x14ac:dyDescent="0.2">
      <c r="B122" s="89"/>
      <c r="C122"/>
      <c r="D122"/>
      <c r="E122" s="69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</row>
    <row r="123" spans="2:27" s="25" customFormat="1" ht="15.75" customHeight="1" x14ac:dyDescent="0.2">
      <c r="B123" s="89"/>
      <c r="C123"/>
      <c r="D123"/>
      <c r="E123" s="69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2:27" s="25" customFormat="1" ht="15.75" customHeight="1" x14ac:dyDescent="0.2">
      <c r="B124" s="89"/>
      <c r="C124"/>
      <c r="D124"/>
      <c r="E124" s="69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</row>
    <row r="125" spans="2:27" s="25" customFormat="1" ht="15.75" customHeight="1" x14ac:dyDescent="0.2">
      <c r="B125" s="89"/>
      <c r="C125"/>
      <c r="D125"/>
      <c r="E125" s="69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</row>
    <row r="126" spans="2:27" s="25" customFormat="1" ht="15.75" customHeight="1" x14ac:dyDescent="0.2">
      <c r="B126" s="89"/>
      <c r="C126"/>
      <c r="D126"/>
      <c r="E126" s="69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</row>
    <row r="127" spans="2:27" s="25" customFormat="1" ht="15.75" customHeight="1" x14ac:dyDescent="0.2">
      <c r="B127" s="89"/>
      <c r="C127"/>
      <c r="D127"/>
      <c r="E127" s="69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</row>
    <row r="128" spans="2:27" s="25" customFormat="1" ht="15.75" customHeight="1" x14ac:dyDescent="0.2">
      <c r="B128" s="89"/>
      <c r="C128"/>
      <c r="D128"/>
      <c r="E128" s="69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</row>
    <row r="129" spans="2:27" s="25" customFormat="1" ht="15.75" customHeight="1" x14ac:dyDescent="0.2">
      <c r="B129" s="89"/>
      <c r="C129"/>
      <c r="D129"/>
      <c r="E129" s="6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</row>
    <row r="130" spans="2:27" s="25" customFormat="1" ht="15.75" customHeight="1" x14ac:dyDescent="0.2">
      <c r="B130" s="89"/>
      <c r="C130"/>
      <c r="D130"/>
      <c r="E130" s="69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</row>
    <row r="131" spans="2:27" s="25" customFormat="1" ht="15.75" customHeight="1" x14ac:dyDescent="0.2">
      <c r="B131" s="89"/>
      <c r="C131"/>
      <c r="D131"/>
      <c r="E131" s="69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</row>
    <row r="132" spans="2:27" s="25" customFormat="1" ht="15.75" customHeight="1" x14ac:dyDescent="0.2">
      <c r="B132" s="89"/>
      <c r="C132"/>
      <c r="D132"/>
      <c r="E132" s="69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</row>
    <row r="133" spans="2:27" s="25" customFormat="1" ht="15.75" customHeight="1" x14ac:dyDescent="0.2">
      <c r="B133" s="89"/>
      <c r="C133"/>
      <c r="D133"/>
      <c r="E133" s="69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</row>
    <row r="134" spans="2:27" s="25" customFormat="1" ht="15.75" customHeight="1" x14ac:dyDescent="0.2">
      <c r="B134" s="89"/>
      <c r="C134"/>
      <c r="D134"/>
      <c r="E134" s="69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</row>
    <row r="135" spans="2:27" s="25" customFormat="1" ht="15.75" customHeight="1" x14ac:dyDescent="0.2">
      <c r="B135" s="89"/>
      <c r="C135"/>
      <c r="D135"/>
      <c r="E135" s="69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</row>
    <row r="136" spans="2:27" s="25" customFormat="1" ht="15.75" customHeight="1" x14ac:dyDescent="0.2">
      <c r="B136" s="89"/>
      <c r="C136"/>
      <c r="D136"/>
      <c r="E136" s="69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</row>
    <row r="137" spans="2:27" s="25" customFormat="1" ht="15.75" customHeight="1" x14ac:dyDescent="0.2">
      <c r="B137" s="89"/>
      <c r="C137"/>
      <c r="D137"/>
      <c r="E137" s="69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</row>
    <row r="138" spans="2:27" s="25" customFormat="1" ht="15.75" customHeight="1" x14ac:dyDescent="0.2">
      <c r="B138" s="89"/>
      <c r="C138"/>
      <c r="D138"/>
      <c r="E138" s="69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</row>
    <row r="139" spans="2:27" s="25" customFormat="1" ht="15.75" customHeight="1" x14ac:dyDescent="0.2">
      <c r="B139" s="89"/>
      <c r="C139"/>
      <c r="D139"/>
      <c r="E139" s="6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</row>
    <row r="140" spans="2:27" s="25" customFormat="1" ht="15.75" customHeight="1" x14ac:dyDescent="0.2">
      <c r="B140" s="89"/>
      <c r="C140"/>
      <c r="D140"/>
      <c r="E140" s="69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</row>
    <row r="141" spans="2:27" s="25" customFormat="1" ht="15.75" customHeight="1" x14ac:dyDescent="0.2">
      <c r="B141" s="89"/>
      <c r="C141"/>
      <c r="D141"/>
      <c r="E141" s="69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</row>
    <row r="142" spans="2:27" s="25" customFormat="1" ht="15.75" customHeight="1" x14ac:dyDescent="0.2">
      <c r="B142" s="89"/>
      <c r="C142"/>
      <c r="D142"/>
      <c r="E142" s="69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</row>
    <row r="143" spans="2:27" s="25" customFormat="1" ht="15.75" customHeight="1" x14ac:dyDescent="0.2">
      <c r="B143" s="89"/>
      <c r="C143"/>
      <c r="D143"/>
      <c r="E143" s="69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</row>
    <row r="144" spans="2:27" s="25" customFormat="1" ht="15.75" customHeight="1" x14ac:dyDescent="0.2">
      <c r="B144" s="89"/>
      <c r="C144"/>
      <c r="D144"/>
      <c r="E144" s="69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</row>
    <row r="145" spans="2:27" s="25" customFormat="1" ht="15.75" customHeight="1" x14ac:dyDescent="0.2">
      <c r="B145" s="89"/>
      <c r="C145"/>
      <c r="D145"/>
      <c r="E145" s="69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</row>
    <row r="146" spans="2:27" s="25" customFormat="1" ht="15.75" customHeight="1" x14ac:dyDescent="0.2">
      <c r="B146" s="89"/>
      <c r="C146"/>
      <c r="D146"/>
      <c r="E146" s="69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</row>
    <row r="147" spans="2:27" s="25" customFormat="1" ht="15.75" customHeight="1" x14ac:dyDescent="0.2">
      <c r="B147" s="89"/>
      <c r="C147"/>
      <c r="D147"/>
      <c r="E147" s="69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</row>
    <row r="148" spans="2:27" s="25" customFormat="1" ht="15.75" customHeight="1" x14ac:dyDescent="0.2">
      <c r="B148" s="89"/>
      <c r="C148"/>
      <c r="D148"/>
      <c r="E148" s="69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</row>
    <row r="149" spans="2:27" s="25" customFormat="1" ht="15.75" customHeight="1" x14ac:dyDescent="0.2">
      <c r="B149" s="89"/>
      <c r="C149"/>
      <c r="D149"/>
      <c r="E149" s="6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</row>
    <row r="150" spans="2:27" s="25" customFormat="1" ht="15.75" customHeight="1" x14ac:dyDescent="0.2">
      <c r="B150" s="89"/>
      <c r="C150"/>
      <c r="D150"/>
      <c r="E150" s="69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</row>
    <row r="151" spans="2:27" s="25" customFormat="1" ht="15.75" customHeight="1" x14ac:dyDescent="0.2">
      <c r="B151" s="89"/>
      <c r="C151"/>
      <c r="D151"/>
      <c r="E151" s="69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</row>
    <row r="152" spans="2:27" s="25" customFormat="1" ht="15.75" customHeight="1" x14ac:dyDescent="0.2">
      <c r="B152" s="89"/>
      <c r="C152"/>
      <c r="D152"/>
      <c r="E152" s="69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</row>
    <row r="153" spans="2:27" s="25" customFormat="1" ht="15.75" customHeight="1" x14ac:dyDescent="0.2">
      <c r="B153" s="89"/>
      <c r="C153"/>
      <c r="D153"/>
      <c r="E153" s="69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</row>
    <row r="154" spans="2:27" s="25" customFormat="1" ht="15.75" customHeight="1" x14ac:dyDescent="0.2">
      <c r="B154" s="89"/>
      <c r="C154"/>
      <c r="D154"/>
      <c r="E154" s="69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</row>
    <row r="155" spans="2:27" s="25" customFormat="1" ht="15.75" customHeight="1" x14ac:dyDescent="0.2">
      <c r="B155" s="89"/>
      <c r="C155"/>
      <c r="D155"/>
      <c r="E155" s="69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</row>
    <row r="156" spans="2:27" s="25" customFormat="1" ht="15.75" customHeight="1" x14ac:dyDescent="0.2">
      <c r="B156" s="89"/>
      <c r="C156"/>
      <c r="D156"/>
      <c r="E156" s="69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</row>
    <row r="157" spans="2:27" s="25" customFormat="1" ht="15.75" customHeight="1" x14ac:dyDescent="0.2">
      <c r="B157" s="89"/>
      <c r="C157"/>
      <c r="D157"/>
      <c r="E157" s="69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</row>
    <row r="158" spans="2:27" s="25" customFormat="1" ht="15.75" customHeight="1" x14ac:dyDescent="0.2">
      <c r="B158" s="89"/>
      <c r="C158"/>
      <c r="D158"/>
      <c r="E158" s="69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</row>
    <row r="159" spans="2:27" s="25" customFormat="1" ht="15.75" customHeight="1" x14ac:dyDescent="0.2">
      <c r="B159" s="89"/>
      <c r="C159"/>
      <c r="D159"/>
      <c r="E159" s="6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</row>
    <row r="160" spans="2:27" s="25" customFormat="1" ht="15.75" customHeight="1" x14ac:dyDescent="0.2">
      <c r="B160" s="89"/>
      <c r="C160"/>
      <c r="D160"/>
      <c r="E160" s="69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</row>
    <row r="161" spans="2:27" s="25" customFormat="1" ht="15.75" customHeight="1" x14ac:dyDescent="0.2">
      <c r="B161" s="89"/>
      <c r="C161"/>
      <c r="D161"/>
      <c r="E161" s="69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</row>
    <row r="162" spans="2:27" s="25" customFormat="1" ht="15.75" customHeight="1" x14ac:dyDescent="0.2">
      <c r="B162" s="89"/>
      <c r="C162"/>
      <c r="D162"/>
      <c r="E162" s="69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</row>
    <row r="163" spans="2:27" s="25" customFormat="1" ht="15.75" customHeight="1" x14ac:dyDescent="0.2">
      <c r="B163" s="89"/>
      <c r="C163"/>
      <c r="D163"/>
      <c r="E163" s="69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</row>
    <row r="164" spans="2:27" s="25" customFormat="1" ht="15.75" customHeight="1" x14ac:dyDescent="0.2">
      <c r="B164" s="89"/>
      <c r="C164"/>
      <c r="D164"/>
      <c r="E164" s="69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</row>
    <row r="165" spans="2:27" s="25" customFormat="1" ht="15.75" customHeight="1" x14ac:dyDescent="0.2">
      <c r="B165" s="89"/>
      <c r="C165"/>
      <c r="D165"/>
      <c r="E165" s="69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</row>
    <row r="166" spans="2:27" s="25" customFormat="1" ht="15.75" customHeight="1" x14ac:dyDescent="0.2">
      <c r="B166" s="89"/>
      <c r="C166"/>
      <c r="D166"/>
      <c r="E166" s="69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</row>
    <row r="167" spans="2:27" s="25" customFormat="1" ht="15.75" customHeight="1" x14ac:dyDescent="0.2">
      <c r="B167" s="89"/>
      <c r="C167"/>
      <c r="D167"/>
      <c r="E167" s="69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</row>
    <row r="168" spans="2:27" s="25" customFormat="1" ht="15.75" customHeight="1" x14ac:dyDescent="0.2">
      <c r="B168" s="89"/>
      <c r="C168"/>
      <c r="D168"/>
      <c r="E168" s="69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</row>
    <row r="169" spans="2:27" s="25" customFormat="1" ht="15.75" customHeight="1" x14ac:dyDescent="0.2">
      <c r="B169" s="89"/>
      <c r="C169"/>
      <c r="D169"/>
      <c r="E169" s="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</row>
    <row r="170" spans="2:27" s="25" customFormat="1" ht="15.75" customHeight="1" x14ac:dyDescent="0.2">
      <c r="B170" s="89"/>
      <c r="C170"/>
      <c r="D170"/>
      <c r="E170" s="69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</row>
    <row r="171" spans="2:27" s="25" customFormat="1" ht="15.75" customHeight="1" x14ac:dyDescent="0.2">
      <c r="B171" s="89"/>
      <c r="C171"/>
      <c r="D171"/>
      <c r="E171" s="69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</row>
    <row r="172" spans="2:27" s="25" customFormat="1" ht="15.75" customHeight="1" x14ac:dyDescent="0.2">
      <c r="B172" s="89"/>
      <c r="C172"/>
      <c r="D172"/>
      <c r="E172" s="69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</row>
    <row r="173" spans="2:27" s="25" customFormat="1" ht="15.75" customHeight="1" x14ac:dyDescent="0.2">
      <c r="B173" s="89"/>
      <c r="C173"/>
      <c r="D173"/>
      <c r="E173" s="69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</row>
    <row r="174" spans="2:27" s="25" customFormat="1" ht="15.75" customHeight="1" x14ac:dyDescent="0.2">
      <c r="B174" s="89"/>
      <c r="C174"/>
      <c r="D174"/>
      <c r="E174" s="69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</row>
    <row r="175" spans="2:27" s="25" customFormat="1" ht="15.75" customHeight="1" x14ac:dyDescent="0.2">
      <c r="B175" s="89"/>
      <c r="C175"/>
      <c r="D175"/>
      <c r="E175" s="69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</row>
    <row r="176" spans="2:27" s="25" customFormat="1" ht="15.75" customHeight="1" x14ac:dyDescent="0.2">
      <c r="B176" s="89"/>
      <c r="C176"/>
      <c r="D176"/>
      <c r="E176" s="69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</row>
    <row r="177" spans="2:27" s="25" customFormat="1" ht="15.75" customHeight="1" x14ac:dyDescent="0.2">
      <c r="B177" s="89"/>
      <c r="C177"/>
      <c r="D177"/>
      <c r="E177" s="69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</row>
    <row r="178" spans="2:27" s="25" customFormat="1" ht="15.75" customHeight="1" x14ac:dyDescent="0.2">
      <c r="B178" s="89"/>
      <c r="C178"/>
      <c r="D178"/>
      <c r="E178" s="69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</row>
    <row r="179" spans="2:27" s="25" customFormat="1" ht="15.75" customHeight="1" x14ac:dyDescent="0.2">
      <c r="B179" s="89"/>
      <c r="C179"/>
      <c r="D179"/>
      <c r="E179" s="6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</row>
    <row r="180" spans="2:27" s="25" customFormat="1" ht="15.75" customHeight="1" x14ac:dyDescent="0.2">
      <c r="B180" s="89"/>
      <c r="C180"/>
      <c r="D180"/>
      <c r="E180" s="69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</row>
    <row r="181" spans="2:27" s="25" customFormat="1" ht="15.75" customHeight="1" x14ac:dyDescent="0.2">
      <c r="B181" s="89"/>
      <c r="C181"/>
      <c r="D181"/>
      <c r="E181" s="69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</row>
    <row r="182" spans="2:27" s="25" customFormat="1" ht="15.75" customHeight="1" x14ac:dyDescent="0.2">
      <c r="B182" s="89"/>
      <c r="C182"/>
      <c r="D182"/>
      <c r="E182" s="69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</row>
    <row r="183" spans="2:27" s="25" customFormat="1" ht="15.75" customHeight="1" x14ac:dyDescent="0.2">
      <c r="B183" s="89"/>
      <c r="C183"/>
      <c r="D183"/>
      <c r="E183" s="69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</row>
    <row r="184" spans="2:27" s="25" customFormat="1" ht="15.75" customHeight="1" x14ac:dyDescent="0.2">
      <c r="B184" s="89"/>
      <c r="C184"/>
      <c r="D184"/>
      <c r="E184" s="69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</row>
    <row r="185" spans="2:27" s="25" customFormat="1" ht="15.75" customHeight="1" x14ac:dyDescent="0.2">
      <c r="B185" s="89"/>
      <c r="C185"/>
      <c r="D185"/>
      <c r="E185" s="69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</row>
    <row r="186" spans="2:27" s="25" customFormat="1" ht="15.75" customHeight="1" x14ac:dyDescent="0.2">
      <c r="B186" s="89"/>
      <c r="C186"/>
      <c r="D186"/>
      <c r="E186" s="69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</row>
    <row r="187" spans="2:27" s="25" customFormat="1" ht="15.75" customHeight="1" x14ac:dyDescent="0.2">
      <c r="B187" s="89"/>
      <c r="C187"/>
      <c r="D187"/>
      <c r="E187" s="69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</row>
    <row r="188" spans="2:27" s="25" customFormat="1" ht="15.75" customHeight="1" x14ac:dyDescent="0.2">
      <c r="B188" s="89"/>
      <c r="C188"/>
      <c r="D188"/>
      <c r="E188" s="69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</row>
    <row r="189" spans="2:27" s="25" customFormat="1" ht="15.75" customHeight="1" x14ac:dyDescent="0.2">
      <c r="B189" s="89"/>
      <c r="C189"/>
      <c r="D189"/>
      <c r="E189" s="6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</row>
    <row r="190" spans="2:27" s="25" customFormat="1" ht="15.75" customHeight="1" x14ac:dyDescent="0.2">
      <c r="B190" s="89"/>
      <c r="C190"/>
      <c r="D190"/>
      <c r="E190" s="69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</row>
    <row r="191" spans="2:27" s="25" customFormat="1" ht="15.75" customHeight="1" x14ac:dyDescent="0.2">
      <c r="B191" s="89"/>
      <c r="C191"/>
      <c r="D191"/>
      <c r="E191" s="69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</row>
    <row r="192" spans="2:27" s="25" customFormat="1" ht="15.75" customHeight="1" x14ac:dyDescent="0.2">
      <c r="B192" s="89"/>
      <c r="C192"/>
      <c r="D192"/>
      <c r="E192" s="69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</row>
    <row r="193" spans="2:27" s="25" customFormat="1" ht="15.75" customHeight="1" x14ac:dyDescent="0.2">
      <c r="B193" s="89"/>
      <c r="C193"/>
      <c r="D193"/>
      <c r="E193" s="69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</row>
    <row r="194" spans="2:27" s="25" customFormat="1" ht="15.75" customHeight="1" x14ac:dyDescent="0.2">
      <c r="B194" s="89"/>
      <c r="C194"/>
      <c r="D194"/>
      <c r="E194" s="69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</row>
    <row r="195" spans="2:27" s="25" customFormat="1" ht="15.75" customHeight="1" x14ac:dyDescent="0.2">
      <c r="B195" s="89"/>
      <c r="C195"/>
      <c r="D195"/>
      <c r="E195" s="69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</row>
    <row r="196" spans="2:27" s="25" customFormat="1" ht="15.75" customHeight="1" x14ac:dyDescent="0.2">
      <c r="B196" s="89"/>
      <c r="C196"/>
      <c r="D196"/>
      <c r="E196" s="69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</row>
    <row r="197" spans="2:27" s="25" customFormat="1" ht="15.75" customHeight="1" x14ac:dyDescent="0.2">
      <c r="B197" s="89"/>
      <c r="C197"/>
      <c r="D197"/>
      <c r="E197" s="69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</row>
    <row r="198" spans="2:27" s="25" customFormat="1" ht="15.75" customHeight="1" x14ac:dyDescent="0.2">
      <c r="B198" s="89"/>
      <c r="C198"/>
      <c r="D198"/>
      <c r="E198" s="69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</row>
    <row r="199" spans="2:27" s="25" customFormat="1" ht="15.75" customHeight="1" x14ac:dyDescent="0.2">
      <c r="B199" s="89"/>
      <c r="C199"/>
      <c r="D199"/>
      <c r="E199" s="6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</row>
    <row r="200" spans="2:27" s="25" customFormat="1" ht="15.75" customHeight="1" x14ac:dyDescent="0.2">
      <c r="B200" s="89"/>
      <c r="C200"/>
      <c r="D200"/>
      <c r="E200" s="69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</row>
    <row r="201" spans="2:27" s="25" customFormat="1" ht="15.75" customHeight="1" x14ac:dyDescent="0.2">
      <c r="B201" s="89"/>
      <c r="C201"/>
      <c r="D201"/>
      <c r="E201" s="69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</row>
    <row r="202" spans="2:27" s="25" customFormat="1" ht="15.75" customHeight="1" x14ac:dyDescent="0.2">
      <c r="B202" s="89"/>
      <c r="C202"/>
      <c r="D202"/>
      <c r="E202" s="69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</row>
    <row r="203" spans="2:27" s="25" customFormat="1" ht="15.75" customHeight="1" x14ac:dyDescent="0.2">
      <c r="B203" s="89"/>
      <c r="C203"/>
      <c r="D203"/>
      <c r="E203" s="69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</row>
    <row r="204" spans="2:27" s="25" customFormat="1" ht="15.75" customHeight="1" x14ac:dyDescent="0.2">
      <c r="B204" s="89"/>
      <c r="C204"/>
      <c r="D204"/>
      <c r="E204" s="69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</row>
    <row r="205" spans="2:27" s="25" customFormat="1" ht="15.75" customHeight="1" x14ac:dyDescent="0.2">
      <c r="B205" s="89"/>
      <c r="C205"/>
      <c r="D205"/>
      <c r="E205" s="69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</row>
    <row r="206" spans="2:27" s="25" customFormat="1" ht="15.75" customHeight="1" x14ac:dyDescent="0.2">
      <c r="B206" s="89"/>
      <c r="C206"/>
      <c r="D206"/>
      <c r="E206" s="69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</row>
    <row r="207" spans="2:27" s="25" customFormat="1" ht="15.75" customHeight="1" x14ac:dyDescent="0.2">
      <c r="B207" s="89"/>
      <c r="C207"/>
      <c r="D207"/>
      <c r="E207" s="69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</row>
    <row r="208" spans="2:27" s="25" customFormat="1" ht="15.75" customHeight="1" x14ac:dyDescent="0.2">
      <c r="B208" s="89"/>
      <c r="C208"/>
      <c r="D208"/>
      <c r="E208" s="69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</row>
    <row r="209" spans="2:27" s="25" customFormat="1" ht="15.75" customHeight="1" x14ac:dyDescent="0.2">
      <c r="B209" s="89"/>
      <c r="C209"/>
      <c r="D209"/>
      <c r="E209" s="6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</row>
    <row r="210" spans="2:27" s="25" customFormat="1" ht="15.75" customHeight="1" x14ac:dyDescent="0.2">
      <c r="B210" s="89"/>
      <c r="C210"/>
      <c r="D210"/>
      <c r="E210" s="69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</row>
    <row r="211" spans="2:27" s="25" customFormat="1" ht="15.75" customHeight="1" x14ac:dyDescent="0.2">
      <c r="B211" s="89"/>
      <c r="C211"/>
      <c r="D211"/>
      <c r="E211" s="69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</row>
    <row r="212" spans="2:27" s="25" customFormat="1" ht="15.75" customHeight="1" x14ac:dyDescent="0.2">
      <c r="B212" s="89"/>
      <c r="C212"/>
      <c r="D212"/>
      <c r="E212" s="69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</row>
    <row r="213" spans="2:27" s="25" customFormat="1" ht="15.75" customHeight="1" x14ac:dyDescent="0.2">
      <c r="B213" s="89"/>
      <c r="C213"/>
      <c r="D213"/>
      <c r="E213" s="69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</row>
    <row r="214" spans="2:27" s="25" customFormat="1" ht="15.75" customHeight="1" x14ac:dyDescent="0.2">
      <c r="B214" s="89"/>
      <c r="C214"/>
      <c r="D214"/>
      <c r="E214" s="69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</row>
    <row r="215" spans="2:27" s="25" customFormat="1" ht="15.75" customHeight="1" x14ac:dyDescent="0.2">
      <c r="B215" s="89"/>
      <c r="C215"/>
      <c r="D215"/>
      <c r="E215" s="69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</row>
    <row r="216" spans="2:27" s="25" customFormat="1" ht="15.75" customHeight="1" x14ac:dyDescent="0.2">
      <c r="B216" s="89"/>
      <c r="C216"/>
      <c r="D216"/>
      <c r="E216" s="69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</row>
    <row r="217" spans="2:27" s="25" customFormat="1" ht="15.75" customHeight="1" x14ac:dyDescent="0.2">
      <c r="B217" s="89"/>
      <c r="C217"/>
      <c r="D217"/>
      <c r="E217" s="69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</row>
    <row r="218" spans="2:27" s="25" customFormat="1" ht="15.75" customHeight="1" x14ac:dyDescent="0.2">
      <c r="B218" s="89"/>
      <c r="C218"/>
      <c r="D218"/>
      <c r="E218" s="69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</row>
    <row r="219" spans="2:27" s="25" customFormat="1" ht="15.75" customHeight="1" x14ac:dyDescent="0.2">
      <c r="B219" s="89"/>
      <c r="C219"/>
      <c r="D219"/>
      <c r="E219" s="6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</row>
    <row r="220" spans="2:27" s="25" customFormat="1" ht="15.75" customHeight="1" x14ac:dyDescent="0.2">
      <c r="B220" s="89"/>
      <c r="C220"/>
      <c r="D220"/>
      <c r="E220" s="69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</row>
    <row r="221" spans="2:27" s="25" customFormat="1" ht="15.75" customHeight="1" x14ac:dyDescent="0.2">
      <c r="B221" s="89"/>
      <c r="C221"/>
      <c r="D221"/>
      <c r="E221" s="69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</row>
    <row r="222" spans="2:27" s="25" customFormat="1" ht="15.75" customHeight="1" x14ac:dyDescent="0.2">
      <c r="B222" s="89"/>
      <c r="C222"/>
      <c r="D222"/>
      <c r="E222" s="69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</row>
    <row r="223" spans="2:27" s="25" customFormat="1" ht="15.75" customHeight="1" x14ac:dyDescent="0.2">
      <c r="B223" s="89"/>
      <c r="C223"/>
      <c r="D223"/>
      <c r="E223" s="69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</row>
    <row r="224" spans="2:27" s="25" customFormat="1" ht="15.75" customHeight="1" x14ac:dyDescent="0.2">
      <c r="B224" s="89"/>
      <c r="C224"/>
      <c r="D224"/>
      <c r="E224" s="69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</row>
    <row r="225" spans="2:27" s="25" customFormat="1" ht="15.75" customHeight="1" x14ac:dyDescent="0.2">
      <c r="B225" s="89"/>
      <c r="C225"/>
      <c r="D225"/>
      <c r="E225" s="69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</row>
    <row r="226" spans="2:27" s="25" customFormat="1" ht="15.75" customHeight="1" x14ac:dyDescent="0.2">
      <c r="B226" s="89"/>
      <c r="C226"/>
      <c r="D226"/>
      <c r="E226" s="69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</row>
    <row r="227" spans="2:27" s="25" customFormat="1" ht="15.75" customHeight="1" x14ac:dyDescent="0.2">
      <c r="B227" s="89"/>
      <c r="C227"/>
      <c r="D227"/>
      <c r="E227" s="69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</row>
    <row r="228" spans="2:27" s="25" customFormat="1" ht="15.75" customHeight="1" x14ac:dyDescent="0.2">
      <c r="B228" s="89"/>
      <c r="C228"/>
      <c r="D228"/>
      <c r="E228" s="69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</row>
    <row r="229" spans="2:27" s="25" customFormat="1" ht="15.75" customHeight="1" x14ac:dyDescent="0.2">
      <c r="B229" s="89"/>
      <c r="C229"/>
      <c r="D229"/>
      <c r="E229" s="6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</row>
    <row r="230" spans="2:27" s="25" customFormat="1" ht="15.75" customHeight="1" x14ac:dyDescent="0.2">
      <c r="B230" s="89"/>
      <c r="C230"/>
      <c r="D230"/>
      <c r="E230" s="69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</row>
    <row r="231" spans="2:27" s="25" customFormat="1" ht="15.75" customHeight="1" x14ac:dyDescent="0.2">
      <c r="B231" s="89"/>
      <c r="C231"/>
      <c r="D231"/>
      <c r="E231" s="69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</row>
    <row r="232" spans="2:27" s="25" customFormat="1" ht="15.75" customHeight="1" x14ac:dyDescent="0.2">
      <c r="B232" s="89"/>
      <c r="C232"/>
      <c r="D232"/>
      <c r="E232" s="69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</row>
    <row r="233" spans="2:27" s="25" customFormat="1" ht="15.75" customHeight="1" x14ac:dyDescent="0.2">
      <c r="B233" s="89"/>
      <c r="C233"/>
      <c r="D233"/>
      <c r="E233" s="69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</row>
    <row r="234" spans="2:27" s="25" customFormat="1" ht="15.75" customHeight="1" x14ac:dyDescent="0.2">
      <c r="B234" s="89"/>
      <c r="C234"/>
      <c r="D234"/>
      <c r="E234" s="69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</row>
    <row r="235" spans="2:27" s="25" customFormat="1" ht="15.75" customHeight="1" x14ac:dyDescent="0.2">
      <c r="B235" s="89"/>
      <c r="C235"/>
      <c r="D235"/>
      <c r="E235" s="69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</row>
    <row r="236" spans="2:27" s="25" customFormat="1" ht="15.75" customHeight="1" x14ac:dyDescent="0.2">
      <c r="B236" s="89"/>
      <c r="C236"/>
      <c r="D236"/>
      <c r="E236" s="69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</row>
    <row r="237" spans="2:27" s="25" customFormat="1" ht="15.75" customHeight="1" x14ac:dyDescent="0.2">
      <c r="B237" s="89"/>
      <c r="C237"/>
      <c r="D237"/>
      <c r="E237" s="69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</row>
    <row r="238" spans="2:27" s="25" customFormat="1" ht="15.75" customHeight="1" x14ac:dyDescent="0.2">
      <c r="B238" s="89"/>
      <c r="C238"/>
      <c r="D238"/>
      <c r="E238" s="69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</row>
    <row r="239" spans="2:27" s="25" customFormat="1" ht="15.75" customHeight="1" x14ac:dyDescent="0.2">
      <c r="B239" s="89"/>
      <c r="C239"/>
      <c r="D239"/>
      <c r="E239" s="6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</row>
    <row r="240" spans="2:27" s="25" customFormat="1" ht="15.75" customHeight="1" x14ac:dyDescent="0.2">
      <c r="B240" s="89"/>
      <c r="C240"/>
      <c r="D240"/>
      <c r="E240" s="69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</row>
    <row r="241" spans="2:27" s="25" customFormat="1" ht="15.75" customHeight="1" x14ac:dyDescent="0.2">
      <c r="B241" s="89"/>
      <c r="C241"/>
      <c r="D241"/>
      <c r="E241" s="69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</row>
    <row r="242" spans="2:27" s="25" customFormat="1" ht="15.75" customHeight="1" x14ac:dyDescent="0.2">
      <c r="B242" s="89"/>
      <c r="C242"/>
      <c r="D242"/>
      <c r="E242" s="69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</row>
    <row r="243" spans="2:27" s="25" customFormat="1" ht="15.75" customHeight="1" x14ac:dyDescent="0.2">
      <c r="B243" s="89"/>
      <c r="C243"/>
      <c r="D243"/>
      <c r="E243" s="69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</row>
    <row r="244" spans="2:27" s="25" customFormat="1" ht="15.75" customHeight="1" x14ac:dyDescent="0.2">
      <c r="B244" s="89"/>
      <c r="C244"/>
      <c r="D244"/>
      <c r="E244" s="69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</row>
    <row r="245" spans="2:27" s="25" customFormat="1" ht="15.75" customHeight="1" x14ac:dyDescent="0.2">
      <c r="B245" s="89"/>
      <c r="C245"/>
      <c r="D245"/>
      <c r="E245" s="69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</row>
    <row r="246" spans="2:27" s="25" customFormat="1" ht="15.75" customHeight="1" x14ac:dyDescent="0.2">
      <c r="B246" s="89"/>
      <c r="C246"/>
      <c r="D246"/>
      <c r="E246" s="69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</row>
    <row r="247" spans="2:27" s="25" customFormat="1" ht="15.75" customHeight="1" x14ac:dyDescent="0.2">
      <c r="B247" s="89"/>
      <c r="C247"/>
      <c r="D247"/>
      <c r="E247" s="69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</row>
    <row r="248" spans="2:27" s="25" customFormat="1" ht="15.75" customHeight="1" x14ac:dyDescent="0.2">
      <c r="B248" s="89"/>
      <c r="C248"/>
      <c r="D248"/>
      <c r="E248" s="69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</row>
    <row r="249" spans="2:27" s="25" customFormat="1" ht="15.75" customHeight="1" x14ac:dyDescent="0.2">
      <c r="B249" s="89"/>
      <c r="C249"/>
      <c r="D249"/>
      <c r="E249" s="6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</row>
    <row r="250" spans="2:27" s="25" customFormat="1" ht="15.75" customHeight="1" x14ac:dyDescent="0.2">
      <c r="B250" s="89"/>
      <c r="C250"/>
      <c r="D250"/>
      <c r="E250" s="69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</row>
    <row r="251" spans="2:27" s="25" customFormat="1" ht="15.75" customHeight="1" x14ac:dyDescent="0.2">
      <c r="B251" s="89"/>
      <c r="C251"/>
      <c r="D251"/>
      <c r="E251" s="69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</row>
    <row r="252" spans="2:27" s="25" customFormat="1" ht="15.75" customHeight="1" x14ac:dyDescent="0.2">
      <c r="B252" s="89"/>
      <c r="C252"/>
      <c r="D252"/>
      <c r="E252" s="69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</row>
    <row r="253" spans="2:27" s="25" customFormat="1" ht="15.75" customHeight="1" x14ac:dyDescent="0.2">
      <c r="B253" s="89"/>
      <c r="C253"/>
      <c r="D253"/>
      <c r="E253" s="69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</row>
    <row r="254" spans="2:27" s="25" customFormat="1" ht="15.75" customHeight="1" x14ac:dyDescent="0.2">
      <c r="B254" s="89"/>
      <c r="C254"/>
      <c r="D254"/>
      <c r="E254" s="69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</row>
    <row r="255" spans="2:27" s="25" customFormat="1" ht="15.75" customHeight="1" x14ac:dyDescent="0.2">
      <c r="B255" s="89"/>
      <c r="C255"/>
      <c r="D255"/>
      <c r="E255" s="69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</row>
    <row r="256" spans="2:27" s="25" customFormat="1" ht="15.75" customHeight="1" x14ac:dyDescent="0.2">
      <c r="B256" s="89"/>
      <c r="C256"/>
      <c r="D256"/>
      <c r="E256" s="69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</row>
    <row r="257" spans="2:27" s="25" customFormat="1" ht="15.75" customHeight="1" x14ac:dyDescent="0.2">
      <c r="B257" s="89"/>
      <c r="C257"/>
      <c r="D257"/>
      <c r="E257" s="69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</row>
    <row r="258" spans="2:27" s="25" customFormat="1" ht="15.75" customHeight="1" x14ac:dyDescent="0.2">
      <c r="B258" s="89"/>
      <c r="C258"/>
      <c r="D258"/>
      <c r="E258" s="69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</row>
    <row r="259" spans="2:27" s="25" customFormat="1" ht="15.75" customHeight="1" x14ac:dyDescent="0.2">
      <c r="B259" s="89"/>
      <c r="C259"/>
      <c r="D259"/>
      <c r="E259" s="6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</row>
    <row r="260" spans="2:27" s="25" customFormat="1" ht="15.75" customHeight="1" x14ac:dyDescent="0.2">
      <c r="B260" s="89"/>
      <c r="C260"/>
      <c r="D260"/>
      <c r="E260" s="69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</row>
    <row r="261" spans="2:27" s="25" customFormat="1" ht="15.75" customHeight="1" x14ac:dyDescent="0.2">
      <c r="B261" s="89"/>
      <c r="C261"/>
      <c r="D261"/>
      <c r="E261" s="69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</row>
    <row r="262" spans="2:27" s="25" customFormat="1" ht="15.75" customHeight="1" x14ac:dyDescent="0.2">
      <c r="B262" s="89"/>
      <c r="C262"/>
      <c r="D262"/>
      <c r="E262" s="69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</row>
    <row r="263" spans="2:27" s="25" customFormat="1" ht="15.75" customHeight="1" x14ac:dyDescent="0.2">
      <c r="B263" s="89"/>
      <c r="C263"/>
      <c r="D263"/>
      <c r="E263" s="69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</row>
    <row r="264" spans="2:27" s="25" customFormat="1" ht="15.75" customHeight="1" x14ac:dyDescent="0.2">
      <c r="B264" s="89"/>
      <c r="C264"/>
      <c r="D264"/>
      <c r="E264" s="69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</row>
    <row r="265" spans="2:27" s="25" customFormat="1" ht="15.75" customHeight="1" x14ac:dyDescent="0.2">
      <c r="B265" s="89"/>
      <c r="C265"/>
      <c r="D265"/>
      <c r="E265" s="69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</row>
    <row r="266" spans="2:27" s="25" customFormat="1" ht="15.75" customHeight="1" x14ac:dyDescent="0.2">
      <c r="B266" s="89"/>
      <c r="C266"/>
      <c r="D266"/>
      <c r="E266" s="69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</row>
    <row r="267" spans="2:27" s="25" customFormat="1" ht="15.75" customHeight="1" x14ac:dyDescent="0.2">
      <c r="B267" s="89"/>
      <c r="C267"/>
      <c r="D267"/>
      <c r="E267" s="69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</row>
    <row r="268" spans="2:27" s="25" customFormat="1" ht="15.75" customHeight="1" x14ac:dyDescent="0.2">
      <c r="B268" s="89"/>
      <c r="C268"/>
      <c r="D268"/>
      <c r="E268" s="69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</row>
    <row r="269" spans="2:27" s="25" customFormat="1" ht="15.75" customHeight="1" x14ac:dyDescent="0.2">
      <c r="B269" s="89"/>
      <c r="C269"/>
      <c r="D269"/>
      <c r="E269" s="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</row>
    <row r="270" spans="2:27" s="25" customFormat="1" ht="15.75" customHeight="1" x14ac:dyDescent="0.2">
      <c r="B270" s="89"/>
      <c r="C270"/>
      <c r="D270"/>
      <c r="E270" s="69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</row>
    <row r="271" spans="2:27" s="25" customFormat="1" ht="15.75" customHeight="1" x14ac:dyDescent="0.2">
      <c r="B271" s="89"/>
      <c r="C271"/>
      <c r="D271"/>
      <c r="E271" s="69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</row>
    <row r="272" spans="2:27" s="25" customFormat="1" ht="15.75" customHeight="1" x14ac:dyDescent="0.2">
      <c r="B272" s="89"/>
      <c r="C272"/>
      <c r="D272"/>
      <c r="E272" s="69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</row>
    <row r="273" spans="2:27" s="25" customFormat="1" ht="15.75" customHeight="1" x14ac:dyDescent="0.2">
      <c r="B273" s="89"/>
      <c r="C273"/>
      <c r="D273"/>
      <c r="E273" s="69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</row>
    <row r="274" spans="2:27" s="25" customFormat="1" ht="15.75" customHeight="1" x14ac:dyDescent="0.2">
      <c r="B274" s="89"/>
      <c r="C274"/>
      <c r="D274"/>
      <c r="E274" s="69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</row>
    <row r="275" spans="2:27" s="25" customFormat="1" ht="15.75" customHeight="1" x14ac:dyDescent="0.2">
      <c r="B275" s="89"/>
      <c r="C275"/>
      <c r="D275"/>
      <c r="E275" s="69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</row>
    <row r="276" spans="2:27" s="25" customFormat="1" ht="15.75" customHeight="1" x14ac:dyDescent="0.2">
      <c r="B276" s="89"/>
      <c r="C276"/>
      <c r="D276"/>
      <c r="E276" s="69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</row>
    <row r="277" spans="2:27" s="25" customFormat="1" ht="15.75" customHeight="1" x14ac:dyDescent="0.2">
      <c r="B277" s="89"/>
      <c r="C277"/>
      <c r="D277"/>
      <c r="E277" s="69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</row>
    <row r="278" spans="2:27" s="25" customFormat="1" ht="15.75" customHeight="1" x14ac:dyDescent="0.2">
      <c r="B278" s="89"/>
      <c r="C278"/>
      <c r="D278"/>
      <c r="E278" s="69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</row>
    <row r="279" spans="2:27" s="25" customFormat="1" ht="15.75" customHeight="1" x14ac:dyDescent="0.2">
      <c r="B279" s="89"/>
      <c r="C279"/>
      <c r="D279"/>
      <c r="E279" s="6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</row>
    <row r="280" spans="2:27" s="25" customFormat="1" ht="15.75" customHeight="1" x14ac:dyDescent="0.2">
      <c r="B280" s="89"/>
      <c r="C280"/>
      <c r="D280"/>
      <c r="E280" s="69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</row>
    <row r="281" spans="2:27" s="25" customFormat="1" ht="15.75" customHeight="1" x14ac:dyDescent="0.2">
      <c r="B281" s="89"/>
      <c r="C281"/>
      <c r="D281"/>
      <c r="E281" s="69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</row>
    <row r="282" spans="2:27" s="25" customFormat="1" ht="15.75" customHeight="1" x14ac:dyDescent="0.2">
      <c r="B282" s="89"/>
      <c r="C282"/>
      <c r="D282"/>
      <c r="E282" s="69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</row>
    <row r="283" spans="2:27" s="25" customFormat="1" ht="15.75" customHeight="1" x14ac:dyDescent="0.2">
      <c r="B283" s="89"/>
      <c r="C283"/>
      <c r="D283"/>
      <c r="E283" s="69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</row>
    <row r="284" spans="2:27" s="25" customFormat="1" ht="15.75" customHeight="1" x14ac:dyDescent="0.2">
      <c r="B284" s="89"/>
      <c r="C284"/>
      <c r="D284"/>
      <c r="E284" s="69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</row>
    <row r="285" spans="2:27" s="25" customFormat="1" ht="15.75" customHeight="1" x14ac:dyDescent="0.2">
      <c r="B285" s="89"/>
      <c r="C285"/>
      <c r="D285"/>
      <c r="E285" s="69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</row>
    <row r="286" spans="2:27" s="25" customFormat="1" ht="15.75" customHeight="1" x14ac:dyDescent="0.2">
      <c r="B286" s="89"/>
      <c r="C286"/>
      <c r="D286"/>
      <c r="E286" s="69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</row>
    <row r="287" spans="2:27" s="25" customFormat="1" ht="15.75" customHeight="1" x14ac:dyDescent="0.2">
      <c r="B287" s="89"/>
      <c r="C287"/>
      <c r="D287"/>
      <c r="E287" s="69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</row>
    <row r="288" spans="2:27" s="25" customFormat="1" ht="15.75" customHeight="1" x14ac:dyDescent="0.2">
      <c r="B288" s="89"/>
      <c r="C288"/>
      <c r="D288"/>
      <c r="E288" s="69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</row>
    <row r="289" spans="2:27" s="25" customFormat="1" ht="15.75" customHeight="1" x14ac:dyDescent="0.2">
      <c r="B289" s="89"/>
      <c r="C289"/>
      <c r="D289"/>
      <c r="E289" s="6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</row>
    <row r="290" spans="2:27" s="25" customFormat="1" ht="15.75" customHeight="1" x14ac:dyDescent="0.2">
      <c r="B290" s="89"/>
      <c r="C290"/>
      <c r="D290"/>
      <c r="E290" s="69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</row>
    <row r="291" spans="2:27" s="25" customFormat="1" ht="15.75" customHeight="1" x14ac:dyDescent="0.2">
      <c r="B291" s="89"/>
      <c r="C291"/>
      <c r="D291"/>
      <c r="E291" s="69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</row>
    <row r="292" spans="2:27" s="25" customFormat="1" ht="15.75" customHeight="1" x14ac:dyDescent="0.2">
      <c r="B292" s="89"/>
      <c r="C292"/>
      <c r="D292"/>
      <c r="E292" s="69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</row>
    <row r="293" spans="2:27" s="25" customFormat="1" ht="15.75" customHeight="1" x14ac:dyDescent="0.2">
      <c r="B293" s="89"/>
      <c r="C293"/>
      <c r="D293"/>
      <c r="E293" s="69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</row>
    <row r="294" spans="2:27" s="25" customFormat="1" ht="15.75" customHeight="1" x14ac:dyDescent="0.2">
      <c r="B294" s="89"/>
      <c r="C294"/>
      <c r="D294"/>
      <c r="E294" s="69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</row>
    <row r="295" spans="2:27" s="25" customFormat="1" ht="15.75" customHeight="1" x14ac:dyDescent="0.2">
      <c r="B295" s="89"/>
      <c r="C295"/>
      <c r="D295"/>
      <c r="E295" s="69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</row>
    <row r="296" spans="2:27" s="25" customFormat="1" ht="15.75" customHeight="1" x14ac:dyDescent="0.2">
      <c r="B296" s="89"/>
      <c r="C296"/>
      <c r="D296"/>
      <c r="E296" s="69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</row>
    <row r="297" spans="2:27" s="25" customFormat="1" ht="15.75" customHeight="1" x14ac:dyDescent="0.2">
      <c r="B297" s="89"/>
      <c r="C297"/>
      <c r="D297"/>
      <c r="E297" s="69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</row>
    <row r="298" spans="2:27" s="25" customFormat="1" ht="15.75" customHeight="1" x14ac:dyDescent="0.2">
      <c r="B298" s="89"/>
      <c r="C298"/>
      <c r="D298"/>
      <c r="E298" s="69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</row>
    <row r="299" spans="2:27" s="25" customFormat="1" ht="15.75" customHeight="1" x14ac:dyDescent="0.2">
      <c r="B299" s="89"/>
      <c r="C299"/>
      <c r="D299"/>
      <c r="E299" s="6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</row>
    <row r="300" spans="2:27" s="25" customFormat="1" ht="15.75" customHeight="1" x14ac:dyDescent="0.2">
      <c r="B300" s="89"/>
      <c r="C300"/>
      <c r="D300"/>
      <c r="E300" s="69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</row>
    <row r="301" spans="2:27" s="25" customFormat="1" ht="15.75" customHeight="1" x14ac:dyDescent="0.2">
      <c r="B301" s="89"/>
      <c r="C301"/>
      <c r="D301"/>
      <c r="E301" s="69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</row>
    <row r="302" spans="2:27" s="25" customFormat="1" ht="15.75" customHeight="1" x14ac:dyDescent="0.2">
      <c r="B302" s="89"/>
      <c r="C302"/>
      <c r="D302"/>
      <c r="E302" s="69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</row>
    <row r="303" spans="2:27" s="25" customFormat="1" ht="15.75" customHeight="1" x14ac:dyDescent="0.2">
      <c r="B303" s="89"/>
      <c r="C303"/>
      <c r="D303"/>
      <c r="E303" s="69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</row>
    <row r="304" spans="2:27" s="25" customFormat="1" ht="15.75" customHeight="1" x14ac:dyDescent="0.2">
      <c r="B304" s="89"/>
      <c r="C304"/>
      <c r="D304"/>
      <c r="E304" s="69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</row>
    <row r="305" spans="2:27" s="25" customFormat="1" ht="15.75" customHeight="1" x14ac:dyDescent="0.2">
      <c r="B305" s="89"/>
      <c r="C305"/>
      <c r="D305"/>
      <c r="E305" s="69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</row>
    <row r="306" spans="2:27" s="25" customFormat="1" ht="15.75" customHeight="1" x14ac:dyDescent="0.2">
      <c r="B306" s="89"/>
      <c r="C306"/>
      <c r="D306"/>
      <c r="E306" s="69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</row>
    <row r="307" spans="2:27" s="25" customFormat="1" ht="15.75" customHeight="1" x14ac:dyDescent="0.2">
      <c r="B307" s="89"/>
      <c r="C307"/>
      <c r="D307"/>
      <c r="E307" s="69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</row>
    <row r="308" spans="2:27" s="25" customFormat="1" ht="15.75" customHeight="1" x14ac:dyDescent="0.2">
      <c r="B308" s="89"/>
      <c r="C308"/>
      <c r="D308"/>
      <c r="E308" s="69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</row>
    <row r="309" spans="2:27" s="25" customFormat="1" ht="15.75" customHeight="1" x14ac:dyDescent="0.2">
      <c r="B309" s="89"/>
      <c r="C309"/>
      <c r="D309"/>
      <c r="E309" s="6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</row>
    <row r="310" spans="2:27" s="25" customFormat="1" ht="15.75" customHeight="1" x14ac:dyDescent="0.2">
      <c r="B310" s="89"/>
      <c r="C310"/>
      <c r="D310"/>
      <c r="E310" s="69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</row>
    <row r="311" spans="2:27" s="25" customFormat="1" ht="15.75" customHeight="1" x14ac:dyDescent="0.2">
      <c r="B311" s="89"/>
      <c r="C311"/>
      <c r="D311"/>
      <c r="E311" s="69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</row>
    <row r="312" spans="2:27" s="25" customFormat="1" ht="15.75" customHeight="1" x14ac:dyDescent="0.2">
      <c r="B312" s="89"/>
      <c r="C312"/>
      <c r="D312"/>
      <c r="E312" s="69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</row>
    <row r="313" spans="2:27" s="25" customFormat="1" ht="15.75" customHeight="1" x14ac:dyDescent="0.2">
      <c r="B313" s="89"/>
      <c r="C313"/>
      <c r="D313"/>
      <c r="E313" s="69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</row>
    <row r="314" spans="2:27" s="25" customFormat="1" ht="15.75" customHeight="1" x14ac:dyDescent="0.2">
      <c r="B314" s="89"/>
      <c r="C314"/>
      <c r="D314"/>
      <c r="E314" s="69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</row>
    <row r="315" spans="2:27" s="25" customFormat="1" ht="15.75" customHeight="1" x14ac:dyDescent="0.2">
      <c r="B315" s="89"/>
      <c r="C315"/>
      <c r="D315"/>
      <c r="E315" s="69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</row>
    <row r="316" spans="2:27" s="25" customFormat="1" ht="15.75" customHeight="1" x14ac:dyDescent="0.2">
      <c r="B316" s="89"/>
      <c r="C316"/>
      <c r="D316"/>
      <c r="E316" s="69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</row>
    <row r="317" spans="2:27" s="25" customFormat="1" ht="15.75" customHeight="1" x14ac:dyDescent="0.2">
      <c r="B317" s="89"/>
      <c r="C317"/>
      <c r="D317"/>
      <c r="E317" s="69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</row>
    <row r="318" spans="2:27" s="25" customFormat="1" ht="15.75" customHeight="1" x14ac:dyDescent="0.2">
      <c r="B318" s="89"/>
      <c r="C318"/>
      <c r="D318"/>
      <c r="E318" s="69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</row>
    <row r="319" spans="2:27" s="25" customFormat="1" ht="15.75" customHeight="1" x14ac:dyDescent="0.2">
      <c r="B319" s="89"/>
      <c r="C319"/>
      <c r="D319"/>
      <c r="E319" s="6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</row>
    <row r="320" spans="2:27" s="25" customFormat="1" ht="15.75" customHeight="1" x14ac:dyDescent="0.2">
      <c r="B320" s="89"/>
      <c r="C320"/>
      <c r="D320"/>
      <c r="E320" s="69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</row>
    <row r="321" spans="2:27" s="25" customFormat="1" ht="15.75" customHeight="1" x14ac:dyDescent="0.2">
      <c r="B321" s="89"/>
      <c r="C321"/>
      <c r="D321"/>
      <c r="E321" s="69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</row>
    <row r="322" spans="2:27" s="25" customFormat="1" ht="15.75" customHeight="1" x14ac:dyDescent="0.2">
      <c r="B322" s="89"/>
      <c r="C322"/>
      <c r="D322"/>
      <c r="E322" s="69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</row>
    <row r="323" spans="2:27" s="25" customFormat="1" ht="15.75" customHeight="1" x14ac:dyDescent="0.2">
      <c r="B323" s="89"/>
      <c r="C323"/>
      <c r="D323"/>
      <c r="E323" s="69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</row>
    <row r="324" spans="2:27" s="25" customFormat="1" ht="15.75" customHeight="1" x14ac:dyDescent="0.2">
      <c r="B324" s="89"/>
      <c r="C324"/>
      <c r="D324"/>
      <c r="E324" s="69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</row>
    <row r="325" spans="2:27" s="25" customFormat="1" ht="15.75" customHeight="1" x14ac:dyDescent="0.2">
      <c r="B325" s="89"/>
      <c r="C325"/>
      <c r="D325"/>
      <c r="E325" s="69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</row>
    <row r="326" spans="2:27" s="25" customFormat="1" ht="15.75" customHeight="1" x14ac:dyDescent="0.2">
      <c r="B326" s="89"/>
      <c r="C326"/>
      <c r="D326"/>
      <c r="E326" s="69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</row>
    <row r="327" spans="2:27" s="25" customFormat="1" ht="15.75" customHeight="1" x14ac:dyDescent="0.2">
      <c r="B327" s="89"/>
      <c r="C327"/>
      <c r="D327"/>
      <c r="E327" s="69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</row>
    <row r="328" spans="2:27" s="25" customFormat="1" ht="15.75" customHeight="1" x14ac:dyDescent="0.2">
      <c r="B328" s="89"/>
      <c r="C328"/>
      <c r="D328"/>
      <c r="E328" s="69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</row>
    <row r="329" spans="2:27" s="25" customFormat="1" ht="15.75" customHeight="1" x14ac:dyDescent="0.2">
      <c r="B329" s="89"/>
      <c r="C329"/>
      <c r="D329"/>
      <c r="E329" s="6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</row>
    <row r="330" spans="2:27" s="25" customFormat="1" ht="15.75" customHeight="1" x14ac:dyDescent="0.2">
      <c r="B330" s="89"/>
      <c r="C330"/>
      <c r="D330"/>
      <c r="E330" s="69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</row>
    <row r="331" spans="2:27" s="25" customFormat="1" ht="15.75" customHeight="1" x14ac:dyDescent="0.2">
      <c r="B331" s="89"/>
      <c r="C331"/>
      <c r="D331"/>
      <c r="E331" s="69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</row>
    <row r="332" spans="2:27" s="25" customFormat="1" ht="15.75" customHeight="1" x14ac:dyDescent="0.2">
      <c r="B332" s="89"/>
      <c r="C332"/>
      <c r="D332"/>
      <c r="E332" s="69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</row>
    <row r="333" spans="2:27" s="25" customFormat="1" ht="15.75" customHeight="1" x14ac:dyDescent="0.2">
      <c r="B333" s="89"/>
      <c r="C333"/>
      <c r="D333"/>
      <c r="E333" s="69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</row>
    <row r="334" spans="2:27" s="25" customFormat="1" ht="15.75" customHeight="1" x14ac:dyDescent="0.2">
      <c r="B334" s="89"/>
      <c r="C334"/>
      <c r="D334"/>
      <c r="E334" s="69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</row>
    <row r="335" spans="2:27" s="25" customFormat="1" ht="15.75" customHeight="1" x14ac:dyDescent="0.2">
      <c r="B335" s="89"/>
      <c r="C335"/>
      <c r="D335"/>
      <c r="E335" s="69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</row>
    <row r="336" spans="2:27" s="25" customFormat="1" ht="15.75" customHeight="1" x14ac:dyDescent="0.2">
      <c r="B336" s="89"/>
      <c r="C336"/>
      <c r="D336"/>
      <c r="E336" s="69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</row>
    <row r="337" spans="2:27" s="25" customFormat="1" ht="15.75" customHeight="1" x14ac:dyDescent="0.2">
      <c r="B337" s="89"/>
      <c r="C337"/>
      <c r="D337"/>
      <c r="E337" s="69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</row>
    <row r="338" spans="2:27" s="25" customFormat="1" ht="15.75" customHeight="1" x14ac:dyDescent="0.2">
      <c r="B338" s="89"/>
      <c r="C338"/>
      <c r="D338"/>
      <c r="E338" s="69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</row>
    <row r="339" spans="2:27" s="25" customFormat="1" ht="15.75" customHeight="1" x14ac:dyDescent="0.2">
      <c r="B339" s="89"/>
      <c r="C339"/>
      <c r="D339"/>
      <c r="E339" s="6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</row>
    <row r="340" spans="2:27" s="25" customFormat="1" ht="15.75" customHeight="1" x14ac:dyDescent="0.2">
      <c r="B340" s="89"/>
      <c r="C340"/>
      <c r="D340"/>
      <c r="E340" s="69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</row>
    <row r="341" spans="2:27" s="25" customFormat="1" ht="15.75" customHeight="1" x14ac:dyDescent="0.2">
      <c r="B341" s="89"/>
      <c r="C341"/>
      <c r="D341"/>
      <c r="E341" s="69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</row>
    <row r="342" spans="2:27" s="25" customFormat="1" ht="15.75" customHeight="1" x14ac:dyDescent="0.2">
      <c r="B342" s="89"/>
      <c r="C342"/>
      <c r="D342"/>
      <c r="E342" s="69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</row>
    <row r="343" spans="2:27" s="25" customFormat="1" ht="15.75" customHeight="1" x14ac:dyDescent="0.2">
      <c r="B343" s="89"/>
      <c r="C343"/>
      <c r="D343"/>
      <c r="E343" s="69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</row>
    <row r="344" spans="2:27" s="25" customFormat="1" ht="15.75" customHeight="1" x14ac:dyDescent="0.2">
      <c r="B344" s="89"/>
      <c r="C344"/>
      <c r="D344"/>
      <c r="E344" s="69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</row>
    <row r="345" spans="2:27" s="25" customFormat="1" ht="15.75" customHeight="1" x14ac:dyDescent="0.2">
      <c r="B345" s="89"/>
      <c r="C345"/>
      <c r="D345"/>
      <c r="E345" s="69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</row>
    <row r="346" spans="2:27" s="25" customFormat="1" ht="15.75" customHeight="1" x14ac:dyDescent="0.2">
      <c r="B346" s="89"/>
      <c r="C346"/>
      <c r="D346"/>
      <c r="E346" s="69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</row>
    <row r="347" spans="2:27" s="25" customFormat="1" ht="15.75" customHeight="1" x14ac:dyDescent="0.2">
      <c r="B347" s="89"/>
      <c r="C347"/>
      <c r="D347"/>
      <c r="E347" s="69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</row>
    <row r="348" spans="2:27" s="25" customFormat="1" ht="15.75" customHeight="1" x14ac:dyDescent="0.2">
      <c r="B348" s="89"/>
      <c r="C348"/>
      <c r="D348"/>
      <c r="E348" s="69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</row>
    <row r="349" spans="2:27" s="25" customFormat="1" ht="15.75" customHeight="1" x14ac:dyDescent="0.2">
      <c r="B349" s="89"/>
      <c r="C349"/>
      <c r="D349"/>
      <c r="E349" s="6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</row>
    <row r="350" spans="2:27" s="25" customFormat="1" ht="15.75" customHeight="1" x14ac:dyDescent="0.2">
      <c r="B350" s="89"/>
      <c r="C350"/>
      <c r="D350"/>
      <c r="E350" s="69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</row>
    <row r="351" spans="2:27" s="25" customFormat="1" ht="15.75" customHeight="1" x14ac:dyDescent="0.2">
      <c r="B351" s="89"/>
      <c r="C351"/>
      <c r="D351"/>
      <c r="E351" s="69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</row>
    <row r="352" spans="2:27" s="25" customFormat="1" ht="15.75" customHeight="1" x14ac:dyDescent="0.2">
      <c r="B352" s="89"/>
      <c r="C352"/>
      <c r="D352"/>
      <c r="E352" s="69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</row>
    <row r="353" spans="2:27" s="25" customFormat="1" ht="15.75" customHeight="1" x14ac:dyDescent="0.2">
      <c r="B353" s="89"/>
      <c r="C353"/>
      <c r="D353"/>
      <c r="E353" s="69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</row>
    <row r="354" spans="2:27" s="25" customFormat="1" ht="15.75" customHeight="1" x14ac:dyDescent="0.2">
      <c r="B354" s="89"/>
      <c r="C354"/>
      <c r="D354"/>
      <c r="E354" s="69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  <c r="AA354"/>
    </row>
    <row r="355" spans="2:27" s="25" customFormat="1" ht="15.75" customHeight="1" x14ac:dyDescent="0.2">
      <c r="B355" s="89"/>
      <c r="C355"/>
      <c r="D355"/>
      <c r="E355" s="69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</row>
    <row r="356" spans="2:27" s="25" customFormat="1" ht="15.75" customHeight="1" x14ac:dyDescent="0.2">
      <c r="B356" s="89"/>
      <c r="C356"/>
      <c r="D356"/>
      <c r="E356" s="69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</row>
    <row r="357" spans="2:27" s="25" customFormat="1" ht="15.75" customHeight="1" x14ac:dyDescent="0.2">
      <c r="B357" s="89"/>
      <c r="C357"/>
      <c r="D357"/>
      <c r="E357" s="69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</row>
    <row r="358" spans="2:27" s="25" customFormat="1" ht="15.75" customHeight="1" x14ac:dyDescent="0.2">
      <c r="B358" s="89"/>
      <c r="C358"/>
      <c r="D358"/>
      <c r="E358" s="69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</row>
    <row r="359" spans="2:27" s="25" customFormat="1" ht="15.75" customHeight="1" x14ac:dyDescent="0.2">
      <c r="B359" s="89"/>
      <c r="C359"/>
      <c r="D359"/>
      <c r="E359" s="6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</row>
    <row r="360" spans="2:27" s="25" customFormat="1" ht="15.75" customHeight="1" x14ac:dyDescent="0.2">
      <c r="B360" s="89"/>
      <c r="C360"/>
      <c r="D360"/>
      <c r="E360" s="69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</row>
    <row r="361" spans="2:27" s="25" customFormat="1" ht="15.75" customHeight="1" x14ac:dyDescent="0.2">
      <c r="B361" s="89"/>
      <c r="C361"/>
      <c r="D361"/>
      <c r="E361" s="69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</row>
    <row r="362" spans="2:27" s="25" customFormat="1" ht="15.75" customHeight="1" x14ac:dyDescent="0.2">
      <c r="B362" s="89"/>
      <c r="C362"/>
      <c r="D362"/>
      <c r="E362" s="69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</row>
    <row r="363" spans="2:27" s="25" customFormat="1" ht="15.75" customHeight="1" x14ac:dyDescent="0.2">
      <c r="B363" s="89"/>
      <c r="C363"/>
      <c r="D363"/>
      <c r="E363" s="69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</row>
    <row r="364" spans="2:27" s="25" customFormat="1" ht="15.75" customHeight="1" x14ac:dyDescent="0.2">
      <c r="B364" s="89"/>
      <c r="C364"/>
      <c r="D364"/>
      <c r="E364" s="69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</row>
    <row r="365" spans="2:27" s="25" customFormat="1" ht="15.75" customHeight="1" x14ac:dyDescent="0.2">
      <c r="B365" s="89"/>
      <c r="C365"/>
      <c r="D365"/>
      <c r="E365" s="69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</row>
    <row r="366" spans="2:27" s="25" customFormat="1" ht="15.75" customHeight="1" x14ac:dyDescent="0.2">
      <c r="B366" s="89"/>
      <c r="C366"/>
      <c r="D366"/>
      <c r="E366" s="69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</row>
    <row r="367" spans="2:27" s="25" customFormat="1" ht="15.75" customHeight="1" x14ac:dyDescent="0.2">
      <c r="B367" s="89"/>
      <c r="C367"/>
      <c r="D367"/>
      <c r="E367" s="69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</row>
    <row r="368" spans="2:27" s="25" customFormat="1" ht="15.75" customHeight="1" x14ac:dyDescent="0.2">
      <c r="B368" s="89"/>
      <c r="C368"/>
      <c r="D368"/>
      <c r="E368" s="69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</row>
    <row r="369" spans="2:27" s="25" customFormat="1" ht="15.75" customHeight="1" x14ac:dyDescent="0.2">
      <c r="B369" s="89"/>
      <c r="C369"/>
      <c r="D369"/>
      <c r="E369" s="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</row>
    <row r="370" spans="2:27" s="25" customFormat="1" ht="15.75" customHeight="1" x14ac:dyDescent="0.2">
      <c r="B370" s="89"/>
      <c r="C370"/>
      <c r="D370"/>
      <c r="E370" s="69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</row>
    <row r="371" spans="2:27" s="25" customFormat="1" ht="15.75" customHeight="1" x14ac:dyDescent="0.2">
      <c r="B371" s="89"/>
      <c r="C371"/>
      <c r="D371"/>
      <c r="E371" s="69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</row>
    <row r="372" spans="2:27" s="25" customFormat="1" ht="15.75" customHeight="1" x14ac:dyDescent="0.2">
      <c r="B372" s="89"/>
      <c r="C372"/>
      <c r="D372"/>
      <c r="E372" s="69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</row>
    <row r="373" spans="2:27" s="25" customFormat="1" ht="15.75" customHeight="1" x14ac:dyDescent="0.2">
      <c r="B373" s="89"/>
      <c r="C373"/>
      <c r="D373"/>
      <c r="E373" s="69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</row>
    <row r="374" spans="2:27" s="25" customFormat="1" ht="15.75" customHeight="1" x14ac:dyDescent="0.2">
      <c r="B374" s="89"/>
      <c r="C374"/>
      <c r="D374"/>
      <c r="E374" s="69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</row>
    <row r="375" spans="2:27" s="25" customFormat="1" ht="15.75" customHeight="1" x14ac:dyDescent="0.2">
      <c r="B375" s="89"/>
      <c r="C375"/>
      <c r="D375"/>
      <c r="E375" s="69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</row>
    <row r="376" spans="2:27" s="25" customFormat="1" ht="15.75" customHeight="1" x14ac:dyDescent="0.2">
      <c r="B376" s="89"/>
      <c r="C376"/>
      <c r="D376"/>
      <c r="E376" s="69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</row>
    <row r="377" spans="2:27" s="25" customFormat="1" ht="15.75" customHeight="1" x14ac:dyDescent="0.2">
      <c r="B377" s="89"/>
      <c r="C377"/>
      <c r="D377"/>
      <c r="E377" s="69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</row>
    <row r="378" spans="2:27" s="25" customFormat="1" ht="15.75" customHeight="1" x14ac:dyDescent="0.2">
      <c r="B378" s="89"/>
      <c r="C378"/>
      <c r="D378"/>
      <c r="E378" s="69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</row>
    <row r="379" spans="2:27" s="25" customFormat="1" ht="15.75" customHeight="1" x14ac:dyDescent="0.2">
      <c r="B379" s="89"/>
      <c r="C379"/>
      <c r="D379"/>
      <c r="E379" s="6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</row>
    <row r="380" spans="2:27" s="25" customFormat="1" ht="15.75" customHeight="1" x14ac:dyDescent="0.2">
      <c r="B380" s="89"/>
      <c r="C380"/>
      <c r="D380"/>
      <c r="E380" s="69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</row>
    <row r="381" spans="2:27" s="25" customFormat="1" ht="15.75" customHeight="1" x14ac:dyDescent="0.2">
      <c r="B381" s="89"/>
      <c r="C381"/>
      <c r="D381"/>
      <c r="E381" s="69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  <c r="AA381"/>
    </row>
    <row r="382" spans="2:27" s="25" customFormat="1" ht="15.75" customHeight="1" x14ac:dyDescent="0.2">
      <c r="B382" s="89"/>
      <c r="C382"/>
      <c r="D382"/>
      <c r="E382" s="69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  <c r="AA382"/>
    </row>
    <row r="383" spans="2:27" s="25" customFormat="1" ht="15.75" customHeight="1" x14ac:dyDescent="0.2">
      <c r="B383" s="89"/>
      <c r="C383"/>
      <c r="D383"/>
      <c r="E383" s="69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  <c r="AA383"/>
    </row>
    <row r="384" spans="2:27" s="25" customFormat="1" ht="15.75" customHeight="1" x14ac:dyDescent="0.2">
      <c r="B384" s="89"/>
      <c r="C384"/>
      <c r="D384"/>
      <c r="E384" s="69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</row>
    <row r="385" spans="2:27" s="25" customFormat="1" ht="15.75" customHeight="1" x14ac:dyDescent="0.2">
      <c r="B385" s="89"/>
      <c r="C385"/>
      <c r="D385"/>
      <c r="E385" s="69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  <c r="AA385"/>
    </row>
    <row r="386" spans="2:27" s="25" customFormat="1" ht="15.75" customHeight="1" x14ac:dyDescent="0.2">
      <c r="B386" s="89"/>
      <c r="C386"/>
      <c r="D386"/>
      <c r="E386" s="69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</row>
    <row r="387" spans="2:27" s="25" customFormat="1" ht="15.75" customHeight="1" x14ac:dyDescent="0.2">
      <c r="B387" s="89"/>
      <c r="C387"/>
      <c r="D387"/>
      <c r="E387" s="69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/>
    </row>
    <row r="388" spans="2:27" s="25" customFormat="1" ht="15.75" customHeight="1" x14ac:dyDescent="0.2">
      <c r="B388" s="89"/>
      <c r="C388"/>
      <c r="D388"/>
      <c r="E388" s="69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</row>
    <row r="389" spans="2:27" s="25" customFormat="1" ht="15.75" customHeight="1" x14ac:dyDescent="0.2">
      <c r="B389" s="89"/>
      <c r="C389"/>
      <c r="D389"/>
      <c r="E389" s="6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</row>
    <row r="390" spans="2:27" s="25" customFormat="1" ht="15.75" customHeight="1" x14ac:dyDescent="0.2">
      <c r="B390" s="89"/>
      <c r="C390"/>
      <c r="D390"/>
      <c r="E390" s="69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</row>
    <row r="391" spans="2:27" s="25" customFormat="1" ht="15.75" customHeight="1" x14ac:dyDescent="0.2">
      <c r="B391" s="89"/>
      <c r="C391"/>
      <c r="D391"/>
      <c r="E391" s="69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  <c r="AA391"/>
    </row>
    <row r="392" spans="2:27" s="25" customFormat="1" ht="15.75" customHeight="1" x14ac:dyDescent="0.2">
      <c r="B392" s="89"/>
      <c r="C392"/>
      <c r="D392"/>
      <c r="E392" s="69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</row>
    <row r="393" spans="2:27" s="25" customFormat="1" ht="15.75" customHeight="1" x14ac:dyDescent="0.2">
      <c r="B393" s="89"/>
      <c r="C393"/>
      <c r="D393"/>
      <c r="E393" s="69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  <c r="AA393"/>
    </row>
    <row r="394" spans="2:27" s="25" customFormat="1" ht="15.75" customHeight="1" x14ac:dyDescent="0.2">
      <c r="B394" s="89"/>
      <c r="C394"/>
      <c r="D394"/>
      <c r="E394" s="69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  <c r="AA394"/>
    </row>
    <row r="395" spans="2:27" s="25" customFormat="1" ht="15.75" customHeight="1" x14ac:dyDescent="0.2">
      <c r="B395" s="89"/>
      <c r="C395"/>
      <c r="D395"/>
      <c r="E395" s="69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  <c r="AA395"/>
    </row>
    <row r="396" spans="2:27" s="25" customFormat="1" ht="15.75" customHeight="1" x14ac:dyDescent="0.2">
      <c r="B396" s="89"/>
      <c r="C396"/>
      <c r="D396"/>
      <c r="E396" s="69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</row>
    <row r="397" spans="2:27" s="25" customFormat="1" ht="15.75" customHeight="1" x14ac:dyDescent="0.2">
      <c r="B397" s="89"/>
      <c r="C397"/>
      <c r="D397"/>
      <c r="E397" s="69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</row>
    <row r="398" spans="2:27" s="25" customFormat="1" ht="15.75" customHeight="1" x14ac:dyDescent="0.2">
      <c r="B398" s="89"/>
      <c r="C398"/>
      <c r="D398"/>
      <c r="E398" s="69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</row>
    <row r="399" spans="2:27" s="25" customFormat="1" ht="15.75" customHeight="1" x14ac:dyDescent="0.2">
      <c r="B399" s="89"/>
      <c r="C399"/>
      <c r="D399"/>
      <c r="E399" s="6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</row>
    <row r="400" spans="2:27" s="25" customFormat="1" ht="15.75" customHeight="1" x14ac:dyDescent="0.2">
      <c r="B400" s="89"/>
      <c r="C400"/>
      <c r="D400"/>
      <c r="E400" s="69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</row>
    <row r="401" spans="2:27" s="25" customFormat="1" ht="15.75" customHeight="1" x14ac:dyDescent="0.2">
      <c r="B401" s="89"/>
      <c r="C401"/>
      <c r="D401"/>
      <c r="E401" s="69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</row>
    <row r="402" spans="2:27" s="25" customFormat="1" ht="15.75" customHeight="1" x14ac:dyDescent="0.2">
      <c r="B402" s="89"/>
      <c r="C402"/>
      <c r="D402"/>
      <c r="E402" s="69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</row>
    <row r="403" spans="2:27" s="25" customFormat="1" ht="15.75" customHeight="1" x14ac:dyDescent="0.2">
      <c r="B403" s="89"/>
      <c r="C403"/>
      <c r="D403"/>
      <c r="E403" s="69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</row>
    <row r="404" spans="2:27" s="25" customFormat="1" ht="15.75" customHeight="1" x14ac:dyDescent="0.2">
      <c r="B404" s="89"/>
      <c r="C404"/>
      <c r="D404"/>
      <c r="E404" s="69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</row>
    <row r="405" spans="2:27" s="25" customFormat="1" ht="15.75" customHeight="1" x14ac:dyDescent="0.2">
      <c r="B405" s="89"/>
      <c r="C405"/>
      <c r="D405"/>
      <c r="E405" s="69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</row>
    <row r="406" spans="2:27" s="25" customFormat="1" ht="15.75" customHeight="1" x14ac:dyDescent="0.2">
      <c r="B406" s="89"/>
      <c r="C406"/>
      <c r="D406"/>
      <c r="E406" s="69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  <c r="AA406"/>
    </row>
    <row r="407" spans="2:27" s="25" customFormat="1" ht="15.75" customHeight="1" x14ac:dyDescent="0.2">
      <c r="B407" s="89"/>
      <c r="C407"/>
      <c r="D407"/>
      <c r="E407" s="69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  <c r="AA407"/>
    </row>
    <row r="408" spans="2:27" s="25" customFormat="1" ht="15.75" customHeight="1" x14ac:dyDescent="0.2">
      <c r="B408" s="89"/>
      <c r="C408"/>
      <c r="D408"/>
      <c r="E408" s="69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</row>
    <row r="409" spans="2:27" s="25" customFormat="1" ht="15.75" customHeight="1" x14ac:dyDescent="0.2">
      <c r="B409" s="89"/>
      <c r="C409"/>
      <c r="D409"/>
      <c r="E409" s="6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</row>
    <row r="410" spans="2:27" s="25" customFormat="1" ht="15.75" customHeight="1" x14ac:dyDescent="0.2">
      <c r="B410" s="89"/>
      <c r="C410"/>
      <c r="D410"/>
      <c r="E410" s="69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</row>
    <row r="411" spans="2:27" s="25" customFormat="1" ht="15.75" customHeight="1" x14ac:dyDescent="0.2">
      <c r="B411" s="89"/>
      <c r="C411"/>
      <c r="D411"/>
      <c r="E411" s="69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  <c r="AA411"/>
    </row>
    <row r="412" spans="2:27" s="25" customFormat="1" ht="15.75" customHeight="1" x14ac:dyDescent="0.2">
      <c r="B412" s="89"/>
      <c r="C412"/>
      <c r="D412"/>
      <c r="E412" s="69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</row>
    <row r="413" spans="2:27" s="25" customFormat="1" ht="15.75" customHeight="1" x14ac:dyDescent="0.2">
      <c r="B413" s="89"/>
      <c r="C413"/>
      <c r="D413"/>
      <c r="E413" s="69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/>
    </row>
    <row r="414" spans="2:27" s="25" customFormat="1" ht="15.75" customHeight="1" x14ac:dyDescent="0.2">
      <c r="B414" s="89"/>
      <c r="C414"/>
      <c r="D414"/>
      <c r="E414" s="69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  <c r="AA414"/>
    </row>
    <row r="415" spans="2:27" s="25" customFormat="1" ht="15.75" customHeight="1" x14ac:dyDescent="0.2">
      <c r="B415" s="89"/>
      <c r="C415"/>
      <c r="D415"/>
      <c r="E415" s="69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  <c r="Z415"/>
      <c r="AA415"/>
    </row>
    <row r="416" spans="2:27" s="25" customFormat="1" ht="15.75" customHeight="1" x14ac:dyDescent="0.2">
      <c r="B416" s="89"/>
      <c r="C416"/>
      <c r="D416"/>
      <c r="E416" s="69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  <c r="AA416"/>
    </row>
    <row r="417" spans="2:27" s="25" customFormat="1" ht="15.75" customHeight="1" x14ac:dyDescent="0.2">
      <c r="B417" s="89"/>
      <c r="C417"/>
      <c r="D417"/>
      <c r="E417" s="69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  <c r="AA417"/>
    </row>
    <row r="418" spans="2:27" s="25" customFormat="1" ht="15.75" customHeight="1" x14ac:dyDescent="0.2">
      <c r="B418" s="89"/>
      <c r="C418"/>
      <c r="D418"/>
      <c r="E418" s="69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  <c r="AA418"/>
    </row>
    <row r="419" spans="2:27" s="25" customFormat="1" ht="15.75" customHeight="1" x14ac:dyDescent="0.2">
      <c r="B419" s="89"/>
      <c r="C419"/>
      <c r="D419"/>
      <c r="E419" s="6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  <c r="AA419"/>
    </row>
    <row r="420" spans="2:27" s="25" customFormat="1" ht="15.75" customHeight="1" x14ac:dyDescent="0.2">
      <c r="B420" s="89"/>
      <c r="C420"/>
      <c r="D420"/>
      <c r="E420" s="69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</row>
    <row r="421" spans="2:27" s="25" customFormat="1" ht="15.75" customHeight="1" x14ac:dyDescent="0.2">
      <c r="B421" s="89"/>
      <c r="C421"/>
      <c r="D421"/>
      <c r="E421" s="69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/>
      <c r="W421"/>
      <c r="X421"/>
      <c r="Y421"/>
      <c r="Z421"/>
      <c r="AA421"/>
    </row>
    <row r="422" spans="2:27" s="25" customFormat="1" ht="15.75" customHeight="1" x14ac:dyDescent="0.2">
      <c r="B422" s="89"/>
      <c r="C422"/>
      <c r="D422"/>
      <c r="E422" s="69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  <c r="AA422"/>
    </row>
    <row r="423" spans="2:27" s="25" customFormat="1" ht="15.75" customHeight="1" x14ac:dyDescent="0.2">
      <c r="B423" s="89"/>
      <c r="C423"/>
      <c r="D423"/>
      <c r="E423" s="69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  <c r="AA423"/>
    </row>
    <row r="424" spans="2:27" s="25" customFormat="1" ht="15.75" customHeight="1" x14ac:dyDescent="0.2">
      <c r="B424" s="89"/>
      <c r="C424"/>
      <c r="D424"/>
      <c r="E424" s="69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  <c r="AA424"/>
    </row>
    <row r="425" spans="2:27" s="25" customFormat="1" ht="15.75" customHeight="1" x14ac:dyDescent="0.2">
      <c r="B425" s="89"/>
      <c r="C425"/>
      <c r="D425"/>
      <c r="E425" s="69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  <c r="AA425"/>
    </row>
    <row r="426" spans="2:27" s="25" customFormat="1" ht="15.75" customHeight="1" x14ac:dyDescent="0.2">
      <c r="B426" s="89"/>
      <c r="C426"/>
      <c r="D426"/>
      <c r="E426" s="69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  <c r="AA426"/>
    </row>
    <row r="427" spans="2:27" s="25" customFormat="1" ht="15.75" customHeight="1" x14ac:dyDescent="0.2">
      <c r="B427" s="89"/>
      <c r="C427"/>
      <c r="D427"/>
      <c r="E427" s="69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  <c r="AA427"/>
    </row>
    <row r="428" spans="2:27" s="25" customFormat="1" ht="15.75" customHeight="1" x14ac:dyDescent="0.2">
      <c r="B428" s="89"/>
      <c r="C428"/>
      <c r="D428"/>
      <c r="E428" s="69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</row>
    <row r="429" spans="2:27" s="25" customFormat="1" ht="15.75" customHeight="1" x14ac:dyDescent="0.2">
      <c r="B429" s="89"/>
      <c r="C429"/>
      <c r="D429"/>
      <c r="E429" s="6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  <c r="AA429"/>
    </row>
    <row r="430" spans="2:27" s="25" customFormat="1" ht="15.75" customHeight="1" x14ac:dyDescent="0.2">
      <c r="B430" s="89"/>
      <c r="C430"/>
      <c r="D430"/>
      <c r="E430" s="69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  <c r="W430"/>
      <c r="X430"/>
      <c r="Y430"/>
      <c r="Z430"/>
      <c r="AA430"/>
    </row>
    <row r="431" spans="2:27" s="25" customFormat="1" ht="15.75" customHeight="1" x14ac:dyDescent="0.2">
      <c r="B431" s="89"/>
      <c r="C431"/>
      <c r="D431"/>
      <c r="E431" s="69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  <c r="Y431"/>
      <c r="Z431"/>
      <c r="AA431"/>
    </row>
    <row r="432" spans="2:27" s="25" customFormat="1" ht="15.75" customHeight="1" x14ac:dyDescent="0.2">
      <c r="B432" s="89"/>
      <c r="C432"/>
      <c r="D432"/>
      <c r="E432" s="69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  <c r="AA432"/>
    </row>
    <row r="433" spans="2:27" s="25" customFormat="1" ht="15.75" customHeight="1" x14ac:dyDescent="0.2">
      <c r="B433" s="89"/>
      <c r="C433"/>
      <c r="D433"/>
      <c r="E433" s="69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  <c r="AA433"/>
    </row>
    <row r="434" spans="2:27" s="25" customFormat="1" ht="15.75" customHeight="1" x14ac:dyDescent="0.2">
      <c r="B434" s="89"/>
      <c r="C434"/>
      <c r="D434"/>
      <c r="E434" s="69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  <c r="AA434"/>
    </row>
    <row r="435" spans="2:27" s="25" customFormat="1" ht="15.75" customHeight="1" x14ac:dyDescent="0.2">
      <c r="B435" s="89"/>
      <c r="C435"/>
      <c r="D435"/>
      <c r="E435" s="69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  <c r="V435"/>
      <c r="W435"/>
      <c r="X435"/>
      <c r="Y435"/>
      <c r="Z435"/>
      <c r="AA435"/>
    </row>
    <row r="436" spans="2:27" s="25" customFormat="1" ht="15.75" customHeight="1" x14ac:dyDescent="0.2">
      <c r="B436" s="89"/>
      <c r="C436"/>
      <c r="D436"/>
      <c r="E436" s="69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</row>
    <row r="437" spans="2:27" s="25" customFormat="1" ht="15.75" customHeight="1" x14ac:dyDescent="0.2">
      <c r="B437" s="89"/>
      <c r="C437"/>
      <c r="D437"/>
      <c r="E437" s="69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  <c r="Y437"/>
      <c r="Z437"/>
      <c r="AA437"/>
    </row>
    <row r="438" spans="2:27" s="25" customFormat="1" ht="15.75" customHeight="1" x14ac:dyDescent="0.2">
      <c r="B438" s="89"/>
      <c r="C438"/>
      <c r="D438"/>
      <c r="E438" s="69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  <c r="W438"/>
      <c r="X438"/>
      <c r="Y438"/>
      <c r="Z438"/>
      <c r="AA438"/>
    </row>
    <row r="439" spans="2:27" s="25" customFormat="1" ht="15.75" customHeight="1" x14ac:dyDescent="0.2">
      <c r="B439" s="89"/>
      <c r="C439"/>
      <c r="D439"/>
      <c r="E439" s="6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  <c r="AA439"/>
    </row>
    <row r="440" spans="2:27" s="25" customFormat="1" ht="15.75" customHeight="1" x14ac:dyDescent="0.2">
      <c r="B440" s="89"/>
      <c r="C440"/>
      <c r="D440"/>
      <c r="E440" s="69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</row>
    <row r="441" spans="2:27" s="25" customFormat="1" ht="15.75" customHeight="1" x14ac:dyDescent="0.2">
      <c r="B441" s="89"/>
      <c r="C441"/>
      <c r="D441"/>
      <c r="E441" s="69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/>
      <c r="W441"/>
      <c r="X441"/>
      <c r="Y441"/>
      <c r="Z441"/>
      <c r="AA441"/>
    </row>
    <row r="442" spans="2:27" s="25" customFormat="1" ht="15.75" customHeight="1" x14ac:dyDescent="0.2">
      <c r="B442" s="89"/>
      <c r="C442"/>
      <c r="D442"/>
      <c r="E442" s="69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  <c r="AA442"/>
    </row>
    <row r="443" spans="2:27" s="25" customFormat="1" ht="15.75" customHeight="1" x14ac:dyDescent="0.2">
      <c r="B443" s="89"/>
      <c r="C443"/>
      <c r="D443"/>
      <c r="E443" s="69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  <c r="AA443"/>
    </row>
    <row r="444" spans="2:27" s="25" customFormat="1" ht="15.75" customHeight="1" x14ac:dyDescent="0.2">
      <c r="B444" s="89"/>
      <c r="C444"/>
      <c r="D444"/>
      <c r="E444" s="69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  <c r="AA444"/>
    </row>
    <row r="445" spans="2:27" s="25" customFormat="1" ht="15.75" customHeight="1" x14ac:dyDescent="0.2">
      <c r="B445" s="89"/>
      <c r="C445"/>
      <c r="D445"/>
      <c r="E445" s="69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  <c r="V445"/>
      <c r="W445"/>
      <c r="X445"/>
      <c r="Y445"/>
      <c r="Z445"/>
      <c r="AA445"/>
    </row>
    <row r="446" spans="2:27" s="25" customFormat="1" ht="15.75" customHeight="1" x14ac:dyDescent="0.2">
      <c r="B446" s="89"/>
      <c r="C446"/>
      <c r="D446"/>
      <c r="E446" s="69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  <c r="Y446"/>
      <c r="Z446"/>
      <c r="AA446"/>
    </row>
    <row r="447" spans="2:27" s="25" customFormat="1" ht="15.75" customHeight="1" x14ac:dyDescent="0.2">
      <c r="B447" s="89"/>
      <c r="C447"/>
      <c r="D447"/>
      <c r="E447" s="69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  <c r="W447"/>
      <c r="X447"/>
      <c r="Y447"/>
      <c r="Z447"/>
      <c r="AA447"/>
    </row>
    <row r="448" spans="2:27" s="25" customFormat="1" ht="15.75" customHeight="1" x14ac:dyDescent="0.2">
      <c r="B448" s="89"/>
      <c r="C448"/>
      <c r="D448"/>
      <c r="E448" s="69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</row>
    <row r="449" spans="2:27" s="25" customFormat="1" ht="15.75" customHeight="1" x14ac:dyDescent="0.2">
      <c r="B449" s="89"/>
      <c r="C449"/>
      <c r="D449"/>
      <c r="E449" s="6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  <c r="W449"/>
      <c r="X449"/>
      <c r="Y449"/>
      <c r="Z449"/>
      <c r="AA449"/>
    </row>
    <row r="450" spans="2:27" s="25" customFormat="1" ht="15.75" customHeight="1" x14ac:dyDescent="0.2">
      <c r="B450" s="89"/>
      <c r="C450"/>
      <c r="D450"/>
      <c r="E450" s="69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  <c r="AA450"/>
    </row>
    <row r="451" spans="2:27" s="25" customFormat="1" ht="15.75" customHeight="1" x14ac:dyDescent="0.2">
      <c r="B451" s="89"/>
      <c r="C451"/>
      <c r="D451"/>
      <c r="E451" s="69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  <c r="AA451"/>
    </row>
    <row r="452" spans="2:27" s="25" customFormat="1" ht="15.75" customHeight="1" x14ac:dyDescent="0.2">
      <c r="B452" s="89"/>
      <c r="C452"/>
      <c r="D452"/>
      <c r="E452" s="69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</row>
    <row r="453" spans="2:27" s="25" customFormat="1" ht="15.75" customHeight="1" x14ac:dyDescent="0.2">
      <c r="B453" s="89"/>
      <c r="C453"/>
      <c r="D453"/>
      <c r="E453" s="69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  <c r="AA453"/>
    </row>
    <row r="454" spans="2:27" s="25" customFormat="1" ht="15.75" customHeight="1" x14ac:dyDescent="0.2">
      <c r="B454" s="89"/>
      <c r="C454"/>
      <c r="D454"/>
      <c r="E454" s="69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  <c r="AA454"/>
    </row>
    <row r="455" spans="2:27" s="25" customFormat="1" ht="15.75" customHeight="1" x14ac:dyDescent="0.2">
      <c r="B455" s="89"/>
      <c r="C455"/>
      <c r="D455"/>
      <c r="E455" s="69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  <c r="AA455"/>
    </row>
    <row r="456" spans="2:27" s="25" customFormat="1" ht="15.75" customHeight="1" x14ac:dyDescent="0.2">
      <c r="B456" s="89"/>
      <c r="C456"/>
      <c r="D456"/>
      <c r="E456" s="69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  <c r="AA456"/>
    </row>
    <row r="457" spans="2:27" s="25" customFormat="1" ht="15.75" customHeight="1" x14ac:dyDescent="0.2">
      <c r="B457" s="89"/>
      <c r="C457"/>
      <c r="D457"/>
      <c r="E457" s="69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  <c r="AA457"/>
    </row>
    <row r="458" spans="2:27" s="25" customFormat="1" ht="15.75" customHeight="1" x14ac:dyDescent="0.2">
      <c r="B458" s="89"/>
      <c r="C458"/>
      <c r="D458"/>
      <c r="E458" s="69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  <c r="V458"/>
      <c r="W458"/>
      <c r="X458"/>
      <c r="Y458"/>
      <c r="Z458"/>
      <c r="AA458"/>
    </row>
    <row r="459" spans="2:27" s="25" customFormat="1" ht="15.75" customHeight="1" x14ac:dyDescent="0.2">
      <c r="B459" s="89"/>
      <c r="C459"/>
      <c r="D459"/>
      <c r="E459" s="6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  <c r="AA459"/>
    </row>
    <row r="460" spans="2:27" s="25" customFormat="1" ht="15.75" customHeight="1" x14ac:dyDescent="0.2">
      <c r="B460" s="89"/>
      <c r="C460"/>
      <c r="D460"/>
      <c r="E460" s="69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  <c r="AA460"/>
    </row>
    <row r="461" spans="2:27" s="25" customFormat="1" ht="15.75" customHeight="1" x14ac:dyDescent="0.2">
      <c r="B461" s="89"/>
      <c r="C461"/>
      <c r="D461"/>
      <c r="E461" s="69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  <c r="AA461"/>
    </row>
    <row r="462" spans="2:27" s="25" customFormat="1" ht="15.75" customHeight="1" x14ac:dyDescent="0.2">
      <c r="B462" s="89"/>
      <c r="C462"/>
      <c r="D462"/>
      <c r="E462" s="69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  <c r="AA462"/>
    </row>
    <row r="463" spans="2:27" s="25" customFormat="1" ht="15.75" customHeight="1" x14ac:dyDescent="0.2">
      <c r="B463" s="89"/>
      <c r="C463"/>
      <c r="D463"/>
      <c r="E463" s="69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  <c r="AA463"/>
    </row>
    <row r="464" spans="2:27" s="25" customFormat="1" ht="15.75" customHeight="1" x14ac:dyDescent="0.2">
      <c r="B464" s="89"/>
      <c r="C464"/>
      <c r="D464"/>
      <c r="E464" s="69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  <c r="AA464"/>
    </row>
    <row r="465" spans="2:27" s="25" customFormat="1" ht="15.75" customHeight="1" x14ac:dyDescent="0.2">
      <c r="B465" s="89"/>
      <c r="C465"/>
      <c r="D465"/>
      <c r="E465" s="69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  <c r="AA465"/>
    </row>
    <row r="466" spans="2:27" s="25" customFormat="1" ht="15.75" customHeight="1" x14ac:dyDescent="0.2">
      <c r="B466" s="89"/>
      <c r="C466"/>
      <c r="D466"/>
      <c r="E466" s="69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  <c r="AA466"/>
    </row>
    <row r="467" spans="2:27" s="25" customFormat="1" ht="15.75" customHeight="1" x14ac:dyDescent="0.2">
      <c r="B467" s="89"/>
      <c r="C467"/>
      <c r="D467"/>
      <c r="E467" s="69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  <c r="AA467"/>
    </row>
    <row r="468" spans="2:27" s="25" customFormat="1" ht="15.75" customHeight="1" x14ac:dyDescent="0.2">
      <c r="B468" s="89"/>
      <c r="C468"/>
      <c r="D468"/>
      <c r="E468" s="69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</row>
    <row r="469" spans="2:27" s="25" customFormat="1" ht="15.75" customHeight="1" x14ac:dyDescent="0.2">
      <c r="B469" s="89"/>
      <c r="C469"/>
      <c r="D469"/>
      <c r="E469" s="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  <c r="AA469"/>
    </row>
    <row r="470" spans="2:27" s="25" customFormat="1" ht="15.75" customHeight="1" x14ac:dyDescent="0.2">
      <c r="B470" s="89"/>
      <c r="C470"/>
      <c r="D470"/>
      <c r="E470" s="69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  <c r="AA470"/>
    </row>
    <row r="471" spans="2:27" s="25" customFormat="1" ht="15.75" customHeight="1" x14ac:dyDescent="0.2">
      <c r="B471" s="89"/>
      <c r="C471"/>
      <c r="D471"/>
      <c r="E471" s="69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  <c r="AA471"/>
    </row>
    <row r="472" spans="2:27" s="25" customFormat="1" ht="15.75" customHeight="1" x14ac:dyDescent="0.2">
      <c r="B472" s="89"/>
      <c r="C472"/>
      <c r="D472"/>
      <c r="E472" s="69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  <c r="AA472"/>
    </row>
    <row r="473" spans="2:27" s="25" customFormat="1" ht="15.75" customHeight="1" x14ac:dyDescent="0.2">
      <c r="B473" s="89"/>
      <c r="C473"/>
      <c r="D473"/>
      <c r="E473" s="69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  <c r="W473"/>
      <c r="X473"/>
      <c r="Y473"/>
      <c r="Z473"/>
      <c r="AA473"/>
    </row>
    <row r="474" spans="2:27" s="25" customFormat="1" ht="15.75" customHeight="1" x14ac:dyDescent="0.2">
      <c r="B474" s="89"/>
      <c r="C474"/>
      <c r="D474"/>
      <c r="E474" s="69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/>
      <c r="W474"/>
      <c r="X474"/>
      <c r="Y474"/>
      <c r="Z474"/>
      <c r="AA474"/>
    </row>
    <row r="475" spans="2:27" s="25" customFormat="1" ht="15.75" customHeight="1" x14ac:dyDescent="0.2">
      <c r="B475" s="89"/>
      <c r="C475"/>
      <c r="D475"/>
      <c r="E475" s="69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  <c r="W475"/>
      <c r="X475"/>
      <c r="Y475"/>
      <c r="Z475"/>
      <c r="AA475"/>
    </row>
    <row r="476" spans="2:27" s="25" customFormat="1" ht="15.75" customHeight="1" x14ac:dyDescent="0.2">
      <c r="B476" s="89"/>
      <c r="C476"/>
      <c r="D476"/>
      <c r="E476" s="69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  <c r="W476"/>
      <c r="X476"/>
      <c r="Y476"/>
      <c r="Z476"/>
      <c r="AA476"/>
    </row>
    <row r="477" spans="2:27" s="25" customFormat="1" ht="15.75" customHeight="1" x14ac:dyDescent="0.2">
      <c r="B477" s="89"/>
      <c r="C477"/>
      <c r="D477"/>
      <c r="E477" s="69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  <c r="W477"/>
      <c r="X477"/>
      <c r="Y477"/>
      <c r="Z477"/>
      <c r="AA477"/>
    </row>
    <row r="478" spans="2:27" s="25" customFormat="1" ht="15.75" customHeight="1" x14ac:dyDescent="0.2">
      <c r="B478" s="89"/>
      <c r="C478"/>
      <c r="D478"/>
      <c r="E478" s="69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  <c r="W478"/>
      <c r="X478"/>
      <c r="Y478"/>
      <c r="Z478"/>
      <c r="AA478"/>
    </row>
    <row r="479" spans="2:27" s="25" customFormat="1" ht="15.75" customHeight="1" x14ac:dyDescent="0.2">
      <c r="B479" s="89"/>
      <c r="C479"/>
      <c r="D479"/>
      <c r="E479" s="6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  <c r="W479"/>
      <c r="X479"/>
      <c r="Y479"/>
      <c r="Z479"/>
      <c r="AA479"/>
    </row>
    <row r="480" spans="2:27" s="25" customFormat="1" ht="15.75" customHeight="1" x14ac:dyDescent="0.2">
      <c r="B480" s="89"/>
      <c r="C480"/>
      <c r="D480"/>
      <c r="E480" s="69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  <c r="AA480"/>
    </row>
    <row r="481" spans="2:27" s="25" customFormat="1" ht="15.75" customHeight="1" x14ac:dyDescent="0.2">
      <c r="B481" s="89"/>
      <c r="C481"/>
      <c r="D481"/>
      <c r="E481" s="69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  <c r="V481"/>
      <c r="W481"/>
      <c r="X481"/>
      <c r="Y481"/>
      <c r="Z481"/>
      <c r="AA481"/>
    </row>
    <row r="482" spans="2:27" s="25" customFormat="1" ht="15.75" customHeight="1" x14ac:dyDescent="0.2">
      <c r="B482" s="89"/>
      <c r="C482"/>
      <c r="D482"/>
      <c r="E482" s="69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  <c r="W482"/>
      <c r="X482"/>
      <c r="Y482"/>
      <c r="Z482"/>
      <c r="AA482"/>
    </row>
    <row r="483" spans="2:27" s="25" customFormat="1" ht="15.75" customHeight="1" x14ac:dyDescent="0.2">
      <c r="B483" s="89"/>
      <c r="C483"/>
      <c r="D483"/>
      <c r="E483" s="69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  <c r="W483"/>
      <c r="X483"/>
      <c r="Y483"/>
      <c r="Z483"/>
      <c r="AA483"/>
    </row>
    <row r="484" spans="2:27" s="25" customFormat="1" ht="15.75" customHeight="1" x14ac:dyDescent="0.2">
      <c r="B484" s="89"/>
      <c r="C484"/>
      <c r="D484"/>
      <c r="E484" s="69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  <c r="AA484"/>
    </row>
    <row r="485" spans="2:27" s="25" customFormat="1" ht="15.75" customHeight="1" x14ac:dyDescent="0.2">
      <c r="B485" s="89"/>
      <c r="C485"/>
      <c r="D485"/>
      <c r="E485" s="69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  <c r="W485"/>
      <c r="X485"/>
      <c r="Y485"/>
      <c r="Z485"/>
      <c r="AA485"/>
    </row>
    <row r="486" spans="2:27" s="25" customFormat="1" ht="15.75" customHeight="1" x14ac:dyDescent="0.2">
      <c r="B486" s="89"/>
      <c r="C486"/>
      <c r="D486"/>
      <c r="E486" s="69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  <c r="V486"/>
      <c r="W486"/>
      <c r="X486"/>
      <c r="Y486"/>
      <c r="Z486"/>
      <c r="AA486"/>
    </row>
    <row r="487" spans="2:27" s="25" customFormat="1" ht="15.75" customHeight="1" x14ac:dyDescent="0.2">
      <c r="B487" s="89"/>
      <c r="C487"/>
      <c r="D487"/>
      <c r="E487" s="69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  <c r="V487"/>
      <c r="W487"/>
      <c r="X487"/>
      <c r="Y487"/>
      <c r="Z487"/>
      <c r="AA487"/>
    </row>
    <row r="488" spans="2:27" s="25" customFormat="1" ht="15.75" customHeight="1" x14ac:dyDescent="0.2">
      <c r="B488" s="89"/>
      <c r="C488"/>
      <c r="D488"/>
      <c r="E488" s="69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  <c r="AA488"/>
    </row>
    <row r="489" spans="2:27" s="25" customFormat="1" ht="15.75" customHeight="1" x14ac:dyDescent="0.2">
      <c r="B489" s="89"/>
      <c r="C489"/>
      <c r="D489"/>
      <c r="E489" s="6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  <c r="W489"/>
      <c r="X489"/>
      <c r="Y489"/>
      <c r="Z489"/>
      <c r="AA489"/>
    </row>
    <row r="490" spans="2:27" s="25" customFormat="1" ht="15.75" customHeight="1" x14ac:dyDescent="0.2">
      <c r="B490" s="89"/>
      <c r="C490"/>
      <c r="D490"/>
      <c r="E490" s="69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  <c r="V490"/>
      <c r="W490"/>
      <c r="X490"/>
      <c r="Y490"/>
      <c r="Z490"/>
      <c r="AA490"/>
    </row>
    <row r="491" spans="2:27" s="25" customFormat="1" ht="15.75" customHeight="1" x14ac:dyDescent="0.2">
      <c r="B491" s="89"/>
      <c r="C491"/>
      <c r="D491"/>
      <c r="E491" s="69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  <c r="V491"/>
      <c r="W491"/>
      <c r="X491"/>
      <c r="Y491"/>
      <c r="Z491"/>
      <c r="AA491"/>
    </row>
    <row r="492" spans="2:27" s="25" customFormat="1" ht="15.75" customHeight="1" x14ac:dyDescent="0.2">
      <c r="B492" s="89"/>
      <c r="C492"/>
      <c r="D492"/>
      <c r="E492" s="69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  <c r="AA492"/>
    </row>
    <row r="493" spans="2:27" s="25" customFormat="1" ht="15.75" customHeight="1" x14ac:dyDescent="0.2">
      <c r="B493" s="89"/>
      <c r="C493"/>
      <c r="D493"/>
      <c r="E493" s="69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  <c r="W493"/>
      <c r="X493"/>
      <c r="Y493"/>
      <c r="Z493"/>
      <c r="AA493"/>
    </row>
    <row r="494" spans="2:27" s="25" customFormat="1" ht="15.75" customHeight="1" x14ac:dyDescent="0.2">
      <c r="B494" s="89"/>
      <c r="C494"/>
      <c r="D494"/>
      <c r="E494" s="69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  <c r="W494"/>
      <c r="X494"/>
      <c r="Y494"/>
      <c r="Z494"/>
      <c r="AA494"/>
    </row>
    <row r="495" spans="2:27" s="25" customFormat="1" ht="15.75" customHeight="1" x14ac:dyDescent="0.2">
      <c r="B495" s="89"/>
      <c r="C495"/>
      <c r="D495"/>
      <c r="E495" s="69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  <c r="V495"/>
      <c r="W495"/>
      <c r="X495"/>
      <c r="Y495"/>
      <c r="Z495"/>
      <c r="AA495"/>
    </row>
    <row r="496" spans="2:27" s="25" customFormat="1" ht="15.75" customHeight="1" x14ac:dyDescent="0.2">
      <c r="B496" s="89"/>
      <c r="C496"/>
      <c r="D496"/>
      <c r="E496" s="69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  <c r="W496"/>
      <c r="X496"/>
      <c r="Y496"/>
      <c r="Z496"/>
      <c r="AA496"/>
    </row>
    <row r="497" spans="2:27" s="25" customFormat="1" ht="15.75" customHeight="1" x14ac:dyDescent="0.2">
      <c r="B497" s="89"/>
      <c r="C497"/>
      <c r="D497"/>
      <c r="E497" s="69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  <c r="W497"/>
      <c r="X497"/>
      <c r="Y497"/>
      <c r="Z497"/>
      <c r="AA497"/>
    </row>
    <row r="498" spans="2:27" s="25" customFormat="1" ht="15.75" customHeight="1" x14ac:dyDescent="0.2">
      <c r="B498" s="89"/>
      <c r="C498"/>
      <c r="D498"/>
      <c r="E498" s="69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  <c r="W498"/>
      <c r="X498"/>
      <c r="Y498"/>
      <c r="Z498"/>
      <c r="AA498"/>
    </row>
    <row r="499" spans="2:27" s="25" customFormat="1" ht="15.75" customHeight="1" x14ac:dyDescent="0.2">
      <c r="B499" s="89"/>
      <c r="C499"/>
      <c r="D499"/>
      <c r="E499" s="6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  <c r="W499"/>
      <c r="X499"/>
      <c r="Y499"/>
      <c r="Z499"/>
      <c r="AA499"/>
    </row>
    <row r="500" spans="2:27" s="25" customFormat="1" ht="15.75" customHeight="1" x14ac:dyDescent="0.2">
      <c r="B500" s="89"/>
      <c r="C500"/>
      <c r="D500"/>
      <c r="E500" s="69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  <c r="AA500"/>
    </row>
    <row r="501" spans="2:27" s="25" customFormat="1" ht="15.75" customHeight="1" x14ac:dyDescent="0.2">
      <c r="B501" s="89"/>
      <c r="C501"/>
      <c r="D501"/>
      <c r="E501" s="69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/>
      <c r="W501"/>
      <c r="X501"/>
      <c r="Y501"/>
      <c r="Z501"/>
      <c r="AA501"/>
    </row>
    <row r="502" spans="2:27" s="25" customFormat="1" ht="15.75" customHeight="1" x14ac:dyDescent="0.2">
      <c r="B502" s="89"/>
      <c r="C502"/>
      <c r="D502"/>
      <c r="E502" s="69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  <c r="W502"/>
      <c r="X502"/>
      <c r="Y502"/>
      <c r="Z502"/>
      <c r="AA502"/>
    </row>
    <row r="503" spans="2:27" s="25" customFormat="1" ht="15.75" customHeight="1" x14ac:dyDescent="0.2">
      <c r="B503" s="89"/>
      <c r="C503"/>
      <c r="D503"/>
      <c r="E503" s="69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  <c r="AA503"/>
    </row>
    <row r="504" spans="2:27" s="25" customFormat="1" ht="15.75" customHeight="1" x14ac:dyDescent="0.2">
      <c r="B504" s="89"/>
      <c r="C504"/>
      <c r="D504"/>
      <c r="E504" s="69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  <c r="V504"/>
      <c r="W504"/>
      <c r="X504"/>
      <c r="Y504"/>
      <c r="Z504"/>
      <c r="AA504"/>
    </row>
    <row r="505" spans="2:27" s="25" customFormat="1" ht="15.75" customHeight="1" x14ac:dyDescent="0.2">
      <c r="B505" s="89"/>
      <c r="C505"/>
      <c r="D505"/>
      <c r="E505" s="69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  <c r="V505"/>
      <c r="W505"/>
      <c r="X505"/>
      <c r="Y505"/>
      <c r="Z505"/>
      <c r="AA505"/>
    </row>
    <row r="506" spans="2:27" s="25" customFormat="1" ht="15.75" customHeight="1" x14ac:dyDescent="0.2">
      <c r="B506" s="89"/>
      <c r="C506"/>
      <c r="D506"/>
      <c r="E506" s="69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  <c r="V506"/>
      <c r="W506"/>
      <c r="X506"/>
      <c r="Y506"/>
      <c r="Z506"/>
      <c r="AA506"/>
    </row>
    <row r="507" spans="2:27" s="25" customFormat="1" ht="15.75" customHeight="1" x14ac:dyDescent="0.2">
      <c r="B507" s="89"/>
      <c r="C507"/>
      <c r="D507"/>
      <c r="E507" s="69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  <c r="V507"/>
      <c r="W507"/>
      <c r="X507"/>
      <c r="Y507"/>
      <c r="Z507"/>
      <c r="AA507"/>
    </row>
    <row r="508" spans="2:27" s="25" customFormat="1" ht="15.75" customHeight="1" x14ac:dyDescent="0.2">
      <c r="B508" s="89"/>
      <c r="C508"/>
      <c r="D508"/>
      <c r="E508" s="69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  <c r="V508"/>
      <c r="W508"/>
      <c r="X508"/>
      <c r="Y508"/>
      <c r="Z508"/>
      <c r="AA508"/>
    </row>
    <row r="509" spans="2:27" s="25" customFormat="1" ht="15.75" customHeight="1" x14ac:dyDescent="0.2">
      <c r="B509" s="89"/>
      <c r="C509"/>
      <c r="D509"/>
      <c r="E509" s="6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  <c r="V509"/>
      <c r="W509"/>
      <c r="X509"/>
      <c r="Y509"/>
      <c r="Z509"/>
      <c r="AA509"/>
    </row>
    <row r="510" spans="2:27" s="25" customFormat="1" ht="15.75" customHeight="1" x14ac:dyDescent="0.2">
      <c r="B510" s="89"/>
      <c r="C510"/>
      <c r="D510"/>
      <c r="E510" s="69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  <c r="V510"/>
      <c r="W510"/>
      <c r="X510"/>
      <c r="Y510"/>
      <c r="Z510"/>
      <c r="AA510"/>
    </row>
    <row r="511" spans="2:27" s="25" customFormat="1" ht="15.75" customHeight="1" x14ac:dyDescent="0.2">
      <c r="B511" s="89"/>
      <c r="C511"/>
      <c r="D511"/>
      <c r="E511" s="69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  <c r="V511"/>
      <c r="W511"/>
      <c r="X511"/>
      <c r="Y511"/>
      <c r="Z511"/>
      <c r="AA511"/>
    </row>
    <row r="512" spans="2:27" s="25" customFormat="1" ht="15.75" customHeight="1" x14ac:dyDescent="0.2">
      <c r="B512" s="89"/>
      <c r="C512"/>
      <c r="D512"/>
      <c r="E512" s="69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  <c r="V512"/>
      <c r="W512"/>
      <c r="X512"/>
      <c r="Y512"/>
      <c r="Z512"/>
      <c r="AA512"/>
    </row>
    <row r="513" spans="2:27" s="25" customFormat="1" ht="15.75" customHeight="1" x14ac:dyDescent="0.2">
      <c r="B513" s="89"/>
      <c r="C513"/>
      <c r="D513"/>
      <c r="E513" s="69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  <c r="V513"/>
      <c r="W513"/>
      <c r="X513"/>
      <c r="Y513"/>
      <c r="Z513"/>
      <c r="AA513"/>
    </row>
    <row r="514" spans="2:27" s="25" customFormat="1" ht="15.75" customHeight="1" x14ac:dyDescent="0.2">
      <c r="B514" s="89"/>
      <c r="C514"/>
      <c r="D514"/>
      <c r="E514" s="69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  <c r="V514"/>
      <c r="W514"/>
      <c r="X514"/>
      <c r="Y514"/>
      <c r="Z514"/>
      <c r="AA514"/>
    </row>
    <row r="515" spans="2:27" s="25" customFormat="1" ht="15.75" customHeight="1" x14ac:dyDescent="0.2">
      <c r="B515" s="89"/>
      <c r="C515"/>
      <c r="D515"/>
      <c r="E515" s="69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  <c r="V515"/>
      <c r="W515"/>
      <c r="X515"/>
      <c r="Y515"/>
      <c r="Z515"/>
      <c r="AA515"/>
    </row>
    <row r="516" spans="2:27" s="25" customFormat="1" ht="15.75" customHeight="1" x14ac:dyDescent="0.2">
      <c r="B516" s="89"/>
      <c r="C516"/>
      <c r="D516"/>
      <c r="E516" s="69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  <c r="V516"/>
      <c r="W516"/>
      <c r="X516"/>
      <c r="Y516"/>
      <c r="Z516"/>
      <c r="AA516"/>
    </row>
    <row r="517" spans="2:27" s="25" customFormat="1" ht="15.75" customHeight="1" x14ac:dyDescent="0.2">
      <c r="B517" s="89"/>
      <c r="C517"/>
      <c r="D517"/>
      <c r="E517" s="69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  <c r="V517"/>
      <c r="W517"/>
      <c r="X517"/>
      <c r="Y517"/>
      <c r="Z517"/>
      <c r="AA517"/>
    </row>
    <row r="518" spans="2:27" s="25" customFormat="1" ht="15.75" customHeight="1" x14ac:dyDescent="0.2">
      <c r="B518" s="89"/>
      <c r="C518"/>
      <c r="D518"/>
      <c r="E518" s="69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  <c r="V518"/>
      <c r="W518"/>
      <c r="X518"/>
      <c r="Y518"/>
      <c r="Z518"/>
      <c r="AA518"/>
    </row>
    <row r="519" spans="2:27" s="25" customFormat="1" ht="15.75" customHeight="1" x14ac:dyDescent="0.2">
      <c r="B519" s="89"/>
      <c r="C519"/>
      <c r="D519"/>
      <c r="E519" s="6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  <c r="V519"/>
      <c r="W519"/>
      <c r="X519"/>
      <c r="Y519"/>
      <c r="Z519"/>
      <c r="AA519"/>
    </row>
    <row r="520" spans="2:27" s="25" customFormat="1" ht="15.75" customHeight="1" x14ac:dyDescent="0.2">
      <c r="B520" s="89"/>
      <c r="C520"/>
      <c r="D520"/>
      <c r="E520" s="69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  <c r="V520"/>
      <c r="W520"/>
      <c r="X520"/>
      <c r="Y520"/>
      <c r="Z520"/>
      <c r="AA520"/>
    </row>
    <row r="521" spans="2:27" s="25" customFormat="1" ht="15.75" customHeight="1" x14ac:dyDescent="0.2">
      <c r="B521" s="89"/>
      <c r="C521"/>
      <c r="D521"/>
      <c r="E521" s="69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  <c r="V521"/>
      <c r="W521"/>
      <c r="X521"/>
      <c r="Y521"/>
      <c r="Z521"/>
      <c r="AA521"/>
    </row>
    <row r="522" spans="2:27" s="25" customFormat="1" ht="15.75" customHeight="1" x14ac:dyDescent="0.2">
      <c r="B522" s="89"/>
      <c r="C522"/>
      <c r="D522"/>
      <c r="E522" s="69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  <c r="V522"/>
      <c r="W522"/>
      <c r="X522"/>
      <c r="Y522"/>
      <c r="Z522"/>
      <c r="AA522"/>
    </row>
    <row r="523" spans="2:27" s="25" customFormat="1" ht="15.75" customHeight="1" x14ac:dyDescent="0.2">
      <c r="B523" s="89"/>
      <c r="C523"/>
      <c r="D523"/>
      <c r="E523" s="69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  <c r="V523"/>
      <c r="W523"/>
      <c r="X523"/>
      <c r="Y523"/>
      <c r="Z523"/>
      <c r="AA523"/>
    </row>
    <row r="524" spans="2:27" s="25" customFormat="1" ht="15.75" customHeight="1" x14ac:dyDescent="0.2">
      <c r="B524" s="89"/>
      <c r="C524"/>
      <c r="D524"/>
      <c r="E524" s="69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  <c r="V524"/>
      <c r="W524"/>
      <c r="X524"/>
      <c r="Y524"/>
      <c r="Z524"/>
      <c r="AA524"/>
    </row>
    <row r="525" spans="2:27" s="25" customFormat="1" ht="15.75" customHeight="1" x14ac:dyDescent="0.2">
      <c r="B525" s="89"/>
      <c r="C525"/>
      <c r="D525"/>
      <c r="E525" s="69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  <c r="V525"/>
      <c r="W525"/>
      <c r="X525"/>
      <c r="Y525"/>
      <c r="Z525"/>
      <c r="AA525"/>
    </row>
    <row r="526" spans="2:27" s="25" customFormat="1" ht="15.75" customHeight="1" x14ac:dyDescent="0.2">
      <c r="B526" s="89"/>
      <c r="C526"/>
      <c r="D526"/>
      <c r="E526" s="69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  <c r="V526"/>
      <c r="W526"/>
      <c r="X526"/>
      <c r="Y526"/>
      <c r="Z526"/>
      <c r="AA526"/>
    </row>
    <row r="527" spans="2:27" s="25" customFormat="1" ht="15.75" customHeight="1" x14ac:dyDescent="0.2">
      <c r="B527" s="89"/>
      <c r="C527"/>
      <c r="D527"/>
      <c r="E527" s="69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  <c r="V527"/>
      <c r="W527"/>
      <c r="X527"/>
      <c r="Y527"/>
      <c r="Z527"/>
      <c r="AA527"/>
    </row>
    <row r="528" spans="2:27" s="25" customFormat="1" ht="15.75" customHeight="1" x14ac:dyDescent="0.2">
      <c r="B528" s="89"/>
      <c r="C528"/>
      <c r="D528"/>
      <c r="E528" s="69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  <c r="V528"/>
      <c r="W528"/>
      <c r="X528"/>
      <c r="Y528"/>
      <c r="Z528"/>
      <c r="AA528"/>
    </row>
    <row r="529" spans="2:27" s="25" customFormat="1" ht="15.75" customHeight="1" x14ac:dyDescent="0.2">
      <c r="B529" s="89"/>
      <c r="C529"/>
      <c r="D529"/>
      <c r="E529" s="6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  <c r="V529"/>
      <c r="W529"/>
      <c r="X529"/>
      <c r="Y529"/>
      <c r="Z529"/>
      <c r="AA529"/>
    </row>
    <row r="530" spans="2:27" s="25" customFormat="1" ht="15.75" customHeight="1" x14ac:dyDescent="0.2">
      <c r="B530" s="89"/>
      <c r="C530"/>
      <c r="D530"/>
      <c r="E530" s="69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  <c r="V530"/>
      <c r="W530"/>
      <c r="X530"/>
      <c r="Y530"/>
      <c r="Z530"/>
      <c r="AA530"/>
    </row>
    <row r="531" spans="2:27" s="25" customFormat="1" ht="15.75" customHeight="1" x14ac:dyDescent="0.2">
      <c r="B531" s="89"/>
      <c r="C531"/>
      <c r="D531"/>
      <c r="E531" s="69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  <c r="V531"/>
      <c r="W531"/>
      <c r="X531"/>
      <c r="Y531"/>
      <c r="Z531"/>
      <c r="AA531"/>
    </row>
    <row r="532" spans="2:27" s="25" customFormat="1" ht="15.75" customHeight="1" x14ac:dyDescent="0.2">
      <c r="B532" s="89"/>
      <c r="C532"/>
      <c r="D532"/>
      <c r="E532" s="69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  <c r="V532"/>
      <c r="W532"/>
      <c r="X532"/>
      <c r="Y532"/>
      <c r="Z532"/>
      <c r="AA532"/>
    </row>
    <row r="533" spans="2:27" s="25" customFormat="1" ht="15.75" customHeight="1" x14ac:dyDescent="0.2">
      <c r="B533" s="89"/>
      <c r="C533"/>
      <c r="D533"/>
      <c r="E533" s="69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  <c r="V533"/>
      <c r="W533"/>
      <c r="X533"/>
      <c r="Y533"/>
      <c r="Z533"/>
      <c r="AA533"/>
    </row>
    <row r="534" spans="2:27" s="25" customFormat="1" ht="15.75" customHeight="1" x14ac:dyDescent="0.2">
      <c r="B534" s="89"/>
      <c r="C534"/>
      <c r="D534"/>
      <c r="E534" s="69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  <c r="V534"/>
      <c r="W534"/>
      <c r="X534"/>
      <c r="Y534"/>
      <c r="Z534"/>
      <c r="AA534"/>
    </row>
    <row r="535" spans="2:27" s="25" customFormat="1" ht="15.75" customHeight="1" x14ac:dyDescent="0.2">
      <c r="B535" s="89"/>
      <c r="C535"/>
      <c r="D535"/>
      <c r="E535" s="69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  <c r="V535"/>
      <c r="W535"/>
      <c r="X535"/>
      <c r="Y535"/>
      <c r="Z535"/>
      <c r="AA535"/>
    </row>
    <row r="536" spans="2:27" s="25" customFormat="1" ht="15.75" customHeight="1" x14ac:dyDescent="0.2">
      <c r="B536" s="89"/>
      <c r="C536"/>
      <c r="D536"/>
      <c r="E536" s="69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  <c r="V536"/>
      <c r="W536"/>
      <c r="X536"/>
      <c r="Y536"/>
      <c r="Z536"/>
      <c r="AA536"/>
    </row>
    <row r="537" spans="2:27" s="25" customFormat="1" ht="15.75" customHeight="1" x14ac:dyDescent="0.2">
      <c r="B537" s="89"/>
      <c r="C537"/>
      <c r="D537"/>
      <c r="E537" s="69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  <c r="V537"/>
      <c r="W537"/>
      <c r="X537"/>
      <c r="Y537"/>
      <c r="Z537"/>
      <c r="AA537"/>
    </row>
    <row r="538" spans="2:27" s="25" customFormat="1" ht="15.75" customHeight="1" x14ac:dyDescent="0.2">
      <c r="B538" s="89"/>
      <c r="C538"/>
      <c r="D538"/>
      <c r="E538" s="69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  <c r="V538"/>
      <c r="W538"/>
      <c r="X538"/>
      <c r="Y538"/>
      <c r="Z538"/>
      <c r="AA538"/>
    </row>
    <row r="539" spans="2:27" s="25" customFormat="1" ht="15.75" customHeight="1" x14ac:dyDescent="0.2">
      <c r="B539" s="89"/>
      <c r="C539"/>
      <c r="D539"/>
      <c r="E539" s="6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  <c r="V539"/>
      <c r="W539"/>
      <c r="X539"/>
      <c r="Y539"/>
      <c r="Z539"/>
      <c r="AA539"/>
    </row>
    <row r="540" spans="2:27" s="25" customFormat="1" ht="15.75" customHeight="1" x14ac:dyDescent="0.2">
      <c r="B540" s="89"/>
      <c r="C540"/>
      <c r="D540"/>
      <c r="E540" s="69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  <c r="V540"/>
      <c r="W540"/>
      <c r="X540"/>
      <c r="Y540"/>
      <c r="Z540"/>
      <c r="AA540"/>
    </row>
    <row r="541" spans="2:27" s="25" customFormat="1" ht="15.75" customHeight="1" x14ac:dyDescent="0.2">
      <c r="B541" s="89"/>
      <c r="C541"/>
      <c r="D541"/>
      <c r="E541" s="69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  <c r="V541"/>
      <c r="W541"/>
      <c r="X541"/>
      <c r="Y541"/>
      <c r="Z541"/>
      <c r="AA541"/>
    </row>
    <row r="542" spans="2:27" s="25" customFormat="1" ht="15.75" customHeight="1" x14ac:dyDescent="0.2">
      <c r="B542" s="89"/>
      <c r="C542"/>
      <c r="D542"/>
      <c r="E542" s="69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  <c r="V542"/>
      <c r="W542"/>
      <c r="X542"/>
      <c r="Y542"/>
      <c r="Z542"/>
      <c r="AA542"/>
    </row>
    <row r="543" spans="2:27" s="25" customFormat="1" ht="15.75" customHeight="1" x14ac:dyDescent="0.2">
      <c r="B543" s="89"/>
      <c r="C543"/>
      <c r="D543"/>
      <c r="E543" s="69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  <c r="V543"/>
      <c r="W543"/>
      <c r="X543"/>
      <c r="Y543"/>
      <c r="Z543"/>
      <c r="AA543"/>
    </row>
    <row r="544" spans="2:27" s="25" customFormat="1" ht="15.75" customHeight="1" x14ac:dyDescent="0.2">
      <c r="B544" s="89"/>
      <c r="C544"/>
      <c r="D544"/>
      <c r="E544" s="69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  <c r="V544"/>
      <c r="W544"/>
      <c r="X544"/>
      <c r="Y544"/>
      <c r="Z544"/>
      <c r="AA544"/>
    </row>
    <row r="545" spans="2:27" s="25" customFormat="1" ht="15.75" customHeight="1" x14ac:dyDescent="0.2">
      <c r="B545" s="89"/>
      <c r="C545"/>
      <c r="D545"/>
      <c r="E545" s="69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  <c r="V545"/>
      <c r="W545"/>
      <c r="X545"/>
      <c r="Y545"/>
      <c r="Z545"/>
      <c r="AA545"/>
    </row>
    <row r="546" spans="2:27" s="25" customFormat="1" ht="15.75" customHeight="1" x14ac:dyDescent="0.2">
      <c r="B546" s="89"/>
      <c r="C546"/>
      <c r="D546"/>
      <c r="E546" s="69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  <c r="V546"/>
      <c r="W546"/>
      <c r="X546"/>
      <c r="Y546"/>
      <c r="Z546"/>
      <c r="AA546"/>
    </row>
    <row r="547" spans="2:27" s="25" customFormat="1" ht="15.75" customHeight="1" x14ac:dyDescent="0.2">
      <c r="B547" s="89"/>
      <c r="C547"/>
      <c r="D547"/>
      <c r="E547" s="69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  <c r="V547"/>
      <c r="W547"/>
      <c r="X547"/>
      <c r="Y547"/>
      <c r="Z547"/>
      <c r="AA547"/>
    </row>
    <row r="548" spans="2:27" s="25" customFormat="1" ht="15.75" customHeight="1" x14ac:dyDescent="0.2">
      <c r="B548" s="89"/>
      <c r="C548"/>
      <c r="D548"/>
      <c r="E548" s="69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  <c r="V548"/>
      <c r="W548"/>
      <c r="X548"/>
      <c r="Y548"/>
      <c r="Z548"/>
      <c r="AA548"/>
    </row>
    <row r="549" spans="2:27" s="25" customFormat="1" ht="15.75" customHeight="1" x14ac:dyDescent="0.2">
      <c r="B549" s="89"/>
      <c r="C549"/>
      <c r="D549"/>
      <c r="E549" s="6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  <c r="U549"/>
      <c r="V549"/>
      <c r="W549"/>
      <c r="X549"/>
      <c r="Y549"/>
      <c r="Z549"/>
      <c r="AA549"/>
    </row>
    <row r="550" spans="2:27" s="25" customFormat="1" ht="15.75" customHeight="1" x14ac:dyDescent="0.2">
      <c r="B550" s="89"/>
      <c r="C550"/>
      <c r="D550"/>
      <c r="E550" s="69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  <c r="V550"/>
      <c r="W550"/>
      <c r="X550"/>
      <c r="Y550"/>
      <c r="Z550"/>
      <c r="AA550"/>
    </row>
    <row r="551" spans="2:27" s="25" customFormat="1" ht="15.75" customHeight="1" x14ac:dyDescent="0.2">
      <c r="B551" s="89"/>
      <c r="C551"/>
      <c r="D551"/>
      <c r="E551" s="69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  <c r="V551"/>
      <c r="W551"/>
      <c r="X551"/>
      <c r="Y551"/>
      <c r="Z551"/>
      <c r="AA551"/>
    </row>
    <row r="552" spans="2:27" s="25" customFormat="1" ht="15.75" customHeight="1" x14ac:dyDescent="0.2">
      <c r="B552" s="89"/>
      <c r="C552"/>
      <c r="D552"/>
      <c r="E552" s="69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  <c r="V552"/>
      <c r="W552"/>
      <c r="X552"/>
      <c r="Y552"/>
      <c r="Z552"/>
      <c r="AA552"/>
    </row>
    <row r="553" spans="2:27" s="25" customFormat="1" ht="15.75" customHeight="1" x14ac:dyDescent="0.2">
      <c r="B553" s="89"/>
      <c r="C553"/>
      <c r="D553"/>
      <c r="E553" s="69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  <c r="V553"/>
      <c r="W553"/>
      <c r="X553"/>
      <c r="Y553"/>
      <c r="Z553"/>
      <c r="AA553"/>
    </row>
    <row r="554" spans="2:27" s="25" customFormat="1" ht="15.75" customHeight="1" x14ac:dyDescent="0.2">
      <c r="B554" s="89"/>
      <c r="C554"/>
      <c r="D554"/>
      <c r="E554" s="69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  <c r="V554"/>
      <c r="W554"/>
      <c r="X554"/>
      <c r="Y554"/>
      <c r="Z554"/>
      <c r="AA554"/>
    </row>
    <row r="555" spans="2:27" s="25" customFormat="1" ht="15.75" customHeight="1" x14ac:dyDescent="0.2">
      <c r="B555" s="89"/>
      <c r="C555"/>
      <c r="D555"/>
      <c r="E555" s="69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  <c r="V555"/>
      <c r="W555"/>
      <c r="X555"/>
      <c r="Y555"/>
      <c r="Z555"/>
      <c r="AA555"/>
    </row>
    <row r="556" spans="2:27" s="25" customFormat="1" ht="15.75" customHeight="1" x14ac:dyDescent="0.2">
      <c r="B556" s="89"/>
      <c r="C556"/>
      <c r="D556"/>
      <c r="E556" s="69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  <c r="V556"/>
      <c r="W556"/>
      <c r="X556"/>
      <c r="Y556"/>
      <c r="Z556"/>
      <c r="AA556"/>
    </row>
    <row r="557" spans="2:27" s="25" customFormat="1" ht="15.75" customHeight="1" x14ac:dyDescent="0.2">
      <c r="B557" s="89"/>
      <c r="C557"/>
      <c r="D557"/>
      <c r="E557" s="69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  <c r="V557"/>
      <c r="W557"/>
      <c r="X557"/>
      <c r="Y557"/>
      <c r="Z557"/>
      <c r="AA557"/>
    </row>
    <row r="558" spans="2:27" s="25" customFormat="1" ht="15.75" customHeight="1" x14ac:dyDescent="0.2">
      <c r="B558" s="89"/>
      <c r="C558"/>
      <c r="D558"/>
      <c r="E558" s="69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  <c r="V558"/>
      <c r="W558"/>
      <c r="X558"/>
      <c r="Y558"/>
      <c r="Z558"/>
      <c r="AA558"/>
    </row>
    <row r="559" spans="2:27" s="25" customFormat="1" ht="15.75" customHeight="1" x14ac:dyDescent="0.2">
      <c r="B559" s="89"/>
      <c r="C559"/>
      <c r="D559"/>
      <c r="E559" s="6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  <c r="V559"/>
      <c r="W559"/>
      <c r="X559"/>
      <c r="Y559"/>
      <c r="Z559"/>
      <c r="AA559"/>
    </row>
    <row r="560" spans="2:27" s="25" customFormat="1" ht="15.75" customHeight="1" x14ac:dyDescent="0.2">
      <c r="B560" s="89"/>
      <c r="C560"/>
      <c r="D560"/>
      <c r="E560" s="69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  <c r="V560"/>
      <c r="W560"/>
      <c r="X560"/>
      <c r="Y560"/>
      <c r="Z560"/>
      <c r="AA560"/>
    </row>
    <row r="561" spans="2:27" s="25" customFormat="1" ht="15.75" customHeight="1" x14ac:dyDescent="0.2">
      <c r="B561" s="89"/>
      <c r="C561"/>
      <c r="D561"/>
      <c r="E561" s="69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  <c r="V561"/>
      <c r="W561"/>
      <c r="X561"/>
      <c r="Y561"/>
      <c r="Z561"/>
      <c r="AA561"/>
    </row>
    <row r="562" spans="2:27" s="25" customFormat="1" ht="15.75" customHeight="1" x14ac:dyDescent="0.2">
      <c r="B562" s="89"/>
      <c r="C562"/>
      <c r="D562"/>
      <c r="E562" s="69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  <c r="V562"/>
      <c r="W562"/>
      <c r="X562"/>
      <c r="Y562"/>
      <c r="Z562"/>
      <c r="AA562"/>
    </row>
    <row r="563" spans="2:27" s="25" customFormat="1" ht="15.75" customHeight="1" x14ac:dyDescent="0.2">
      <c r="B563" s="89"/>
      <c r="C563"/>
      <c r="D563"/>
      <c r="E563" s="69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  <c r="V563"/>
      <c r="W563"/>
      <c r="X563"/>
      <c r="Y563"/>
      <c r="Z563"/>
      <c r="AA563"/>
    </row>
    <row r="564" spans="2:27" s="25" customFormat="1" ht="15.75" customHeight="1" x14ac:dyDescent="0.2">
      <c r="B564" s="89"/>
      <c r="C564"/>
      <c r="D564"/>
      <c r="E564" s="69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  <c r="V564"/>
      <c r="W564"/>
      <c r="X564"/>
      <c r="Y564"/>
      <c r="Z564"/>
      <c r="AA564"/>
    </row>
    <row r="565" spans="2:27" s="25" customFormat="1" ht="15.75" customHeight="1" x14ac:dyDescent="0.2">
      <c r="B565" s="89"/>
      <c r="C565"/>
      <c r="D565"/>
      <c r="E565" s="69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  <c r="V565"/>
      <c r="W565"/>
      <c r="X565"/>
      <c r="Y565"/>
      <c r="Z565"/>
      <c r="AA565"/>
    </row>
    <row r="566" spans="2:27" s="25" customFormat="1" ht="15.75" customHeight="1" x14ac:dyDescent="0.2">
      <c r="B566" s="89"/>
      <c r="C566"/>
      <c r="D566"/>
      <c r="E566" s="69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  <c r="V566"/>
      <c r="W566"/>
      <c r="X566"/>
      <c r="Y566"/>
      <c r="Z566"/>
      <c r="AA566"/>
    </row>
    <row r="567" spans="2:27" s="25" customFormat="1" ht="15.75" customHeight="1" x14ac:dyDescent="0.2">
      <c r="B567" s="89"/>
      <c r="C567"/>
      <c r="D567"/>
      <c r="E567" s="69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  <c r="V567"/>
      <c r="W567"/>
      <c r="X567"/>
      <c r="Y567"/>
      <c r="Z567"/>
      <c r="AA567"/>
    </row>
    <row r="568" spans="2:27" s="25" customFormat="1" ht="15.75" customHeight="1" x14ac:dyDescent="0.2">
      <c r="B568" s="89"/>
      <c r="C568"/>
      <c r="D568"/>
      <c r="E568" s="69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  <c r="V568"/>
      <c r="W568"/>
      <c r="X568"/>
      <c r="Y568"/>
      <c r="Z568"/>
      <c r="AA568"/>
    </row>
    <row r="569" spans="2:27" s="25" customFormat="1" ht="15.75" customHeight="1" x14ac:dyDescent="0.2">
      <c r="B569" s="89"/>
      <c r="C569"/>
      <c r="D569"/>
      <c r="E569" s="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  <c r="V569"/>
      <c r="W569"/>
      <c r="X569"/>
      <c r="Y569"/>
      <c r="Z569"/>
      <c r="AA569"/>
    </row>
    <row r="570" spans="2:27" s="25" customFormat="1" ht="15.75" customHeight="1" x14ac:dyDescent="0.2">
      <c r="B570" s="89"/>
      <c r="C570"/>
      <c r="D570"/>
      <c r="E570" s="69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  <c r="V570"/>
      <c r="W570"/>
      <c r="X570"/>
      <c r="Y570"/>
      <c r="Z570"/>
      <c r="AA570"/>
    </row>
    <row r="571" spans="2:27" s="25" customFormat="1" ht="15.75" customHeight="1" x14ac:dyDescent="0.2">
      <c r="B571" s="89"/>
      <c r="C571"/>
      <c r="D571"/>
      <c r="E571" s="69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  <c r="V571"/>
      <c r="W571"/>
      <c r="X571"/>
      <c r="Y571"/>
      <c r="Z571"/>
      <c r="AA571"/>
    </row>
    <row r="572" spans="2:27" s="25" customFormat="1" ht="15.75" customHeight="1" x14ac:dyDescent="0.2">
      <c r="B572" s="89"/>
      <c r="C572"/>
      <c r="D572"/>
      <c r="E572" s="69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  <c r="V572"/>
      <c r="W572"/>
      <c r="X572"/>
      <c r="Y572"/>
      <c r="Z572"/>
      <c r="AA572"/>
    </row>
    <row r="573" spans="2:27" s="25" customFormat="1" ht="15.75" customHeight="1" x14ac:dyDescent="0.2">
      <c r="B573" s="89"/>
      <c r="C573"/>
      <c r="D573"/>
      <c r="E573" s="69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  <c r="V573"/>
      <c r="W573"/>
      <c r="X573"/>
      <c r="Y573"/>
      <c r="Z573"/>
      <c r="AA573"/>
    </row>
    <row r="574" spans="2:27" s="25" customFormat="1" ht="15.75" customHeight="1" x14ac:dyDescent="0.2">
      <c r="B574" s="89"/>
      <c r="C574"/>
      <c r="D574"/>
      <c r="E574" s="69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  <c r="V574"/>
      <c r="W574"/>
      <c r="X574"/>
      <c r="Y574"/>
      <c r="Z574"/>
      <c r="AA574"/>
    </row>
    <row r="575" spans="2:27" s="25" customFormat="1" ht="15.75" customHeight="1" x14ac:dyDescent="0.2">
      <c r="B575" s="89"/>
      <c r="C575"/>
      <c r="D575"/>
      <c r="E575" s="69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  <c r="V575"/>
      <c r="W575"/>
      <c r="X575"/>
      <c r="Y575"/>
      <c r="Z575"/>
      <c r="AA575"/>
    </row>
    <row r="576" spans="2:27" s="25" customFormat="1" ht="15.75" customHeight="1" x14ac:dyDescent="0.2">
      <c r="B576" s="89"/>
      <c r="C576"/>
      <c r="D576"/>
      <c r="E576" s="69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  <c r="V576"/>
      <c r="W576"/>
      <c r="X576"/>
      <c r="Y576"/>
      <c r="Z576"/>
      <c r="AA576"/>
    </row>
    <row r="577" spans="2:27" s="25" customFormat="1" ht="15.75" customHeight="1" x14ac:dyDescent="0.2">
      <c r="B577" s="89"/>
      <c r="C577"/>
      <c r="D577"/>
      <c r="E577" s="69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  <c r="V577"/>
      <c r="W577"/>
      <c r="X577"/>
      <c r="Y577"/>
      <c r="Z577"/>
      <c r="AA577"/>
    </row>
    <row r="578" spans="2:27" s="25" customFormat="1" ht="15.75" customHeight="1" x14ac:dyDescent="0.2">
      <c r="B578" s="89"/>
      <c r="C578"/>
      <c r="D578"/>
      <c r="E578" s="69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  <c r="V578"/>
      <c r="W578"/>
      <c r="X578"/>
      <c r="Y578"/>
      <c r="Z578"/>
      <c r="AA578"/>
    </row>
    <row r="579" spans="2:27" s="25" customFormat="1" ht="15.75" customHeight="1" x14ac:dyDescent="0.2">
      <c r="B579" s="89"/>
      <c r="C579"/>
      <c r="D579"/>
      <c r="E579" s="6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  <c r="V579"/>
      <c r="W579"/>
      <c r="X579"/>
      <c r="Y579"/>
      <c r="Z579"/>
      <c r="AA579"/>
    </row>
    <row r="580" spans="2:27" s="25" customFormat="1" ht="15.75" customHeight="1" x14ac:dyDescent="0.2">
      <c r="B580" s="89"/>
      <c r="C580"/>
      <c r="D580"/>
      <c r="E580" s="69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  <c r="V580"/>
      <c r="W580"/>
      <c r="X580"/>
      <c r="Y580"/>
      <c r="Z580"/>
      <c r="AA580"/>
    </row>
    <row r="581" spans="2:27" s="25" customFormat="1" ht="15.75" customHeight="1" x14ac:dyDescent="0.2">
      <c r="B581" s="89"/>
      <c r="C581"/>
      <c r="D581"/>
      <c r="E581" s="69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  <c r="V581"/>
      <c r="W581"/>
      <c r="X581"/>
      <c r="Y581"/>
      <c r="Z581"/>
      <c r="AA581"/>
    </row>
    <row r="582" spans="2:27" s="25" customFormat="1" ht="15.75" customHeight="1" x14ac:dyDescent="0.2">
      <c r="B582" s="89"/>
      <c r="C582"/>
      <c r="D582"/>
      <c r="E582" s="69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  <c r="V582"/>
      <c r="W582"/>
      <c r="X582"/>
      <c r="Y582"/>
      <c r="Z582"/>
      <c r="AA582"/>
    </row>
    <row r="583" spans="2:27" s="25" customFormat="1" ht="15.75" customHeight="1" x14ac:dyDescent="0.2">
      <c r="B583" s="89"/>
      <c r="C583"/>
      <c r="D583"/>
      <c r="E583" s="69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  <c r="U583"/>
      <c r="V583"/>
      <c r="W583"/>
      <c r="X583"/>
      <c r="Y583"/>
      <c r="Z583"/>
      <c r="AA583"/>
    </row>
    <row r="584" spans="2:27" s="25" customFormat="1" ht="15.75" customHeight="1" x14ac:dyDescent="0.2">
      <c r="B584" s="89"/>
      <c r="C584"/>
      <c r="D584"/>
      <c r="E584" s="69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  <c r="V584"/>
      <c r="W584"/>
      <c r="X584"/>
      <c r="Y584"/>
      <c r="Z584"/>
      <c r="AA584"/>
    </row>
    <row r="585" spans="2:27" s="25" customFormat="1" ht="15.75" customHeight="1" x14ac:dyDescent="0.2">
      <c r="B585" s="89"/>
      <c r="C585"/>
      <c r="D585"/>
      <c r="E585" s="69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  <c r="V585"/>
      <c r="W585"/>
      <c r="X585"/>
      <c r="Y585"/>
      <c r="Z585"/>
      <c r="AA585"/>
    </row>
    <row r="586" spans="2:27" s="25" customFormat="1" ht="15.75" customHeight="1" x14ac:dyDescent="0.2">
      <c r="B586" s="89"/>
      <c r="C586"/>
      <c r="D586"/>
      <c r="E586" s="69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  <c r="V586"/>
      <c r="W586"/>
      <c r="X586"/>
      <c r="Y586"/>
      <c r="Z586"/>
      <c r="AA586"/>
    </row>
    <row r="587" spans="2:27" s="25" customFormat="1" ht="15.75" customHeight="1" x14ac:dyDescent="0.2">
      <c r="B587" s="89"/>
      <c r="C587"/>
      <c r="D587"/>
      <c r="E587" s="69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  <c r="V587"/>
      <c r="W587"/>
      <c r="X587"/>
      <c r="Y587"/>
      <c r="Z587"/>
      <c r="AA587"/>
    </row>
    <row r="588" spans="2:27" s="25" customFormat="1" ht="15.75" customHeight="1" x14ac:dyDescent="0.2">
      <c r="B588" s="89"/>
      <c r="C588"/>
      <c r="D588"/>
      <c r="E588" s="69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  <c r="V588"/>
      <c r="W588"/>
      <c r="X588"/>
      <c r="Y588"/>
      <c r="Z588"/>
      <c r="AA588"/>
    </row>
    <row r="589" spans="2:27" s="25" customFormat="1" ht="15.75" customHeight="1" x14ac:dyDescent="0.2">
      <c r="B589" s="89"/>
      <c r="C589"/>
      <c r="D589"/>
      <c r="E589" s="6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  <c r="V589"/>
      <c r="W589"/>
      <c r="X589"/>
      <c r="Y589"/>
      <c r="Z589"/>
      <c r="AA589"/>
    </row>
    <row r="590" spans="2:27" s="25" customFormat="1" ht="15.75" customHeight="1" x14ac:dyDescent="0.2">
      <c r="B590" s="89"/>
      <c r="C590"/>
      <c r="D590"/>
      <c r="E590" s="69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  <c r="V590"/>
      <c r="W590"/>
      <c r="X590"/>
      <c r="Y590"/>
      <c r="Z590"/>
      <c r="AA590"/>
    </row>
    <row r="591" spans="2:27" s="25" customFormat="1" ht="15.75" customHeight="1" x14ac:dyDescent="0.2">
      <c r="B591" s="89"/>
      <c r="C591"/>
      <c r="D591"/>
      <c r="E591" s="69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  <c r="U591"/>
      <c r="V591"/>
      <c r="W591"/>
      <c r="X591"/>
      <c r="Y591"/>
      <c r="Z591"/>
      <c r="AA591"/>
    </row>
    <row r="592" spans="2:27" s="25" customFormat="1" ht="15.75" customHeight="1" x14ac:dyDescent="0.2">
      <c r="B592" s="89"/>
      <c r="C592"/>
      <c r="D592"/>
      <c r="E592" s="69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  <c r="V592"/>
      <c r="W592"/>
      <c r="X592"/>
      <c r="Y592"/>
      <c r="Z592"/>
      <c r="AA592"/>
    </row>
    <row r="593" spans="2:27" s="25" customFormat="1" ht="15.75" customHeight="1" x14ac:dyDescent="0.2">
      <c r="B593" s="89"/>
      <c r="C593"/>
      <c r="D593"/>
      <c r="E593" s="69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  <c r="V593"/>
      <c r="W593"/>
      <c r="X593"/>
      <c r="Y593"/>
      <c r="Z593"/>
      <c r="AA593"/>
    </row>
    <row r="594" spans="2:27" s="25" customFormat="1" ht="15.75" customHeight="1" x14ac:dyDescent="0.2">
      <c r="B594" s="89"/>
      <c r="C594"/>
      <c r="D594"/>
      <c r="E594" s="69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  <c r="V594"/>
      <c r="W594"/>
      <c r="X594"/>
      <c r="Y594"/>
      <c r="Z594"/>
      <c r="AA594"/>
    </row>
    <row r="595" spans="2:27" s="25" customFormat="1" ht="15.75" customHeight="1" x14ac:dyDescent="0.2">
      <c r="B595" s="89"/>
      <c r="C595"/>
      <c r="D595"/>
      <c r="E595" s="69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  <c r="V595"/>
      <c r="W595"/>
      <c r="X595"/>
      <c r="Y595"/>
      <c r="Z595"/>
      <c r="AA595"/>
    </row>
    <row r="596" spans="2:27" s="25" customFormat="1" ht="15.75" customHeight="1" x14ac:dyDescent="0.2">
      <c r="B596" s="89"/>
      <c r="C596"/>
      <c r="D596"/>
      <c r="E596" s="69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  <c r="V596"/>
      <c r="W596"/>
      <c r="X596"/>
      <c r="Y596"/>
      <c r="Z596"/>
      <c r="AA596"/>
    </row>
    <row r="597" spans="2:27" s="25" customFormat="1" ht="15.75" customHeight="1" x14ac:dyDescent="0.2">
      <c r="B597" s="89"/>
      <c r="C597"/>
      <c r="D597"/>
      <c r="E597" s="69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  <c r="V597"/>
      <c r="W597"/>
      <c r="X597"/>
      <c r="Y597"/>
      <c r="Z597"/>
      <c r="AA597"/>
    </row>
    <row r="598" spans="2:27" s="25" customFormat="1" ht="15.75" customHeight="1" x14ac:dyDescent="0.2">
      <c r="B598" s="89"/>
      <c r="C598"/>
      <c r="D598"/>
      <c r="E598" s="69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  <c r="V598"/>
      <c r="W598"/>
      <c r="X598"/>
      <c r="Y598"/>
      <c r="Z598"/>
      <c r="AA598"/>
    </row>
    <row r="599" spans="2:27" s="25" customFormat="1" ht="15.75" customHeight="1" x14ac:dyDescent="0.2">
      <c r="B599" s="89"/>
      <c r="C599"/>
      <c r="D599"/>
      <c r="E599" s="6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  <c r="V599"/>
      <c r="W599"/>
      <c r="X599"/>
      <c r="Y599"/>
      <c r="Z599"/>
      <c r="AA599"/>
    </row>
    <row r="600" spans="2:27" s="25" customFormat="1" ht="15.75" customHeight="1" x14ac:dyDescent="0.2">
      <c r="B600" s="89"/>
      <c r="C600"/>
      <c r="D600"/>
      <c r="E600" s="69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  <c r="V600"/>
      <c r="W600"/>
      <c r="X600"/>
      <c r="Y600"/>
      <c r="Z600"/>
      <c r="AA600"/>
    </row>
    <row r="601" spans="2:27" s="25" customFormat="1" ht="15.75" customHeight="1" x14ac:dyDescent="0.2">
      <c r="B601" s="89"/>
      <c r="C601"/>
      <c r="D601"/>
      <c r="E601" s="69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  <c r="V601"/>
      <c r="W601"/>
      <c r="X601"/>
      <c r="Y601"/>
      <c r="Z601"/>
      <c r="AA601"/>
    </row>
    <row r="602" spans="2:27" s="25" customFormat="1" ht="15.75" customHeight="1" x14ac:dyDescent="0.2">
      <c r="B602" s="89"/>
      <c r="C602"/>
      <c r="D602"/>
      <c r="E602" s="69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  <c r="V602"/>
      <c r="W602"/>
      <c r="X602"/>
      <c r="Y602"/>
      <c r="Z602"/>
      <c r="AA602"/>
    </row>
    <row r="603" spans="2:27" s="25" customFormat="1" ht="15.75" customHeight="1" x14ac:dyDescent="0.2">
      <c r="B603" s="89"/>
      <c r="C603"/>
      <c r="D603"/>
      <c r="E603" s="69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  <c r="V603"/>
      <c r="W603"/>
      <c r="X603"/>
      <c r="Y603"/>
      <c r="Z603"/>
      <c r="AA603"/>
    </row>
    <row r="604" spans="2:27" s="25" customFormat="1" ht="15.75" customHeight="1" x14ac:dyDescent="0.2">
      <c r="B604" s="89"/>
      <c r="C604"/>
      <c r="D604"/>
      <c r="E604" s="69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  <c r="V604"/>
      <c r="W604"/>
      <c r="X604"/>
      <c r="Y604"/>
      <c r="Z604"/>
      <c r="AA604"/>
    </row>
    <row r="605" spans="2:27" s="25" customFormat="1" ht="15.75" customHeight="1" x14ac:dyDescent="0.2">
      <c r="B605" s="89"/>
      <c r="C605"/>
      <c r="D605"/>
      <c r="E605" s="69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  <c r="V605"/>
      <c r="W605"/>
      <c r="X605"/>
      <c r="Y605"/>
      <c r="Z605"/>
      <c r="AA605"/>
    </row>
    <row r="606" spans="2:27" s="25" customFormat="1" ht="15.75" customHeight="1" x14ac:dyDescent="0.2">
      <c r="B606" s="89"/>
      <c r="C606"/>
      <c r="D606"/>
      <c r="E606" s="69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  <c r="U606"/>
      <c r="V606"/>
      <c r="W606"/>
      <c r="X606"/>
      <c r="Y606"/>
      <c r="Z606"/>
      <c r="AA606"/>
    </row>
    <row r="607" spans="2:27" s="25" customFormat="1" ht="15.75" customHeight="1" x14ac:dyDescent="0.2">
      <c r="B607" s="89"/>
      <c r="C607"/>
      <c r="D607"/>
      <c r="E607" s="69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  <c r="U607"/>
      <c r="V607"/>
      <c r="W607"/>
      <c r="X607"/>
      <c r="Y607"/>
      <c r="Z607"/>
      <c r="AA607"/>
    </row>
    <row r="608" spans="2:27" s="25" customFormat="1" ht="15.75" customHeight="1" x14ac:dyDescent="0.2">
      <c r="B608" s="89"/>
      <c r="C608"/>
      <c r="D608"/>
      <c r="E608" s="69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  <c r="V608"/>
      <c r="W608"/>
      <c r="X608"/>
      <c r="Y608"/>
      <c r="Z608"/>
      <c r="AA608"/>
    </row>
    <row r="609" spans="2:27" s="25" customFormat="1" ht="15.75" customHeight="1" x14ac:dyDescent="0.2">
      <c r="B609" s="89"/>
      <c r="C609"/>
      <c r="D609"/>
      <c r="E609" s="6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  <c r="V609"/>
      <c r="W609"/>
      <c r="X609"/>
      <c r="Y609"/>
      <c r="Z609"/>
      <c r="AA609"/>
    </row>
    <row r="610" spans="2:27" s="25" customFormat="1" ht="15.75" customHeight="1" x14ac:dyDescent="0.2">
      <c r="B610" s="89"/>
      <c r="C610"/>
      <c r="D610"/>
      <c r="E610" s="69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  <c r="V610"/>
      <c r="W610"/>
      <c r="X610"/>
      <c r="Y610"/>
      <c r="Z610"/>
      <c r="AA610"/>
    </row>
    <row r="611" spans="2:27" s="25" customFormat="1" ht="15.75" customHeight="1" x14ac:dyDescent="0.2">
      <c r="B611" s="89"/>
      <c r="C611"/>
      <c r="D611"/>
      <c r="E611" s="69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  <c r="V611"/>
      <c r="W611"/>
      <c r="X611"/>
      <c r="Y611"/>
      <c r="Z611"/>
      <c r="AA611"/>
    </row>
    <row r="612" spans="2:27" s="25" customFormat="1" ht="15.75" customHeight="1" x14ac:dyDescent="0.2">
      <c r="B612" s="89"/>
      <c r="C612"/>
      <c r="D612"/>
      <c r="E612" s="69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  <c r="V612"/>
      <c r="W612"/>
      <c r="X612"/>
      <c r="Y612"/>
      <c r="Z612"/>
      <c r="AA612"/>
    </row>
    <row r="613" spans="2:27" s="25" customFormat="1" ht="15.75" customHeight="1" x14ac:dyDescent="0.2">
      <c r="B613" s="89"/>
      <c r="C613"/>
      <c r="D613"/>
      <c r="E613" s="69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  <c r="V613"/>
      <c r="W613"/>
      <c r="X613"/>
      <c r="Y613"/>
      <c r="Z613"/>
      <c r="AA613"/>
    </row>
    <row r="614" spans="2:27" s="25" customFormat="1" ht="15.75" customHeight="1" x14ac:dyDescent="0.2">
      <c r="B614" s="89"/>
      <c r="C614"/>
      <c r="D614"/>
      <c r="E614" s="69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  <c r="V614"/>
      <c r="W614"/>
      <c r="X614"/>
      <c r="Y614"/>
      <c r="Z614"/>
      <c r="AA614"/>
    </row>
    <row r="615" spans="2:27" s="25" customFormat="1" ht="15.75" customHeight="1" x14ac:dyDescent="0.2">
      <c r="B615" s="89"/>
      <c r="C615"/>
      <c r="D615"/>
      <c r="E615" s="69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  <c r="V615"/>
      <c r="W615"/>
      <c r="X615"/>
      <c r="Y615"/>
      <c r="Z615"/>
      <c r="AA615"/>
    </row>
    <row r="616" spans="2:27" s="25" customFormat="1" ht="15.75" customHeight="1" x14ac:dyDescent="0.2">
      <c r="B616" s="89"/>
      <c r="C616"/>
      <c r="D616"/>
      <c r="E616" s="69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  <c r="V616"/>
      <c r="W616"/>
      <c r="X616"/>
      <c r="Y616"/>
      <c r="Z616"/>
      <c r="AA616"/>
    </row>
    <row r="617" spans="2:27" s="25" customFormat="1" ht="15.75" customHeight="1" x14ac:dyDescent="0.2">
      <c r="B617" s="89"/>
      <c r="C617"/>
      <c r="D617"/>
      <c r="E617" s="69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  <c r="V617"/>
      <c r="W617"/>
      <c r="X617"/>
      <c r="Y617"/>
      <c r="Z617"/>
      <c r="AA617"/>
    </row>
    <row r="618" spans="2:27" s="25" customFormat="1" ht="15.75" customHeight="1" x14ac:dyDescent="0.2">
      <c r="B618" s="89"/>
      <c r="C618"/>
      <c r="D618"/>
      <c r="E618" s="69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  <c r="V618"/>
      <c r="W618"/>
      <c r="X618"/>
      <c r="Y618"/>
      <c r="Z618"/>
      <c r="AA618"/>
    </row>
    <row r="619" spans="2:27" s="25" customFormat="1" ht="15.75" customHeight="1" x14ac:dyDescent="0.2">
      <c r="B619" s="89"/>
      <c r="C619"/>
      <c r="D619"/>
      <c r="E619" s="6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  <c r="V619"/>
      <c r="W619"/>
      <c r="X619"/>
      <c r="Y619"/>
      <c r="Z619"/>
      <c r="AA619"/>
    </row>
    <row r="620" spans="2:27" s="25" customFormat="1" ht="15.75" customHeight="1" x14ac:dyDescent="0.2">
      <c r="B620" s="89"/>
      <c r="C620"/>
      <c r="D620"/>
      <c r="E620" s="69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  <c r="V620"/>
      <c r="W620"/>
      <c r="X620"/>
      <c r="Y620"/>
      <c r="Z620"/>
      <c r="AA620"/>
    </row>
    <row r="621" spans="2:27" s="25" customFormat="1" ht="15.75" customHeight="1" x14ac:dyDescent="0.2">
      <c r="B621" s="89"/>
      <c r="C621"/>
      <c r="D621"/>
      <c r="E621" s="69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  <c r="V621"/>
      <c r="W621"/>
      <c r="X621"/>
      <c r="Y621"/>
      <c r="Z621"/>
      <c r="AA621"/>
    </row>
    <row r="622" spans="2:27" s="25" customFormat="1" ht="15.75" customHeight="1" x14ac:dyDescent="0.2">
      <c r="B622" s="89"/>
      <c r="C622"/>
      <c r="D622"/>
      <c r="E622" s="69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  <c r="V622"/>
      <c r="W622"/>
      <c r="X622"/>
      <c r="Y622"/>
      <c r="Z622"/>
      <c r="AA622"/>
    </row>
    <row r="623" spans="2:27" s="25" customFormat="1" ht="15.75" customHeight="1" x14ac:dyDescent="0.2">
      <c r="B623" s="89"/>
      <c r="C623"/>
      <c r="D623"/>
      <c r="E623" s="69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  <c r="V623"/>
      <c r="W623"/>
      <c r="X623"/>
      <c r="Y623"/>
      <c r="Z623"/>
      <c r="AA623"/>
    </row>
    <row r="624" spans="2:27" s="25" customFormat="1" ht="15.75" customHeight="1" x14ac:dyDescent="0.2">
      <c r="B624" s="89"/>
      <c r="C624"/>
      <c r="D624"/>
      <c r="E624" s="69"/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  <c r="T624"/>
      <c r="U624"/>
      <c r="V624"/>
      <c r="W624"/>
      <c r="X624"/>
      <c r="Y624"/>
      <c r="Z624"/>
      <c r="AA624"/>
    </row>
    <row r="625" spans="2:27" s="25" customFormat="1" ht="15.75" customHeight="1" x14ac:dyDescent="0.2">
      <c r="B625" s="89"/>
      <c r="C625"/>
      <c r="D625"/>
      <c r="E625" s="69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  <c r="V625"/>
      <c r="W625"/>
      <c r="X625"/>
      <c r="Y625"/>
      <c r="Z625"/>
      <c r="AA625"/>
    </row>
    <row r="626" spans="2:27" s="25" customFormat="1" ht="15.75" customHeight="1" x14ac:dyDescent="0.2">
      <c r="B626" s="89"/>
      <c r="C626"/>
      <c r="D626"/>
      <c r="E626" s="69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  <c r="V626"/>
      <c r="W626"/>
      <c r="X626"/>
      <c r="Y626"/>
      <c r="Z626"/>
      <c r="AA626"/>
    </row>
    <row r="627" spans="2:27" s="25" customFormat="1" ht="15.75" customHeight="1" x14ac:dyDescent="0.2">
      <c r="B627" s="89"/>
      <c r="C627"/>
      <c r="D627"/>
      <c r="E627" s="69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  <c r="V627"/>
      <c r="W627"/>
      <c r="X627"/>
      <c r="Y627"/>
      <c r="Z627"/>
      <c r="AA627"/>
    </row>
    <row r="628" spans="2:27" s="25" customFormat="1" ht="15.75" customHeight="1" x14ac:dyDescent="0.2">
      <c r="B628" s="89"/>
      <c r="C628"/>
      <c r="D628"/>
      <c r="E628" s="69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  <c r="V628"/>
      <c r="W628"/>
      <c r="X628"/>
      <c r="Y628"/>
      <c r="Z628"/>
      <c r="AA628"/>
    </row>
    <row r="629" spans="2:27" s="25" customFormat="1" ht="15.75" customHeight="1" x14ac:dyDescent="0.2">
      <c r="B629" s="89"/>
      <c r="C629"/>
      <c r="D629"/>
      <c r="E629" s="6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  <c r="V629"/>
      <c r="W629"/>
      <c r="X629"/>
      <c r="Y629"/>
      <c r="Z629"/>
      <c r="AA629"/>
    </row>
    <row r="630" spans="2:27" s="25" customFormat="1" ht="15.75" customHeight="1" x14ac:dyDescent="0.2">
      <c r="B630" s="89"/>
      <c r="C630"/>
      <c r="D630"/>
      <c r="E630" s="69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  <c r="V630"/>
      <c r="W630"/>
      <c r="X630"/>
      <c r="Y630"/>
      <c r="Z630"/>
      <c r="AA630"/>
    </row>
    <row r="631" spans="2:27" s="25" customFormat="1" ht="15.75" customHeight="1" x14ac:dyDescent="0.2">
      <c r="B631" s="89"/>
      <c r="C631"/>
      <c r="D631"/>
      <c r="E631" s="69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  <c r="V631"/>
      <c r="W631"/>
      <c r="X631"/>
      <c r="Y631"/>
      <c r="Z631"/>
      <c r="AA631"/>
    </row>
    <row r="632" spans="2:27" s="25" customFormat="1" ht="15.75" customHeight="1" x14ac:dyDescent="0.2">
      <c r="B632" s="89"/>
      <c r="C632"/>
      <c r="D632"/>
      <c r="E632" s="69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  <c r="V632"/>
      <c r="W632"/>
      <c r="X632"/>
      <c r="Y632"/>
      <c r="Z632"/>
      <c r="AA632"/>
    </row>
    <row r="633" spans="2:27" s="25" customFormat="1" ht="15.75" customHeight="1" x14ac:dyDescent="0.2">
      <c r="B633" s="89"/>
      <c r="C633"/>
      <c r="D633"/>
      <c r="E633" s="69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  <c r="V633"/>
      <c r="W633"/>
      <c r="X633"/>
      <c r="Y633"/>
      <c r="Z633"/>
      <c r="AA633"/>
    </row>
    <row r="634" spans="2:27" s="25" customFormat="1" ht="15.75" customHeight="1" x14ac:dyDescent="0.2">
      <c r="B634" s="89"/>
      <c r="C634"/>
      <c r="D634"/>
      <c r="E634" s="69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  <c r="V634"/>
      <c r="W634"/>
      <c r="X634"/>
      <c r="Y634"/>
      <c r="Z634"/>
      <c r="AA634"/>
    </row>
    <row r="635" spans="2:27" s="25" customFormat="1" ht="15.75" customHeight="1" x14ac:dyDescent="0.2">
      <c r="B635" s="89"/>
      <c r="C635"/>
      <c r="D635"/>
      <c r="E635" s="69"/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  <c r="V635"/>
      <c r="W635"/>
      <c r="X635"/>
      <c r="Y635"/>
      <c r="Z635"/>
      <c r="AA635"/>
    </row>
    <row r="636" spans="2:27" s="25" customFormat="1" ht="15.75" customHeight="1" x14ac:dyDescent="0.2">
      <c r="B636" s="89"/>
      <c r="C636"/>
      <c r="D636"/>
      <c r="E636" s="69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  <c r="V636"/>
      <c r="W636"/>
      <c r="X636"/>
      <c r="Y636"/>
      <c r="Z636"/>
      <c r="AA636"/>
    </row>
    <row r="637" spans="2:27" s="25" customFormat="1" ht="15.75" customHeight="1" x14ac:dyDescent="0.2">
      <c r="B637" s="89"/>
      <c r="C637"/>
      <c r="D637"/>
      <c r="E637" s="69"/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  <c r="V637"/>
      <c r="W637"/>
      <c r="X637"/>
      <c r="Y637"/>
      <c r="Z637"/>
      <c r="AA637"/>
    </row>
    <row r="638" spans="2:27" s="25" customFormat="1" ht="15.75" customHeight="1" x14ac:dyDescent="0.2">
      <c r="B638" s="89"/>
      <c r="C638"/>
      <c r="D638"/>
      <c r="E638" s="69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  <c r="V638"/>
      <c r="W638"/>
      <c r="X638"/>
      <c r="Y638"/>
      <c r="Z638"/>
      <c r="AA638"/>
    </row>
    <row r="639" spans="2:27" s="25" customFormat="1" ht="15.75" customHeight="1" x14ac:dyDescent="0.2">
      <c r="B639" s="89"/>
      <c r="C639"/>
      <c r="D639"/>
      <c r="E639" s="69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  <c r="U639"/>
      <c r="V639"/>
      <c r="W639"/>
      <c r="X639"/>
      <c r="Y639"/>
      <c r="Z639"/>
      <c r="AA639"/>
    </row>
    <row r="640" spans="2:27" s="25" customFormat="1" ht="15.75" customHeight="1" x14ac:dyDescent="0.2">
      <c r="B640" s="89"/>
      <c r="C640"/>
      <c r="D640"/>
      <c r="E640" s="69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  <c r="V640"/>
      <c r="W640"/>
      <c r="X640"/>
      <c r="Y640"/>
      <c r="Z640"/>
      <c r="AA640"/>
    </row>
    <row r="641" spans="2:27" s="25" customFormat="1" ht="15.75" customHeight="1" x14ac:dyDescent="0.2">
      <c r="B641" s="89"/>
      <c r="C641"/>
      <c r="D641"/>
      <c r="E641" s="69"/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/>
      <c r="U641"/>
      <c r="V641"/>
      <c r="W641"/>
      <c r="X641"/>
      <c r="Y641"/>
      <c r="Z641"/>
      <c r="AA641"/>
    </row>
    <row r="642" spans="2:27" s="25" customFormat="1" ht="15.75" customHeight="1" x14ac:dyDescent="0.2">
      <c r="B642" s="89"/>
      <c r="C642"/>
      <c r="D642"/>
      <c r="E642" s="69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  <c r="V642"/>
      <c r="W642"/>
      <c r="X642"/>
      <c r="Y642"/>
      <c r="Z642"/>
      <c r="AA642"/>
    </row>
    <row r="643" spans="2:27" s="25" customFormat="1" ht="15.75" customHeight="1" x14ac:dyDescent="0.2">
      <c r="B643" s="89"/>
      <c r="C643"/>
      <c r="D643"/>
      <c r="E643" s="69"/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  <c r="T643"/>
      <c r="U643"/>
      <c r="V643"/>
      <c r="W643"/>
      <c r="X643"/>
      <c r="Y643"/>
      <c r="Z643"/>
      <c r="AA643"/>
    </row>
    <row r="644" spans="2:27" s="25" customFormat="1" ht="15.75" customHeight="1" x14ac:dyDescent="0.2">
      <c r="B644" s="89"/>
      <c r="C644"/>
      <c r="D644"/>
      <c r="E644" s="69"/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  <c r="U644"/>
      <c r="V644"/>
      <c r="W644"/>
      <c r="X644"/>
      <c r="Y644"/>
      <c r="Z644"/>
      <c r="AA644"/>
    </row>
    <row r="645" spans="2:27" s="25" customFormat="1" ht="15.75" customHeight="1" x14ac:dyDescent="0.2">
      <c r="B645" s="89"/>
      <c r="C645"/>
      <c r="D645"/>
      <c r="E645" s="69"/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  <c r="T645"/>
      <c r="U645"/>
      <c r="V645"/>
      <c r="W645"/>
      <c r="X645"/>
      <c r="Y645"/>
      <c r="Z645"/>
      <c r="AA645"/>
    </row>
    <row r="646" spans="2:27" s="25" customFormat="1" ht="15.75" customHeight="1" x14ac:dyDescent="0.2">
      <c r="B646" s="89"/>
      <c r="C646"/>
      <c r="D646"/>
      <c r="E646" s="69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  <c r="U646"/>
      <c r="V646"/>
      <c r="W646"/>
      <c r="X646"/>
      <c r="Y646"/>
      <c r="Z646"/>
      <c r="AA646"/>
    </row>
    <row r="647" spans="2:27" s="25" customFormat="1" ht="15.75" customHeight="1" x14ac:dyDescent="0.2">
      <c r="B647" s="89"/>
      <c r="C647"/>
      <c r="D647"/>
      <c r="E647" s="69"/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  <c r="V647"/>
      <c r="W647"/>
      <c r="X647"/>
      <c r="Y647"/>
      <c r="Z647"/>
      <c r="AA647"/>
    </row>
    <row r="648" spans="2:27" s="25" customFormat="1" ht="15.75" customHeight="1" x14ac:dyDescent="0.2">
      <c r="B648" s="89"/>
      <c r="C648"/>
      <c r="D648"/>
      <c r="E648" s="69"/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  <c r="U648"/>
      <c r="V648"/>
      <c r="W648"/>
      <c r="X648"/>
      <c r="Y648"/>
      <c r="Z648"/>
      <c r="AA648"/>
    </row>
    <row r="649" spans="2:27" s="25" customFormat="1" ht="15.75" customHeight="1" x14ac:dyDescent="0.2">
      <c r="B649" s="89"/>
      <c r="C649"/>
      <c r="D649"/>
      <c r="E649" s="69"/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  <c r="T649"/>
      <c r="U649"/>
      <c r="V649"/>
      <c r="W649"/>
      <c r="X649"/>
      <c r="Y649"/>
      <c r="Z649"/>
      <c r="AA649"/>
    </row>
    <row r="650" spans="2:27" s="25" customFormat="1" ht="15.75" customHeight="1" x14ac:dyDescent="0.2">
      <c r="B650" s="89"/>
      <c r="C650"/>
      <c r="D650"/>
      <c r="E650" s="69"/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  <c r="T650"/>
      <c r="U650"/>
      <c r="V650"/>
      <c r="W650"/>
      <c r="X650"/>
      <c r="Y650"/>
      <c r="Z650"/>
      <c r="AA650"/>
    </row>
    <row r="651" spans="2:27" s="25" customFormat="1" ht="15.75" customHeight="1" x14ac:dyDescent="0.2">
      <c r="B651" s="89"/>
      <c r="C651"/>
      <c r="D651"/>
      <c r="E651" s="69"/>
      <c r="F651"/>
      <c r="G651"/>
      <c r="H651"/>
      <c r="I651"/>
      <c r="J651"/>
      <c r="K651"/>
      <c r="L651"/>
      <c r="M651"/>
      <c r="N651"/>
      <c r="O651"/>
      <c r="P651"/>
      <c r="Q651"/>
      <c r="R651"/>
      <c r="S651"/>
      <c r="T651"/>
      <c r="U651"/>
      <c r="V651"/>
      <c r="W651"/>
      <c r="X651"/>
      <c r="Y651"/>
      <c r="Z651"/>
      <c r="AA651"/>
    </row>
    <row r="652" spans="2:27" s="25" customFormat="1" ht="15.75" customHeight="1" x14ac:dyDescent="0.2">
      <c r="B652" s="89"/>
      <c r="C652"/>
      <c r="D652"/>
      <c r="E652" s="69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  <c r="V652"/>
      <c r="W652"/>
      <c r="X652"/>
      <c r="Y652"/>
      <c r="Z652"/>
      <c r="AA652"/>
    </row>
    <row r="653" spans="2:27" s="25" customFormat="1" ht="15.75" customHeight="1" x14ac:dyDescent="0.2">
      <c r="B653" s="89"/>
      <c r="C653"/>
      <c r="D653"/>
      <c r="E653" s="69"/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  <c r="T653"/>
      <c r="U653"/>
      <c r="V653"/>
      <c r="W653"/>
      <c r="X653"/>
      <c r="Y653"/>
      <c r="Z653"/>
      <c r="AA653"/>
    </row>
    <row r="654" spans="2:27" s="25" customFormat="1" ht="15.75" customHeight="1" x14ac:dyDescent="0.2">
      <c r="B654" s="89"/>
      <c r="C654"/>
      <c r="D654"/>
      <c r="E654" s="69"/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  <c r="T654"/>
      <c r="U654"/>
      <c r="V654"/>
      <c r="W654"/>
      <c r="X654"/>
      <c r="Y654"/>
      <c r="Z654"/>
      <c r="AA654"/>
    </row>
    <row r="655" spans="2:27" s="25" customFormat="1" ht="15.75" customHeight="1" x14ac:dyDescent="0.2">
      <c r="B655" s="89"/>
      <c r="C655"/>
      <c r="D655"/>
      <c r="E655" s="69"/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  <c r="V655"/>
      <c r="W655"/>
      <c r="X655"/>
      <c r="Y655"/>
      <c r="Z655"/>
      <c r="AA655"/>
    </row>
    <row r="656" spans="2:27" s="25" customFormat="1" ht="15.75" customHeight="1" x14ac:dyDescent="0.2">
      <c r="B656" s="89"/>
      <c r="C656"/>
      <c r="D656"/>
      <c r="E656" s="69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/>
      <c r="U656"/>
      <c r="V656"/>
      <c r="W656"/>
      <c r="X656"/>
      <c r="Y656"/>
      <c r="Z656"/>
      <c r="AA656"/>
    </row>
    <row r="657" spans="2:27" s="25" customFormat="1" ht="15.75" customHeight="1" x14ac:dyDescent="0.2">
      <c r="B657" s="89"/>
      <c r="C657"/>
      <c r="D657"/>
      <c r="E657" s="69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  <c r="V657"/>
      <c r="W657"/>
      <c r="X657"/>
      <c r="Y657"/>
      <c r="Z657"/>
      <c r="AA657"/>
    </row>
    <row r="658" spans="2:27" s="25" customFormat="1" ht="15.75" customHeight="1" x14ac:dyDescent="0.2">
      <c r="B658" s="89"/>
      <c r="C658"/>
      <c r="D658"/>
      <c r="E658" s="69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  <c r="U658"/>
      <c r="V658"/>
      <c r="W658"/>
      <c r="X658"/>
      <c r="Y658"/>
      <c r="Z658"/>
      <c r="AA658"/>
    </row>
    <row r="659" spans="2:27" s="25" customFormat="1" ht="15.75" customHeight="1" x14ac:dyDescent="0.2">
      <c r="B659" s="89"/>
      <c r="C659"/>
      <c r="D659"/>
      <c r="E659" s="69"/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  <c r="V659"/>
      <c r="W659"/>
      <c r="X659"/>
      <c r="Y659"/>
      <c r="Z659"/>
      <c r="AA659"/>
    </row>
    <row r="660" spans="2:27" s="25" customFormat="1" ht="15.75" customHeight="1" x14ac:dyDescent="0.2">
      <c r="B660" s="89"/>
      <c r="C660"/>
      <c r="D660"/>
      <c r="E660" s="69"/>
      <c r="F660"/>
      <c r="G660"/>
      <c r="H660"/>
      <c r="I660"/>
      <c r="J660"/>
      <c r="K660"/>
      <c r="L660"/>
      <c r="M660"/>
      <c r="N660"/>
      <c r="O660"/>
      <c r="P660"/>
      <c r="Q660"/>
      <c r="R660"/>
      <c r="S660"/>
      <c r="T660"/>
      <c r="U660"/>
      <c r="V660"/>
      <c r="W660"/>
      <c r="X660"/>
      <c r="Y660"/>
      <c r="Z660"/>
      <c r="AA660"/>
    </row>
    <row r="661" spans="2:27" s="25" customFormat="1" ht="15.75" customHeight="1" x14ac:dyDescent="0.2">
      <c r="B661" s="89"/>
      <c r="C661"/>
      <c r="D661"/>
      <c r="E661" s="69"/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  <c r="V661"/>
      <c r="W661"/>
      <c r="X661"/>
      <c r="Y661"/>
      <c r="Z661"/>
      <c r="AA661"/>
    </row>
    <row r="662" spans="2:27" s="25" customFormat="1" ht="15.75" customHeight="1" x14ac:dyDescent="0.2">
      <c r="B662" s="89"/>
      <c r="C662"/>
      <c r="D662"/>
      <c r="E662" s="69"/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  <c r="T662"/>
      <c r="U662"/>
      <c r="V662"/>
      <c r="W662"/>
      <c r="X662"/>
      <c r="Y662"/>
      <c r="Z662"/>
      <c r="AA662"/>
    </row>
    <row r="663" spans="2:27" s="25" customFormat="1" ht="15.75" customHeight="1" x14ac:dyDescent="0.2">
      <c r="B663" s="89"/>
      <c r="C663"/>
      <c r="D663"/>
      <c r="E663" s="69"/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  <c r="T663"/>
      <c r="U663"/>
      <c r="V663"/>
      <c r="W663"/>
      <c r="X663"/>
      <c r="Y663"/>
      <c r="Z663"/>
      <c r="AA663"/>
    </row>
    <row r="664" spans="2:27" s="25" customFormat="1" ht="15.75" customHeight="1" x14ac:dyDescent="0.2">
      <c r="B664" s="89"/>
      <c r="C664"/>
      <c r="D664"/>
      <c r="E664" s="69"/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/>
      <c r="U664"/>
      <c r="V664"/>
      <c r="W664"/>
      <c r="X664"/>
      <c r="Y664"/>
      <c r="Z664"/>
      <c r="AA664"/>
    </row>
    <row r="665" spans="2:27" s="25" customFormat="1" ht="15.75" customHeight="1" x14ac:dyDescent="0.2">
      <c r="B665" s="89"/>
      <c r="C665"/>
      <c r="D665"/>
      <c r="E665" s="69"/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  <c r="T665"/>
      <c r="U665"/>
      <c r="V665"/>
      <c r="W665"/>
      <c r="X665"/>
      <c r="Y665"/>
      <c r="Z665"/>
      <c r="AA665"/>
    </row>
    <row r="666" spans="2:27" s="25" customFormat="1" ht="15.75" customHeight="1" x14ac:dyDescent="0.2">
      <c r="B666" s="89"/>
      <c r="C666"/>
      <c r="D666"/>
      <c r="E666" s="69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  <c r="V666"/>
      <c r="W666"/>
      <c r="X666"/>
      <c r="Y666"/>
      <c r="Z666"/>
      <c r="AA666"/>
    </row>
    <row r="667" spans="2:27" s="25" customFormat="1" ht="15.75" customHeight="1" x14ac:dyDescent="0.2">
      <c r="B667" s="89"/>
      <c r="C667"/>
      <c r="D667"/>
      <c r="E667" s="69"/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  <c r="T667"/>
      <c r="U667"/>
      <c r="V667"/>
      <c r="W667"/>
      <c r="X667"/>
      <c r="Y667"/>
      <c r="Z667"/>
      <c r="AA667"/>
    </row>
    <row r="668" spans="2:27" s="25" customFormat="1" ht="15.75" customHeight="1" x14ac:dyDescent="0.2">
      <c r="B668" s="89"/>
      <c r="C668"/>
      <c r="D668"/>
      <c r="E668" s="69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  <c r="V668"/>
      <c r="W668"/>
      <c r="X668"/>
      <c r="Y668"/>
      <c r="Z668"/>
      <c r="AA668"/>
    </row>
    <row r="669" spans="2:27" s="25" customFormat="1" ht="15.75" customHeight="1" x14ac:dyDescent="0.2">
      <c r="B669" s="89"/>
      <c r="C669"/>
      <c r="D669"/>
      <c r="E669" s="69"/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  <c r="V669"/>
      <c r="W669"/>
      <c r="X669"/>
      <c r="Y669"/>
      <c r="Z669"/>
      <c r="AA669"/>
    </row>
    <row r="670" spans="2:27" s="25" customFormat="1" ht="15.75" customHeight="1" x14ac:dyDescent="0.2">
      <c r="B670" s="89"/>
      <c r="C670"/>
      <c r="D670"/>
      <c r="E670" s="69"/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  <c r="U670"/>
      <c r="V670"/>
      <c r="W670"/>
      <c r="X670"/>
      <c r="Y670"/>
      <c r="Z670"/>
      <c r="AA670"/>
    </row>
    <row r="671" spans="2:27" s="25" customFormat="1" ht="15.75" customHeight="1" x14ac:dyDescent="0.2">
      <c r="B671" s="89"/>
      <c r="C671"/>
      <c r="D671"/>
      <c r="E671" s="69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  <c r="V671"/>
      <c r="W671"/>
      <c r="X671"/>
      <c r="Y671"/>
      <c r="Z671"/>
      <c r="AA671"/>
    </row>
    <row r="672" spans="2:27" s="25" customFormat="1" ht="15.75" customHeight="1" x14ac:dyDescent="0.2">
      <c r="B672" s="89"/>
      <c r="C672"/>
      <c r="D672"/>
      <c r="E672" s="69"/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  <c r="T672"/>
      <c r="U672"/>
      <c r="V672"/>
      <c r="W672"/>
      <c r="X672"/>
      <c r="Y672"/>
      <c r="Z672"/>
      <c r="AA672"/>
    </row>
    <row r="673" spans="2:27" s="25" customFormat="1" ht="15.75" customHeight="1" x14ac:dyDescent="0.2">
      <c r="B673" s="89"/>
      <c r="C673"/>
      <c r="D673"/>
      <c r="E673" s="69"/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  <c r="T673"/>
      <c r="U673"/>
      <c r="V673"/>
      <c r="W673"/>
      <c r="X673"/>
      <c r="Y673"/>
      <c r="Z673"/>
      <c r="AA673"/>
    </row>
    <row r="674" spans="2:27" s="25" customFormat="1" ht="15.75" customHeight="1" x14ac:dyDescent="0.2">
      <c r="B674" s="89"/>
      <c r="C674"/>
      <c r="D674"/>
      <c r="E674" s="69"/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  <c r="U674"/>
      <c r="V674"/>
      <c r="W674"/>
      <c r="X674"/>
      <c r="Y674"/>
      <c r="Z674"/>
      <c r="AA674"/>
    </row>
    <row r="675" spans="2:27" s="25" customFormat="1" ht="15.75" customHeight="1" x14ac:dyDescent="0.2">
      <c r="B675" s="89"/>
      <c r="C675"/>
      <c r="D675"/>
      <c r="E675" s="69"/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  <c r="U675"/>
      <c r="V675"/>
      <c r="W675"/>
      <c r="X675"/>
      <c r="Y675"/>
      <c r="Z675"/>
      <c r="AA675"/>
    </row>
    <row r="676" spans="2:27" s="25" customFormat="1" ht="15.75" customHeight="1" x14ac:dyDescent="0.2">
      <c r="B676" s="89"/>
      <c r="C676"/>
      <c r="D676"/>
      <c r="E676" s="69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  <c r="V676"/>
      <c r="W676"/>
      <c r="X676"/>
      <c r="Y676"/>
      <c r="Z676"/>
      <c r="AA676"/>
    </row>
    <row r="677" spans="2:27" s="25" customFormat="1" ht="15.75" customHeight="1" x14ac:dyDescent="0.2">
      <c r="B677" s="89"/>
      <c r="C677"/>
      <c r="D677"/>
      <c r="E677" s="69"/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  <c r="V677"/>
      <c r="W677"/>
      <c r="X677"/>
      <c r="Y677"/>
      <c r="Z677"/>
      <c r="AA677"/>
    </row>
    <row r="678" spans="2:27" s="25" customFormat="1" ht="15.75" customHeight="1" x14ac:dyDescent="0.2">
      <c r="B678" s="89"/>
      <c r="C678"/>
      <c r="D678"/>
      <c r="E678" s="69"/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  <c r="T678"/>
      <c r="U678"/>
      <c r="V678"/>
      <c r="W678"/>
      <c r="X678"/>
      <c r="Y678"/>
      <c r="Z678"/>
      <c r="AA678"/>
    </row>
    <row r="679" spans="2:27" s="25" customFormat="1" ht="15.75" customHeight="1" x14ac:dyDescent="0.2">
      <c r="B679" s="89"/>
      <c r="C679"/>
      <c r="D679"/>
      <c r="E679" s="69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  <c r="V679"/>
      <c r="W679"/>
      <c r="X679"/>
      <c r="Y679"/>
      <c r="Z679"/>
      <c r="AA679"/>
    </row>
    <row r="680" spans="2:27" s="25" customFormat="1" ht="15.75" customHeight="1" x14ac:dyDescent="0.2">
      <c r="B680" s="89"/>
      <c r="C680"/>
      <c r="D680"/>
      <c r="E680" s="69"/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  <c r="U680"/>
      <c r="V680"/>
      <c r="W680"/>
      <c r="X680"/>
      <c r="Y680"/>
      <c r="Z680"/>
      <c r="AA680"/>
    </row>
    <row r="681" spans="2:27" s="25" customFormat="1" ht="15.75" customHeight="1" x14ac:dyDescent="0.2">
      <c r="B681" s="89"/>
      <c r="C681"/>
      <c r="D681"/>
      <c r="E681" s="69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  <c r="U681"/>
      <c r="V681"/>
      <c r="W681"/>
      <c r="X681"/>
      <c r="Y681"/>
      <c r="Z681"/>
      <c r="AA681"/>
    </row>
    <row r="682" spans="2:27" s="25" customFormat="1" ht="15.75" customHeight="1" x14ac:dyDescent="0.2">
      <c r="B682" s="89"/>
      <c r="C682"/>
      <c r="D682"/>
      <c r="E682" s="69"/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  <c r="T682"/>
      <c r="U682"/>
      <c r="V682"/>
      <c r="W682"/>
      <c r="X682"/>
      <c r="Y682"/>
      <c r="Z682"/>
      <c r="AA682"/>
    </row>
    <row r="683" spans="2:27" s="25" customFormat="1" ht="15.75" customHeight="1" x14ac:dyDescent="0.2">
      <c r="B683" s="89"/>
      <c r="C683"/>
      <c r="D683"/>
      <c r="E683" s="69"/>
      <c r="F683"/>
      <c r="G683"/>
      <c r="H683"/>
      <c r="I683"/>
      <c r="J683"/>
      <c r="K683"/>
      <c r="L683"/>
      <c r="M683"/>
      <c r="N683"/>
      <c r="O683"/>
      <c r="P683"/>
      <c r="Q683"/>
      <c r="R683"/>
      <c r="S683"/>
      <c r="T683"/>
      <c r="U683"/>
      <c r="V683"/>
      <c r="W683"/>
      <c r="X683"/>
      <c r="Y683"/>
      <c r="Z683"/>
      <c r="AA683"/>
    </row>
    <row r="684" spans="2:27" s="25" customFormat="1" ht="15.75" customHeight="1" x14ac:dyDescent="0.2">
      <c r="B684" s="89"/>
      <c r="C684"/>
      <c r="D684"/>
      <c r="E684" s="69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  <c r="V684"/>
      <c r="W684"/>
      <c r="X684"/>
      <c r="Y684"/>
      <c r="Z684"/>
      <c r="AA684"/>
    </row>
    <row r="685" spans="2:27" s="25" customFormat="1" ht="15.75" customHeight="1" x14ac:dyDescent="0.2">
      <c r="B685" s="89"/>
      <c r="C685"/>
      <c r="D685"/>
      <c r="E685" s="69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  <c r="V685"/>
      <c r="W685"/>
      <c r="X685"/>
      <c r="Y685"/>
      <c r="Z685"/>
      <c r="AA685"/>
    </row>
    <row r="686" spans="2:27" s="25" customFormat="1" ht="15.75" customHeight="1" x14ac:dyDescent="0.2">
      <c r="B686" s="89"/>
      <c r="C686"/>
      <c r="D686"/>
      <c r="E686" s="69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  <c r="U686"/>
      <c r="V686"/>
      <c r="W686"/>
      <c r="X686"/>
      <c r="Y686"/>
      <c r="Z686"/>
      <c r="AA686"/>
    </row>
    <row r="687" spans="2:27" s="25" customFormat="1" ht="15.75" customHeight="1" x14ac:dyDescent="0.2">
      <c r="B687" s="89"/>
      <c r="C687"/>
      <c r="D687"/>
      <c r="E687" s="69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  <c r="V687"/>
      <c r="W687"/>
      <c r="X687"/>
      <c r="Y687"/>
      <c r="Z687"/>
      <c r="AA687"/>
    </row>
    <row r="688" spans="2:27" s="25" customFormat="1" ht="15.75" customHeight="1" x14ac:dyDescent="0.2">
      <c r="B688" s="89"/>
      <c r="C688"/>
      <c r="D688"/>
      <c r="E688" s="69"/>
      <c r="F688"/>
      <c r="G688"/>
      <c r="H688"/>
      <c r="I688"/>
      <c r="J688"/>
      <c r="K688"/>
      <c r="L688"/>
      <c r="M688"/>
      <c r="N688"/>
      <c r="O688"/>
      <c r="P688"/>
      <c r="Q688"/>
      <c r="R688"/>
      <c r="S688"/>
      <c r="T688"/>
      <c r="U688"/>
      <c r="V688"/>
      <c r="W688"/>
      <c r="X688"/>
      <c r="Y688"/>
      <c r="Z688"/>
      <c r="AA688"/>
    </row>
    <row r="689" spans="2:27" s="25" customFormat="1" ht="15.75" customHeight="1" x14ac:dyDescent="0.2">
      <c r="B689" s="89"/>
      <c r="C689"/>
      <c r="D689"/>
      <c r="E689" s="6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  <c r="V689"/>
      <c r="W689"/>
      <c r="X689"/>
      <c r="Y689"/>
      <c r="Z689"/>
      <c r="AA689"/>
    </row>
    <row r="690" spans="2:27" s="25" customFormat="1" ht="15.75" customHeight="1" x14ac:dyDescent="0.2">
      <c r="B690" s="89"/>
      <c r="C690"/>
      <c r="D690"/>
      <c r="E690" s="69"/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  <c r="T690"/>
      <c r="U690"/>
      <c r="V690"/>
      <c r="W690"/>
      <c r="X690"/>
      <c r="Y690"/>
      <c r="Z690"/>
      <c r="AA690"/>
    </row>
    <row r="691" spans="2:27" s="25" customFormat="1" ht="15.75" customHeight="1" x14ac:dyDescent="0.2">
      <c r="B691" s="89"/>
      <c r="C691"/>
      <c r="D691"/>
      <c r="E691" s="69"/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  <c r="U691"/>
      <c r="V691"/>
      <c r="W691"/>
      <c r="X691"/>
      <c r="Y691"/>
      <c r="Z691"/>
      <c r="AA691"/>
    </row>
    <row r="692" spans="2:27" s="25" customFormat="1" ht="15.75" customHeight="1" x14ac:dyDescent="0.2">
      <c r="B692" s="89"/>
      <c r="C692"/>
      <c r="D692"/>
      <c r="E692" s="69"/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  <c r="T692"/>
      <c r="U692"/>
      <c r="V692"/>
      <c r="W692"/>
      <c r="X692"/>
      <c r="Y692"/>
      <c r="Z692"/>
      <c r="AA692"/>
    </row>
    <row r="693" spans="2:27" s="25" customFormat="1" ht="15.75" customHeight="1" x14ac:dyDescent="0.2">
      <c r="B693" s="89"/>
      <c r="C693"/>
      <c r="D693"/>
      <c r="E693" s="69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  <c r="U693"/>
      <c r="V693"/>
      <c r="W693"/>
      <c r="X693"/>
      <c r="Y693"/>
      <c r="Z693"/>
      <c r="AA693"/>
    </row>
    <row r="694" spans="2:27" s="25" customFormat="1" ht="15.75" customHeight="1" x14ac:dyDescent="0.2">
      <c r="B694" s="89"/>
      <c r="C694"/>
      <c r="D694"/>
      <c r="E694" s="69"/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  <c r="V694"/>
      <c r="W694"/>
      <c r="X694"/>
      <c r="Y694"/>
      <c r="Z694"/>
      <c r="AA694"/>
    </row>
    <row r="695" spans="2:27" s="25" customFormat="1" ht="15.75" customHeight="1" x14ac:dyDescent="0.2">
      <c r="B695" s="89"/>
      <c r="C695"/>
      <c r="D695"/>
      <c r="E695" s="69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  <c r="V695"/>
      <c r="W695"/>
      <c r="X695"/>
      <c r="Y695"/>
      <c r="Z695"/>
      <c r="AA695"/>
    </row>
    <row r="696" spans="2:27" s="25" customFormat="1" ht="15.75" customHeight="1" x14ac:dyDescent="0.2">
      <c r="B696" s="89"/>
      <c r="C696"/>
      <c r="D696"/>
      <c r="E696" s="69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  <c r="U696"/>
      <c r="V696"/>
      <c r="W696"/>
      <c r="X696"/>
      <c r="Y696"/>
      <c r="Z696"/>
      <c r="AA696"/>
    </row>
    <row r="697" spans="2:27" s="25" customFormat="1" ht="15.75" customHeight="1" x14ac:dyDescent="0.2">
      <c r="B697" s="89"/>
      <c r="C697"/>
      <c r="D697"/>
      <c r="E697" s="69"/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  <c r="V697"/>
      <c r="W697"/>
      <c r="X697"/>
      <c r="Y697"/>
      <c r="Z697"/>
      <c r="AA697"/>
    </row>
    <row r="698" spans="2:27" s="25" customFormat="1" ht="15.75" customHeight="1" x14ac:dyDescent="0.2">
      <c r="B698" s="89"/>
      <c r="C698"/>
      <c r="D698"/>
      <c r="E698" s="69"/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  <c r="V698"/>
      <c r="W698"/>
      <c r="X698"/>
      <c r="Y698"/>
      <c r="Z698"/>
      <c r="AA698"/>
    </row>
    <row r="699" spans="2:27" s="25" customFormat="1" ht="15.75" customHeight="1" x14ac:dyDescent="0.2">
      <c r="B699" s="89"/>
      <c r="C699"/>
      <c r="D699"/>
      <c r="E699" s="69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  <c r="V699"/>
      <c r="W699"/>
      <c r="X699"/>
      <c r="Y699"/>
      <c r="Z699"/>
      <c r="AA699"/>
    </row>
    <row r="700" spans="2:27" s="25" customFormat="1" ht="15.75" customHeight="1" x14ac:dyDescent="0.2">
      <c r="B700" s="89"/>
      <c r="C700"/>
      <c r="D700"/>
      <c r="E700" s="69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  <c r="V700"/>
      <c r="W700"/>
      <c r="X700"/>
      <c r="Y700"/>
      <c r="Z700"/>
      <c r="AA700"/>
    </row>
    <row r="701" spans="2:27" s="25" customFormat="1" ht="15.75" customHeight="1" x14ac:dyDescent="0.2">
      <c r="B701" s="89"/>
      <c r="C701"/>
      <c r="D701"/>
      <c r="E701" s="69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  <c r="V701"/>
      <c r="W701"/>
      <c r="X701"/>
      <c r="Y701"/>
      <c r="Z701"/>
      <c r="AA701"/>
    </row>
    <row r="702" spans="2:27" s="25" customFormat="1" ht="15.75" customHeight="1" x14ac:dyDescent="0.2">
      <c r="B702" s="89"/>
      <c r="C702"/>
      <c r="D702"/>
      <c r="E702" s="69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  <c r="V702"/>
      <c r="W702"/>
      <c r="X702"/>
      <c r="Y702"/>
      <c r="Z702"/>
      <c r="AA702"/>
    </row>
    <row r="703" spans="2:27" s="25" customFormat="1" ht="15.75" customHeight="1" x14ac:dyDescent="0.2">
      <c r="B703" s="89"/>
      <c r="C703"/>
      <c r="D703"/>
      <c r="E703" s="69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  <c r="V703"/>
      <c r="W703"/>
      <c r="X703"/>
      <c r="Y703"/>
      <c r="Z703"/>
      <c r="AA703"/>
    </row>
    <row r="704" spans="2:27" s="25" customFormat="1" ht="15.75" customHeight="1" x14ac:dyDescent="0.2">
      <c r="B704" s="89"/>
      <c r="C704"/>
      <c r="D704"/>
      <c r="E704" s="69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  <c r="V704"/>
      <c r="W704"/>
      <c r="X704"/>
      <c r="Y704"/>
      <c r="Z704"/>
      <c r="AA704"/>
    </row>
    <row r="705" spans="2:27" s="25" customFormat="1" ht="15.75" customHeight="1" x14ac:dyDescent="0.2">
      <c r="B705" s="89"/>
      <c r="C705"/>
      <c r="D705"/>
      <c r="E705" s="69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  <c r="V705"/>
      <c r="W705"/>
      <c r="X705"/>
      <c r="Y705"/>
      <c r="Z705"/>
      <c r="AA705"/>
    </row>
    <row r="706" spans="2:27" s="25" customFormat="1" ht="15.75" customHeight="1" x14ac:dyDescent="0.2">
      <c r="B706" s="89"/>
      <c r="C706"/>
      <c r="D706"/>
      <c r="E706" s="69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  <c r="V706"/>
      <c r="W706"/>
      <c r="X706"/>
      <c r="Y706"/>
      <c r="Z706"/>
      <c r="AA706"/>
    </row>
    <row r="707" spans="2:27" s="25" customFormat="1" ht="15.75" customHeight="1" x14ac:dyDescent="0.2">
      <c r="B707" s="89"/>
      <c r="C707"/>
      <c r="D707"/>
      <c r="E707" s="69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  <c r="V707"/>
      <c r="W707"/>
      <c r="X707"/>
      <c r="Y707"/>
      <c r="Z707"/>
      <c r="AA707"/>
    </row>
    <row r="708" spans="2:27" s="25" customFormat="1" ht="15.75" customHeight="1" x14ac:dyDescent="0.2">
      <c r="B708" s="89"/>
      <c r="C708"/>
      <c r="D708"/>
      <c r="E708" s="69"/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  <c r="V708"/>
      <c r="W708"/>
      <c r="X708"/>
      <c r="Y708"/>
      <c r="Z708"/>
      <c r="AA708"/>
    </row>
    <row r="709" spans="2:27" s="25" customFormat="1" ht="15.75" customHeight="1" x14ac:dyDescent="0.2">
      <c r="B709" s="89"/>
      <c r="C709"/>
      <c r="D709"/>
      <c r="E709" s="69"/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  <c r="T709"/>
      <c r="U709"/>
      <c r="V709"/>
      <c r="W709"/>
      <c r="X709"/>
      <c r="Y709"/>
      <c r="Z709"/>
      <c r="AA709"/>
    </row>
    <row r="710" spans="2:27" s="25" customFormat="1" ht="15.75" customHeight="1" x14ac:dyDescent="0.2">
      <c r="B710" s="89"/>
      <c r="C710"/>
      <c r="D710"/>
      <c r="E710" s="69"/>
      <c r="F710"/>
      <c r="G710"/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  <c r="V710"/>
      <c r="W710"/>
      <c r="X710"/>
      <c r="Y710"/>
      <c r="Z710"/>
      <c r="AA710"/>
    </row>
    <row r="711" spans="2:27" s="25" customFormat="1" ht="15.75" customHeight="1" x14ac:dyDescent="0.2">
      <c r="B711" s="89"/>
      <c r="C711"/>
      <c r="D711"/>
      <c r="E711" s="69"/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  <c r="U711"/>
      <c r="V711"/>
      <c r="W711"/>
      <c r="X711"/>
      <c r="Y711"/>
      <c r="Z711"/>
      <c r="AA711"/>
    </row>
    <row r="712" spans="2:27" s="25" customFormat="1" ht="15.75" customHeight="1" x14ac:dyDescent="0.2">
      <c r="B712" s="89"/>
      <c r="C712"/>
      <c r="D712"/>
      <c r="E712" s="69"/>
      <c r="F712"/>
      <c r="G712"/>
      <c r="H712"/>
      <c r="I712"/>
      <c r="J712"/>
      <c r="K712"/>
      <c r="L712"/>
      <c r="M712"/>
      <c r="N712"/>
      <c r="O712"/>
      <c r="P712"/>
      <c r="Q712"/>
      <c r="R712"/>
      <c r="S712"/>
      <c r="T712"/>
      <c r="U712"/>
      <c r="V712"/>
      <c r="W712"/>
      <c r="X712"/>
      <c r="Y712"/>
      <c r="Z712"/>
      <c r="AA712"/>
    </row>
    <row r="713" spans="2:27" s="25" customFormat="1" ht="15.75" customHeight="1" x14ac:dyDescent="0.2">
      <c r="B713" s="89"/>
      <c r="C713"/>
      <c r="D713"/>
      <c r="E713" s="69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  <c r="V713"/>
      <c r="W713"/>
      <c r="X713"/>
      <c r="Y713"/>
      <c r="Z713"/>
      <c r="AA713"/>
    </row>
    <row r="714" spans="2:27" s="25" customFormat="1" ht="15.75" customHeight="1" x14ac:dyDescent="0.2">
      <c r="B714" s="89"/>
      <c r="C714"/>
      <c r="D714"/>
      <c r="E714" s="69"/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  <c r="U714"/>
      <c r="V714"/>
      <c r="W714"/>
      <c r="X714"/>
      <c r="Y714"/>
      <c r="Z714"/>
      <c r="AA714"/>
    </row>
    <row r="715" spans="2:27" s="25" customFormat="1" ht="15.75" customHeight="1" x14ac:dyDescent="0.2">
      <c r="B715" s="89"/>
      <c r="C715"/>
      <c r="D715"/>
      <c r="E715" s="69"/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  <c r="V715"/>
      <c r="W715"/>
      <c r="X715"/>
      <c r="Y715"/>
      <c r="Z715"/>
      <c r="AA715"/>
    </row>
    <row r="716" spans="2:27" s="25" customFormat="1" ht="15.75" customHeight="1" x14ac:dyDescent="0.2">
      <c r="B716" s="89"/>
      <c r="C716"/>
      <c r="D716"/>
      <c r="E716" s="69"/>
      <c r="F716"/>
      <c r="G716"/>
      <c r="H716"/>
      <c r="I716"/>
      <c r="J716"/>
      <c r="K716"/>
      <c r="L716"/>
      <c r="M716"/>
      <c r="N716"/>
      <c r="O716"/>
      <c r="P716"/>
      <c r="Q716"/>
      <c r="R716"/>
      <c r="S716"/>
      <c r="T716"/>
      <c r="U716"/>
      <c r="V716"/>
      <c r="W716"/>
      <c r="X716"/>
      <c r="Y716"/>
      <c r="Z716"/>
      <c r="AA716"/>
    </row>
    <row r="717" spans="2:27" s="25" customFormat="1" ht="15.75" customHeight="1" x14ac:dyDescent="0.2">
      <c r="B717" s="89"/>
      <c r="C717"/>
      <c r="D717"/>
      <c r="E717" s="69"/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  <c r="V717"/>
      <c r="W717"/>
      <c r="X717"/>
      <c r="Y717"/>
      <c r="Z717"/>
      <c r="AA717"/>
    </row>
    <row r="718" spans="2:27" s="25" customFormat="1" ht="15.75" customHeight="1" x14ac:dyDescent="0.2">
      <c r="B718" s="89"/>
      <c r="C718"/>
      <c r="D718"/>
      <c r="E718" s="69"/>
      <c r="F718"/>
      <c r="G718"/>
      <c r="H718"/>
      <c r="I718"/>
      <c r="J718"/>
      <c r="K718"/>
      <c r="L718"/>
      <c r="M718"/>
      <c r="N718"/>
      <c r="O718"/>
      <c r="P718"/>
      <c r="Q718"/>
      <c r="R718"/>
      <c r="S718"/>
      <c r="T718"/>
      <c r="U718"/>
      <c r="V718"/>
      <c r="W718"/>
      <c r="X718"/>
      <c r="Y718"/>
      <c r="Z718"/>
      <c r="AA718"/>
    </row>
    <row r="719" spans="2:27" s="25" customFormat="1" ht="15.75" customHeight="1" x14ac:dyDescent="0.2">
      <c r="B719" s="89"/>
      <c r="C719"/>
      <c r="D719"/>
      <c r="E719" s="69"/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  <c r="T719"/>
      <c r="U719"/>
      <c r="V719"/>
      <c r="W719"/>
      <c r="X719"/>
      <c r="Y719"/>
      <c r="Z719"/>
      <c r="AA719"/>
    </row>
    <row r="720" spans="2:27" s="25" customFormat="1" ht="15.75" customHeight="1" x14ac:dyDescent="0.2">
      <c r="B720" s="89"/>
      <c r="C720"/>
      <c r="D720"/>
      <c r="E720" s="69"/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  <c r="U720"/>
      <c r="V720"/>
      <c r="W720"/>
      <c r="X720"/>
      <c r="Y720"/>
      <c r="Z720"/>
      <c r="AA720"/>
    </row>
    <row r="721" spans="2:27" s="25" customFormat="1" ht="15.75" customHeight="1" x14ac:dyDescent="0.2">
      <c r="B721" s="89"/>
      <c r="C721"/>
      <c r="D721"/>
      <c r="E721" s="69"/>
      <c r="F721"/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  <c r="V721"/>
      <c r="W721"/>
      <c r="X721"/>
      <c r="Y721"/>
      <c r="Z721"/>
      <c r="AA721"/>
    </row>
    <row r="722" spans="2:27" s="25" customFormat="1" ht="15.75" customHeight="1" x14ac:dyDescent="0.2">
      <c r="B722" s="89"/>
      <c r="C722"/>
      <c r="D722"/>
      <c r="E722" s="69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  <c r="V722"/>
      <c r="W722"/>
      <c r="X722"/>
      <c r="Y722"/>
      <c r="Z722"/>
      <c r="AA722"/>
    </row>
    <row r="723" spans="2:27" s="25" customFormat="1" ht="15.75" customHeight="1" x14ac:dyDescent="0.2">
      <c r="B723" s="89"/>
      <c r="C723"/>
      <c r="D723"/>
      <c r="E723" s="69"/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  <c r="U723"/>
      <c r="V723"/>
      <c r="W723"/>
      <c r="X723"/>
      <c r="Y723"/>
      <c r="Z723"/>
      <c r="AA723"/>
    </row>
    <row r="724" spans="2:27" s="25" customFormat="1" ht="15.75" customHeight="1" x14ac:dyDescent="0.2">
      <c r="B724" s="89"/>
      <c r="C724"/>
      <c r="D724"/>
      <c r="E724" s="69"/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  <c r="U724"/>
      <c r="V724"/>
      <c r="W724"/>
      <c r="X724"/>
      <c r="Y724"/>
      <c r="Z724"/>
      <c r="AA724"/>
    </row>
    <row r="725" spans="2:27" s="25" customFormat="1" ht="15.75" customHeight="1" x14ac:dyDescent="0.2">
      <c r="B725" s="89"/>
      <c r="C725"/>
      <c r="D725"/>
      <c r="E725" s="69"/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/>
      <c r="U725"/>
      <c r="V725"/>
      <c r="W725"/>
      <c r="X725"/>
      <c r="Y725"/>
      <c r="Z725"/>
      <c r="AA725"/>
    </row>
    <row r="726" spans="2:27" s="25" customFormat="1" ht="15.75" customHeight="1" x14ac:dyDescent="0.2">
      <c r="B726" s="89"/>
      <c r="C726"/>
      <c r="D726"/>
      <c r="E726" s="69"/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  <c r="U726"/>
      <c r="V726"/>
      <c r="W726"/>
      <c r="X726"/>
      <c r="Y726"/>
      <c r="Z726"/>
      <c r="AA726"/>
    </row>
    <row r="727" spans="2:27" s="25" customFormat="1" ht="15.75" customHeight="1" x14ac:dyDescent="0.2">
      <c r="B727" s="89"/>
      <c r="C727"/>
      <c r="D727"/>
      <c r="E727" s="69"/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  <c r="V727"/>
      <c r="W727"/>
      <c r="X727"/>
      <c r="Y727"/>
      <c r="Z727"/>
      <c r="AA727"/>
    </row>
    <row r="728" spans="2:27" s="25" customFormat="1" ht="15.75" customHeight="1" x14ac:dyDescent="0.2">
      <c r="B728" s="89"/>
      <c r="C728"/>
      <c r="D728"/>
      <c r="E728" s="69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  <c r="V728"/>
      <c r="W728"/>
      <c r="X728"/>
      <c r="Y728"/>
      <c r="Z728"/>
      <c r="AA728"/>
    </row>
    <row r="729" spans="2:27" s="25" customFormat="1" ht="15.75" customHeight="1" x14ac:dyDescent="0.2">
      <c r="B729" s="89"/>
      <c r="C729"/>
      <c r="D729"/>
      <c r="E729" s="69"/>
      <c r="F729"/>
      <c r="G729"/>
      <c r="H729"/>
      <c r="I729"/>
      <c r="J729"/>
      <c r="K729"/>
      <c r="L729"/>
      <c r="M729"/>
      <c r="N729"/>
      <c r="O729"/>
      <c r="P729"/>
      <c r="Q729"/>
      <c r="R729"/>
      <c r="S729"/>
      <c r="T729"/>
      <c r="U729"/>
      <c r="V729"/>
      <c r="W729"/>
      <c r="X729"/>
      <c r="Y729"/>
      <c r="Z729"/>
      <c r="AA729"/>
    </row>
    <row r="730" spans="2:27" s="25" customFormat="1" ht="15.75" customHeight="1" x14ac:dyDescent="0.2">
      <c r="B730" s="89"/>
      <c r="C730"/>
      <c r="D730"/>
      <c r="E730" s="69"/>
      <c r="F730"/>
      <c r="G730"/>
      <c r="H730"/>
      <c r="I730"/>
      <c r="J730"/>
      <c r="K730"/>
      <c r="L730"/>
      <c r="M730"/>
      <c r="N730"/>
      <c r="O730"/>
      <c r="P730"/>
      <c r="Q730"/>
      <c r="R730"/>
      <c r="S730"/>
      <c r="T730"/>
      <c r="U730"/>
      <c r="V730"/>
      <c r="W730"/>
      <c r="X730"/>
      <c r="Y730"/>
      <c r="Z730"/>
      <c r="AA730"/>
    </row>
    <row r="731" spans="2:27" s="25" customFormat="1" ht="15.75" customHeight="1" x14ac:dyDescent="0.2">
      <c r="B731" s="89"/>
      <c r="C731"/>
      <c r="D731"/>
      <c r="E731" s="69"/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  <c r="V731"/>
      <c r="W731"/>
      <c r="X731"/>
      <c r="Y731"/>
      <c r="Z731"/>
      <c r="AA731"/>
    </row>
    <row r="732" spans="2:27" s="25" customFormat="1" ht="15.75" customHeight="1" x14ac:dyDescent="0.2">
      <c r="B732" s="89"/>
      <c r="C732"/>
      <c r="D732"/>
      <c r="E732" s="69"/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  <c r="U732"/>
      <c r="V732"/>
      <c r="W732"/>
      <c r="X732"/>
      <c r="Y732"/>
      <c r="Z732"/>
      <c r="AA732"/>
    </row>
    <row r="733" spans="2:27" s="25" customFormat="1" ht="15.75" customHeight="1" x14ac:dyDescent="0.2">
      <c r="B733" s="89"/>
      <c r="C733"/>
      <c r="D733"/>
      <c r="E733" s="69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  <c r="V733"/>
      <c r="W733"/>
      <c r="X733"/>
      <c r="Y733"/>
      <c r="Z733"/>
      <c r="AA733"/>
    </row>
    <row r="734" spans="2:27" s="25" customFormat="1" ht="15.75" customHeight="1" x14ac:dyDescent="0.2">
      <c r="B734" s="89"/>
      <c r="C734"/>
      <c r="D734"/>
      <c r="E734" s="69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  <c r="V734"/>
      <c r="W734"/>
      <c r="X734"/>
      <c r="Y734"/>
      <c r="Z734"/>
      <c r="AA734"/>
    </row>
    <row r="735" spans="2:27" s="25" customFormat="1" ht="15.75" customHeight="1" x14ac:dyDescent="0.2">
      <c r="B735" s="89"/>
      <c r="C735"/>
      <c r="D735"/>
      <c r="E735" s="69"/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  <c r="U735"/>
      <c r="V735"/>
      <c r="W735"/>
      <c r="X735"/>
      <c r="Y735"/>
      <c r="Z735"/>
      <c r="AA735"/>
    </row>
    <row r="736" spans="2:27" s="25" customFormat="1" ht="15.75" customHeight="1" x14ac:dyDescent="0.2">
      <c r="B736" s="89"/>
      <c r="C736"/>
      <c r="D736"/>
      <c r="E736" s="69"/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  <c r="U736"/>
      <c r="V736"/>
      <c r="W736"/>
      <c r="X736"/>
      <c r="Y736"/>
      <c r="Z736"/>
      <c r="AA736"/>
    </row>
    <row r="737" spans="2:27" s="25" customFormat="1" ht="15.75" customHeight="1" x14ac:dyDescent="0.2">
      <c r="B737" s="89"/>
      <c r="C737"/>
      <c r="D737"/>
      <c r="E737" s="69"/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  <c r="U737"/>
      <c r="V737"/>
      <c r="W737"/>
      <c r="X737"/>
      <c r="Y737"/>
      <c r="Z737"/>
      <c r="AA737"/>
    </row>
    <row r="738" spans="2:27" s="25" customFormat="1" ht="15.75" customHeight="1" x14ac:dyDescent="0.2">
      <c r="B738" s="89"/>
      <c r="C738"/>
      <c r="D738"/>
      <c r="E738" s="69"/>
      <c r="F738"/>
      <c r="G738"/>
      <c r="H738"/>
      <c r="I738"/>
      <c r="J738"/>
      <c r="K738"/>
      <c r="L738"/>
      <c r="M738"/>
      <c r="N738"/>
      <c r="O738"/>
      <c r="P738"/>
      <c r="Q738"/>
      <c r="R738"/>
      <c r="S738"/>
      <c r="T738"/>
      <c r="U738"/>
      <c r="V738"/>
      <c r="W738"/>
      <c r="X738"/>
      <c r="Y738"/>
      <c r="Z738"/>
      <c r="AA738"/>
    </row>
    <row r="739" spans="2:27" s="25" customFormat="1" ht="15.75" customHeight="1" x14ac:dyDescent="0.2">
      <c r="B739" s="89"/>
      <c r="C739"/>
      <c r="D739"/>
      <c r="E739" s="69"/>
      <c r="F739"/>
      <c r="G739"/>
      <c r="H739"/>
      <c r="I739"/>
      <c r="J739"/>
      <c r="K739"/>
      <c r="L739"/>
      <c r="M739"/>
      <c r="N739"/>
      <c r="O739"/>
      <c r="P739"/>
      <c r="Q739"/>
      <c r="R739"/>
      <c r="S739"/>
      <c r="T739"/>
      <c r="U739"/>
      <c r="V739"/>
      <c r="W739"/>
      <c r="X739"/>
      <c r="Y739"/>
      <c r="Z739"/>
      <c r="AA739"/>
    </row>
    <row r="740" spans="2:27" s="25" customFormat="1" ht="15.75" customHeight="1" x14ac:dyDescent="0.2">
      <c r="B740" s="89"/>
      <c r="C740"/>
      <c r="D740"/>
      <c r="E740" s="69"/>
      <c r="F740"/>
      <c r="G740"/>
      <c r="H740"/>
      <c r="I740"/>
      <c r="J740"/>
      <c r="K740"/>
      <c r="L740"/>
      <c r="M740"/>
      <c r="N740"/>
      <c r="O740"/>
      <c r="P740"/>
      <c r="Q740"/>
      <c r="R740"/>
      <c r="S740"/>
      <c r="T740"/>
      <c r="U740"/>
      <c r="V740"/>
      <c r="W740"/>
      <c r="X740"/>
      <c r="Y740"/>
      <c r="Z740"/>
      <c r="AA740"/>
    </row>
    <row r="741" spans="2:27" s="25" customFormat="1" ht="15.75" customHeight="1" x14ac:dyDescent="0.2">
      <c r="B741" s="89"/>
      <c r="C741"/>
      <c r="D741"/>
      <c r="E741" s="69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  <c r="V741"/>
      <c r="W741"/>
      <c r="X741"/>
      <c r="Y741"/>
      <c r="Z741"/>
      <c r="AA741"/>
    </row>
    <row r="742" spans="2:27" s="25" customFormat="1" ht="15.75" customHeight="1" x14ac:dyDescent="0.2">
      <c r="B742" s="89"/>
      <c r="C742"/>
      <c r="D742"/>
      <c r="E742" s="69"/>
      <c r="F742"/>
      <c r="G742"/>
      <c r="H742"/>
      <c r="I742"/>
      <c r="J742"/>
      <c r="K742"/>
      <c r="L742"/>
      <c r="M742"/>
      <c r="N742"/>
      <c r="O742"/>
      <c r="P742"/>
      <c r="Q742"/>
      <c r="R742"/>
      <c r="S742"/>
      <c r="T742"/>
      <c r="U742"/>
      <c r="V742"/>
      <c r="W742"/>
      <c r="X742"/>
      <c r="Y742"/>
      <c r="Z742"/>
      <c r="AA742"/>
    </row>
    <row r="743" spans="2:27" s="25" customFormat="1" ht="15.75" customHeight="1" x14ac:dyDescent="0.2">
      <c r="B743" s="89"/>
      <c r="C743"/>
      <c r="D743"/>
      <c r="E743" s="69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  <c r="V743"/>
      <c r="W743"/>
      <c r="X743"/>
      <c r="Y743"/>
      <c r="Z743"/>
      <c r="AA743"/>
    </row>
    <row r="744" spans="2:27" s="25" customFormat="1" ht="15.75" customHeight="1" x14ac:dyDescent="0.2">
      <c r="B744" s="89"/>
      <c r="C744"/>
      <c r="D744"/>
      <c r="E744" s="69"/>
      <c r="F744"/>
      <c r="G744"/>
      <c r="H744"/>
      <c r="I744"/>
      <c r="J744"/>
      <c r="K744"/>
      <c r="L744"/>
      <c r="M744"/>
      <c r="N744"/>
      <c r="O744"/>
      <c r="P744"/>
      <c r="Q744"/>
      <c r="R744"/>
      <c r="S744"/>
      <c r="T744"/>
      <c r="U744"/>
      <c r="V744"/>
      <c r="W744"/>
      <c r="X744"/>
      <c r="Y744"/>
      <c r="Z744"/>
      <c r="AA744"/>
    </row>
    <row r="745" spans="2:27" s="25" customFormat="1" ht="15.75" customHeight="1" x14ac:dyDescent="0.2">
      <c r="B745" s="89"/>
      <c r="C745"/>
      <c r="D745"/>
      <c r="E745" s="69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  <c r="V745"/>
      <c r="W745"/>
      <c r="X745"/>
      <c r="Y745"/>
      <c r="Z745"/>
      <c r="AA745"/>
    </row>
    <row r="746" spans="2:27" s="25" customFormat="1" ht="15.75" customHeight="1" x14ac:dyDescent="0.2">
      <c r="B746" s="89"/>
      <c r="C746"/>
      <c r="D746"/>
      <c r="E746" s="69"/>
      <c r="F746"/>
      <c r="G746"/>
      <c r="H746"/>
      <c r="I746"/>
      <c r="J746"/>
      <c r="K746"/>
      <c r="L746"/>
      <c r="M746"/>
      <c r="N746"/>
      <c r="O746"/>
      <c r="P746"/>
      <c r="Q746"/>
      <c r="R746"/>
      <c r="S746"/>
      <c r="T746"/>
      <c r="U746"/>
      <c r="V746"/>
      <c r="W746"/>
      <c r="X746"/>
      <c r="Y746"/>
      <c r="Z746"/>
      <c r="AA746"/>
    </row>
    <row r="747" spans="2:27" s="25" customFormat="1" ht="15.75" customHeight="1" x14ac:dyDescent="0.2">
      <c r="B747" s="89"/>
      <c r="C747"/>
      <c r="D747"/>
      <c r="E747" s="69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  <c r="U747"/>
      <c r="V747"/>
      <c r="W747"/>
      <c r="X747"/>
      <c r="Y747"/>
      <c r="Z747"/>
      <c r="AA747"/>
    </row>
    <row r="748" spans="2:27" s="25" customFormat="1" ht="15.75" customHeight="1" x14ac:dyDescent="0.2">
      <c r="B748" s="89"/>
      <c r="C748"/>
      <c r="D748"/>
      <c r="E748" s="69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  <c r="V748"/>
      <c r="W748"/>
      <c r="X748"/>
      <c r="Y748"/>
      <c r="Z748"/>
      <c r="AA748"/>
    </row>
    <row r="749" spans="2:27" s="25" customFormat="1" ht="15.75" customHeight="1" x14ac:dyDescent="0.2">
      <c r="B749" s="89"/>
      <c r="C749"/>
      <c r="D749"/>
      <c r="E749" s="69"/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  <c r="T749"/>
      <c r="U749"/>
      <c r="V749"/>
      <c r="W749"/>
      <c r="X749"/>
      <c r="Y749"/>
      <c r="Z749"/>
      <c r="AA749"/>
    </row>
    <row r="750" spans="2:27" s="25" customFormat="1" ht="15.75" customHeight="1" x14ac:dyDescent="0.2">
      <c r="B750" s="89"/>
      <c r="C750"/>
      <c r="D750"/>
      <c r="E750" s="69"/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  <c r="V750"/>
      <c r="W750"/>
      <c r="X750"/>
      <c r="Y750"/>
      <c r="Z750"/>
      <c r="AA750"/>
    </row>
    <row r="751" spans="2:27" s="25" customFormat="1" ht="15.75" customHeight="1" x14ac:dyDescent="0.2">
      <c r="B751" s="89"/>
      <c r="C751"/>
      <c r="D751"/>
      <c r="E751" s="69"/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  <c r="V751"/>
      <c r="W751"/>
      <c r="X751"/>
      <c r="Y751"/>
      <c r="Z751"/>
      <c r="AA751"/>
    </row>
    <row r="752" spans="2:27" s="25" customFormat="1" ht="15.75" customHeight="1" x14ac:dyDescent="0.2">
      <c r="B752" s="89"/>
      <c r="C752"/>
      <c r="D752"/>
      <c r="E752" s="69"/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  <c r="V752"/>
      <c r="W752"/>
      <c r="X752"/>
      <c r="Y752"/>
      <c r="Z752"/>
      <c r="AA752"/>
    </row>
    <row r="753" spans="2:27" s="25" customFormat="1" ht="15.75" customHeight="1" x14ac:dyDescent="0.2">
      <c r="B753" s="89"/>
      <c r="C753"/>
      <c r="D753"/>
      <c r="E753" s="69"/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  <c r="T753"/>
      <c r="U753"/>
      <c r="V753"/>
      <c r="W753"/>
      <c r="X753"/>
      <c r="Y753"/>
      <c r="Z753"/>
      <c r="AA753"/>
    </row>
    <row r="754" spans="2:27" s="25" customFormat="1" ht="15.75" customHeight="1" x14ac:dyDescent="0.2">
      <c r="B754" s="89"/>
      <c r="C754"/>
      <c r="D754"/>
      <c r="E754" s="69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  <c r="T754"/>
      <c r="U754"/>
      <c r="V754"/>
      <c r="W754"/>
      <c r="X754"/>
      <c r="Y754"/>
      <c r="Z754"/>
      <c r="AA754"/>
    </row>
    <row r="755" spans="2:27" s="25" customFormat="1" ht="15.75" customHeight="1" x14ac:dyDescent="0.2">
      <c r="B755" s="89"/>
      <c r="C755"/>
      <c r="D755"/>
      <c r="E755" s="69"/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  <c r="V755"/>
      <c r="W755"/>
      <c r="X755"/>
      <c r="Y755"/>
      <c r="Z755"/>
      <c r="AA755"/>
    </row>
    <row r="756" spans="2:27" s="25" customFormat="1" ht="15.75" customHeight="1" x14ac:dyDescent="0.2">
      <c r="B756" s="89"/>
      <c r="C756"/>
      <c r="D756"/>
      <c r="E756" s="69"/>
      <c r="F756"/>
      <c r="G756"/>
      <c r="H756"/>
      <c r="I756"/>
      <c r="J756"/>
      <c r="K756"/>
      <c r="L756"/>
      <c r="M756"/>
      <c r="N756"/>
      <c r="O756"/>
      <c r="P756"/>
      <c r="Q756"/>
      <c r="R756"/>
      <c r="S756"/>
      <c r="T756"/>
      <c r="U756"/>
      <c r="V756"/>
      <c r="W756"/>
      <c r="X756"/>
      <c r="Y756"/>
      <c r="Z756"/>
      <c r="AA756"/>
    </row>
    <row r="757" spans="2:27" s="25" customFormat="1" ht="15.75" customHeight="1" x14ac:dyDescent="0.2">
      <c r="B757" s="89"/>
      <c r="C757"/>
      <c r="D757"/>
      <c r="E757" s="69"/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  <c r="T757"/>
      <c r="U757"/>
      <c r="V757"/>
      <c r="W757"/>
      <c r="X757"/>
      <c r="Y757"/>
      <c r="Z757"/>
      <c r="AA757"/>
    </row>
    <row r="758" spans="2:27" s="25" customFormat="1" ht="15.75" customHeight="1" x14ac:dyDescent="0.2">
      <c r="B758" s="89"/>
      <c r="C758"/>
      <c r="D758"/>
      <c r="E758" s="69"/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  <c r="T758"/>
      <c r="U758"/>
      <c r="V758"/>
      <c r="W758"/>
      <c r="X758"/>
      <c r="Y758"/>
      <c r="Z758"/>
      <c r="AA758"/>
    </row>
    <row r="759" spans="2:27" s="25" customFormat="1" ht="15.75" customHeight="1" x14ac:dyDescent="0.2">
      <c r="B759" s="89"/>
      <c r="C759"/>
      <c r="D759"/>
      <c r="E759" s="69"/>
      <c r="F759"/>
      <c r="G759"/>
      <c r="H759"/>
      <c r="I759"/>
      <c r="J759"/>
      <c r="K759"/>
      <c r="L759"/>
      <c r="M759"/>
      <c r="N759"/>
      <c r="O759"/>
      <c r="P759"/>
      <c r="Q759"/>
      <c r="R759"/>
      <c r="S759"/>
      <c r="T759"/>
      <c r="U759"/>
      <c r="V759"/>
      <c r="W759"/>
      <c r="X759"/>
      <c r="Y759"/>
      <c r="Z759"/>
      <c r="AA759"/>
    </row>
    <row r="760" spans="2:27" s="25" customFormat="1" ht="15.75" customHeight="1" x14ac:dyDescent="0.2">
      <c r="B760" s="89"/>
      <c r="C760"/>
      <c r="D760"/>
      <c r="E760" s="69"/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  <c r="T760"/>
      <c r="U760"/>
      <c r="V760"/>
      <c r="W760"/>
      <c r="X760"/>
      <c r="Y760"/>
      <c r="Z760"/>
      <c r="AA760"/>
    </row>
    <row r="761" spans="2:27" s="25" customFormat="1" ht="15.75" customHeight="1" x14ac:dyDescent="0.2">
      <c r="B761" s="89"/>
      <c r="C761"/>
      <c r="D761"/>
      <c r="E761" s="69"/>
      <c r="F761"/>
      <c r="G761"/>
      <c r="H761"/>
      <c r="I761"/>
      <c r="J761"/>
      <c r="K761"/>
      <c r="L761"/>
      <c r="M761"/>
      <c r="N761"/>
      <c r="O761"/>
      <c r="P761"/>
      <c r="Q761"/>
      <c r="R761"/>
      <c r="S761"/>
      <c r="T761"/>
      <c r="U761"/>
      <c r="V761"/>
      <c r="W761"/>
      <c r="X761"/>
      <c r="Y761"/>
      <c r="Z761"/>
      <c r="AA761"/>
    </row>
    <row r="762" spans="2:27" s="25" customFormat="1" ht="15.75" customHeight="1" x14ac:dyDescent="0.2">
      <c r="B762" s="89"/>
      <c r="C762"/>
      <c r="D762"/>
      <c r="E762" s="69"/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  <c r="U762"/>
      <c r="V762"/>
      <c r="W762"/>
      <c r="X762"/>
      <c r="Y762"/>
      <c r="Z762"/>
      <c r="AA762"/>
    </row>
    <row r="763" spans="2:27" s="25" customFormat="1" ht="15.75" customHeight="1" x14ac:dyDescent="0.2">
      <c r="B763" s="89"/>
      <c r="C763"/>
      <c r="D763"/>
      <c r="E763" s="69"/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  <c r="V763"/>
      <c r="W763"/>
      <c r="X763"/>
      <c r="Y763"/>
      <c r="Z763"/>
      <c r="AA763"/>
    </row>
    <row r="764" spans="2:27" s="25" customFormat="1" ht="15.75" customHeight="1" x14ac:dyDescent="0.2">
      <c r="B764" s="89"/>
      <c r="C764"/>
      <c r="D764"/>
      <c r="E764" s="69"/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  <c r="V764"/>
      <c r="W764"/>
      <c r="X764"/>
      <c r="Y764"/>
      <c r="Z764"/>
      <c r="AA764"/>
    </row>
    <row r="765" spans="2:27" s="25" customFormat="1" ht="15.75" customHeight="1" x14ac:dyDescent="0.2">
      <c r="B765" s="89"/>
      <c r="C765"/>
      <c r="D765"/>
      <c r="E765" s="69"/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  <c r="U765"/>
      <c r="V765"/>
      <c r="W765"/>
      <c r="X765"/>
      <c r="Y765"/>
      <c r="Z765"/>
      <c r="AA765"/>
    </row>
    <row r="766" spans="2:27" s="25" customFormat="1" ht="15.75" customHeight="1" x14ac:dyDescent="0.2">
      <c r="B766" s="89"/>
      <c r="C766"/>
      <c r="D766"/>
      <c r="E766" s="69"/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  <c r="T766"/>
      <c r="U766"/>
      <c r="V766"/>
      <c r="W766"/>
      <c r="X766"/>
      <c r="Y766"/>
      <c r="Z766"/>
      <c r="AA766"/>
    </row>
    <row r="767" spans="2:27" s="25" customFormat="1" ht="15.75" customHeight="1" x14ac:dyDescent="0.2">
      <c r="B767" s="89"/>
      <c r="C767"/>
      <c r="D767"/>
      <c r="E767" s="69"/>
      <c r="F767"/>
      <c r="G767"/>
      <c r="H767"/>
      <c r="I767"/>
      <c r="J767"/>
      <c r="K767"/>
      <c r="L767"/>
      <c r="M767"/>
      <c r="N767"/>
      <c r="O767"/>
      <c r="P767"/>
      <c r="Q767"/>
      <c r="R767"/>
      <c r="S767"/>
      <c r="T767"/>
      <c r="U767"/>
      <c r="V767"/>
      <c r="W767"/>
      <c r="X767"/>
      <c r="Y767"/>
      <c r="Z767"/>
      <c r="AA767"/>
    </row>
    <row r="768" spans="2:27" s="25" customFormat="1" ht="15.75" customHeight="1" x14ac:dyDescent="0.2">
      <c r="B768" s="89"/>
      <c r="C768"/>
      <c r="D768"/>
      <c r="E768" s="69"/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  <c r="U768"/>
      <c r="V768"/>
      <c r="W768"/>
      <c r="X768"/>
      <c r="Y768"/>
      <c r="Z768"/>
      <c r="AA768"/>
    </row>
    <row r="769" spans="2:27" s="25" customFormat="1" ht="15.75" customHeight="1" x14ac:dyDescent="0.2">
      <c r="B769" s="89"/>
      <c r="C769"/>
      <c r="D769"/>
      <c r="E769" s="69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  <c r="V769"/>
      <c r="W769"/>
      <c r="X769"/>
      <c r="Y769"/>
      <c r="Z769"/>
      <c r="AA769"/>
    </row>
    <row r="770" spans="2:27" s="25" customFormat="1" ht="15.75" customHeight="1" x14ac:dyDescent="0.2">
      <c r="B770" s="89"/>
      <c r="C770"/>
      <c r="D770"/>
      <c r="E770" s="69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  <c r="V770"/>
      <c r="W770"/>
      <c r="X770"/>
      <c r="Y770"/>
      <c r="Z770"/>
      <c r="AA770"/>
    </row>
    <row r="771" spans="2:27" s="25" customFormat="1" ht="15.75" customHeight="1" x14ac:dyDescent="0.2">
      <c r="B771" s="89"/>
      <c r="C771"/>
      <c r="D771"/>
      <c r="E771" s="69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  <c r="V771"/>
      <c r="W771"/>
      <c r="X771"/>
      <c r="Y771"/>
      <c r="Z771"/>
      <c r="AA771"/>
    </row>
    <row r="772" spans="2:27" s="25" customFormat="1" ht="15.75" customHeight="1" x14ac:dyDescent="0.2">
      <c r="B772" s="89"/>
      <c r="C772"/>
      <c r="D772"/>
      <c r="E772" s="69"/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  <c r="V772"/>
      <c r="W772"/>
      <c r="X772"/>
      <c r="Y772"/>
      <c r="Z772"/>
      <c r="AA772"/>
    </row>
    <row r="773" spans="2:27" s="25" customFormat="1" ht="15.75" customHeight="1" x14ac:dyDescent="0.2">
      <c r="B773" s="89"/>
      <c r="C773"/>
      <c r="D773"/>
      <c r="E773" s="69"/>
      <c r="F773"/>
      <c r="G773"/>
      <c r="H773"/>
      <c r="I773"/>
      <c r="J773"/>
      <c r="K773"/>
      <c r="L773"/>
      <c r="M773"/>
      <c r="N773"/>
      <c r="O773"/>
      <c r="P773"/>
      <c r="Q773"/>
      <c r="R773"/>
      <c r="S773"/>
      <c r="T773"/>
      <c r="U773"/>
      <c r="V773"/>
      <c r="W773"/>
      <c r="X773"/>
      <c r="Y773"/>
      <c r="Z773"/>
      <c r="AA773"/>
    </row>
    <row r="774" spans="2:27" s="25" customFormat="1" ht="15.75" customHeight="1" x14ac:dyDescent="0.2">
      <c r="B774" s="89"/>
      <c r="C774"/>
      <c r="D774"/>
      <c r="E774" s="69"/>
      <c r="F774"/>
      <c r="G774"/>
      <c r="H774"/>
      <c r="I774"/>
      <c r="J774"/>
      <c r="K774"/>
      <c r="L774"/>
      <c r="M774"/>
      <c r="N774"/>
      <c r="O774"/>
      <c r="P774"/>
      <c r="Q774"/>
      <c r="R774"/>
      <c r="S774"/>
      <c r="T774"/>
      <c r="U774"/>
      <c r="V774"/>
      <c r="W774"/>
      <c r="X774"/>
      <c r="Y774"/>
      <c r="Z774"/>
      <c r="AA774"/>
    </row>
    <row r="775" spans="2:27" s="25" customFormat="1" ht="15.75" customHeight="1" x14ac:dyDescent="0.2">
      <c r="B775" s="89"/>
      <c r="C775"/>
      <c r="D775"/>
      <c r="E775" s="69"/>
      <c r="F775"/>
      <c r="G775"/>
      <c r="H775"/>
      <c r="I775"/>
      <c r="J775"/>
      <c r="K775"/>
      <c r="L775"/>
      <c r="M775"/>
      <c r="N775"/>
      <c r="O775"/>
      <c r="P775"/>
      <c r="Q775"/>
      <c r="R775"/>
      <c r="S775"/>
      <c r="T775"/>
      <c r="U775"/>
      <c r="V775"/>
      <c r="W775"/>
      <c r="X775"/>
      <c r="Y775"/>
      <c r="Z775"/>
      <c r="AA775"/>
    </row>
    <row r="776" spans="2:27" s="25" customFormat="1" ht="15.75" customHeight="1" x14ac:dyDescent="0.2">
      <c r="B776" s="89"/>
      <c r="C776"/>
      <c r="D776"/>
      <c r="E776" s="69"/>
      <c r="F776"/>
      <c r="G776"/>
      <c r="H776"/>
      <c r="I776"/>
      <c r="J776"/>
      <c r="K776"/>
      <c r="L776"/>
      <c r="M776"/>
      <c r="N776"/>
      <c r="O776"/>
      <c r="P776"/>
      <c r="Q776"/>
      <c r="R776"/>
      <c r="S776"/>
      <c r="T776"/>
      <c r="U776"/>
      <c r="V776"/>
      <c r="W776"/>
      <c r="X776"/>
      <c r="Y776"/>
      <c r="Z776"/>
      <c r="AA776"/>
    </row>
    <row r="777" spans="2:27" s="25" customFormat="1" ht="15.75" customHeight="1" x14ac:dyDescent="0.2">
      <c r="B777" s="89"/>
      <c r="C777"/>
      <c r="D777"/>
      <c r="E777" s="69"/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  <c r="V777"/>
      <c r="W777"/>
      <c r="X777"/>
      <c r="Y777"/>
      <c r="Z777"/>
      <c r="AA777"/>
    </row>
    <row r="778" spans="2:27" s="25" customFormat="1" ht="15.75" customHeight="1" x14ac:dyDescent="0.2">
      <c r="B778" s="89"/>
      <c r="C778"/>
      <c r="D778"/>
      <c r="E778" s="69"/>
      <c r="F778"/>
      <c r="G778"/>
      <c r="H778"/>
      <c r="I778"/>
      <c r="J778"/>
      <c r="K778"/>
      <c r="L778"/>
      <c r="M778"/>
      <c r="N778"/>
      <c r="O778"/>
      <c r="P778"/>
      <c r="Q778"/>
      <c r="R778"/>
      <c r="S778"/>
      <c r="T778"/>
      <c r="U778"/>
      <c r="V778"/>
      <c r="W778"/>
      <c r="X778"/>
      <c r="Y778"/>
      <c r="Z778"/>
      <c r="AA778"/>
    </row>
    <row r="779" spans="2:27" s="25" customFormat="1" ht="15.75" customHeight="1" x14ac:dyDescent="0.2">
      <c r="B779" s="89"/>
      <c r="C779"/>
      <c r="D779"/>
      <c r="E779" s="69"/>
      <c r="F779"/>
      <c r="G779"/>
      <c r="H779"/>
      <c r="I779"/>
      <c r="J779"/>
      <c r="K779"/>
      <c r="L779"/>
      <c r="M779"/>
      <c r="N779"/>
      <c r="O779"/>
      <c r="P779"/>
      <c r="Q779"/>
      <c r="R779"/>
      <c r="S779"/>
      <c r="T779"/>
      <c r="U779"/>
      <c r="V779"/>
      <c r="W779"/>
      <c r="X779"/>
      <c r="Y779"/>
      <c r="Z779"/>
      <c r="AA779"/>
    </row>
    <row r="780" spans="2:27" s="25" customFormat="1" ht="15.75" customHeight="1" x14ac:dyDescent="0.2">
      <c r="B780" s="89"/>
      <c r="C780"/>
      <c r="D780"/>
      <c r="E780" s="69"/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  <c r="T780"/>
      <c r="U780"/>
      <c r="V780"/>
      <c r="W780"/>
      <c r="X780"/>
      <c r="Y780"/>
      <c r="Z780"/>
      <c r="AA780"/>
    </row>
    <row r="781" spans="2:27" s="25" customFormat="1" ht="15.75" customHeight="1" x14ac:dyDescent="0.2">
      <c r="B781" s="89"/>
      <c r="C781"/>
      <c r="D781"/>
      <c r="E781" s="69"/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  <c r="V781"/>
      <c r="W781"/>
      <c r="X781"/>
      <c r="Y781"/>
      <c r="Z781"/>
      <c r="AA781"/>
    </row>
    <row r="782" spans="2:27" s="25" customFormat="1" ht="15.75" customHeight="1" x14ac:dyDescent="0.2">
      <c r="B782" s="89"/>
      <c r="C782"/>
      <c r="D782"/>
      <c r="E782" s="69"/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  <c r="V782"/>
      <c r="W782"/>
      <c r="X782"/>
      <c r="Y782"/>
      <c r="Z782"/>
      <c r="AA782"/>
    </row>
    <row r="783" spans="2:27" s="25" customFormat="1" ht="15.75" customHeight="1" x14ac:dyDescent="0.2">
      <c r="B783" s="89"/>
      <c r="C783"/>
      <c r="D783"/>
      <c r="E783" s="69"/>
      <c r="F783"/>
      <c r="G783"/>
      <c r="H783"/>
      <c r="I783"/>
      <c r="J783"/>
      <c r="K783"/>
      <c r="L783"/>
      <c r="M783"/>
      <c r="N783"/>
      <c r="O783"/>
      <c r="P783"/>
      <c r="Q783"/>
      <c r="R783"/>
      <c r="S783"/>
      <c r="T783"/>
      <c r="U783"/>
      <c r="V783"/>
      <c r="W783"/>
      <c r="X783"/>
      <c r="Y783"/>
      <c r="Z783"/>
      <c r="AA783"/>
    </row>
    <row r="784" spans="2:27" s="25" customFormat="1" ht="15.75" customHeight="1" x14ac:dyDescent="0.2">
      <c r="B784" s="89"/>
      <c r="C784"/>
      <c r="D784"/>
      <c r="E784" s="69"/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  <c r="T784"/>
      <c r="U784"/>
      <c r="V784"/>
      <c r="W784"/>
      <c r="X784"/>
      <c r="Y784"/>
      <c r="Z784"/>
      <c r="AA784"/>
    </row>
    <row r="785" spans="2:27" s="25" customFormat="1" ht="15.75" customHeight="1" x14ac:dyDescent="0.2">
      <c r="B785" s="89"/>
      <c r="C785"/>
      <c r="D785"/>
      <c r="E785" s="69"/>
      <c r="F785"/>
      <c r="G785"/>
      <c r="H785"/>
      <c r="I785"/>
      <c r="J785"/>
      <c r="K785"/>
      <c r="L785"/>
      <c r="M785"/>
      <c r="N785"/>
      <c r="O785"/>
      <c r="P785"/>
      <c r="Q785"/>
      <c r="R785"/>
      <c r="S785"/>
      <c r="T785"/>
      <c r="U785"/>
      <c r="V785"/>
      <c r="W785"/>
      <c r="X785"/>
      <c r="Y785"/>
      <c r="Z785"/>
      <c r="AA785"/>
    </row>
    <row r="786" spans="2:27" s="25" customFormat="1" ht="15.75" customHeight="1" x14ac:dyDescent="0.2">
      <c r="B786" s="89"/>
      <c r="C786"/>
      <c r="D786"/>
      <c r="E786" s="69"/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  <c r="U786"/>
      <c r="V786"/>
      <c r="W786"/>
      <c r="X786"/>
      <c r="Y786"/>
      <c r="Z786"/>
      <c r="AA786"/>
    </row>
    <row r="787" spans="2:27" s="25" customFormat="1" ht="15.75" customHeight="1" x14ac:dyDescent="0.2">
      <c r="B787" s="89"/>
      <c r="C787"/>
      <c r="D787"/>
      <c r="E787" s="69"/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  <c r="V787"/>
      <c r="W787"/>
      <c r="X787"/>
      <c r="Y787"/>
      <c r="Z787"/>
      <c r="AA787"/>
    </row>
    <row r="788" spans="2:27" s="25" customFormat="1" ht="15.75" customHeight="1" x14ac:dyDescent="0.2">
      <c r="B788" s="89"/>
      <c r="C788"/>
      <c r="D788"/>
      <c r="E788" s="69"/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  <c r="V788"/>
      <c r="W788"/>
      <c r="X788"/>
      <c r="Y788"/>
      <c r="Z788"/>
      <c r="AA788"/>
    </row>
    <row r="789" spans="2:27" s="25" customFormat="1" ht="15.75" customHeight="1" x14ac:dyDescent="0.2">
      <c r="B789" s="89"/>
      <c r="C789"/>
      <c r="D789"/>
      <c r="E789" s="69"/>
      <c r="F789"/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  <c r="V789"/>
      <c r="W789"/>
      <c r="X789"/>
      <c r="Y789"/>
      <c r="Z789"/>
      <c r="AA789"/>
    </row>
    <row r="790" spans="2:27" s="25" customFormat="1" ht="15.75" customHeight="1" x14ac:dyDescent="0.2">
      <c r="B790" s="89"/>
      <c r="C790"/>
      <c r="D790"/>
      <c r="E790" s="69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  <c r="V790"/>
      <c r="W790"/>
      <c r="X790"/>
      <c r="Y790"/>
      <c r="Z790"/>
      <c r="AA790"/>
    </row>
    <row r="791" spans="2:27" s="25" customFormat="1" ht="15.75" customHeight="1" x14ac:dyDescent="0.2">
      <c r="B791" s="89"/>
      <c r="C791"/>
      <c r="D791"/>
      <c r="E791" s="69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  <c r="V791"/>
      <c r="W791"/>
      <c r="X791"/>
      <c r="Y791"/>
      <c r="Z791"/>
      <c r="AA791"/>
    </row>
    <row r="792" spans="2:27" s="25" customFormat="1" ht="15.75" customHeight="1" x14ac:dyDescent="0.2">
      <c r="B792" s="89"/>
      <c r="C792"/>
      <c r="D792"/>
      <c r="E792" s="69"/>
      <c r="F792"/>
      <c r="G792"/>
      <c r="H792"/>
      <c r="I792"/>
      <c r="J792"/>
      <c r="K792"/>
      <c r="L792"/>
      <c r="M792"/>
      <c r="N792"/>
      <c r="O792"/>
      <c r="P792"/>
      <c r="Q792"/>
      <c r="R792"/>
      <c r="S792"/>
      <c r="T792"/>
      <c r="U792"/>
      <c r="V792"/>
      <c r="W792"/>
      <c r="X792"/>
      <c r="Y792"/>
      <c r="Z792"/>
      <c r="AA792"/>
    </row>
    <row r="793" spans="2:27" s="25" customFormat="1" ht="15.75" customHeight="1" x14ac:dyDescent="0.2">
      <c r="B793" s="89"/>
      <c r="C793"/>
      <c r="D793"/>
      <c r="E793" s="69"/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  <c r="V793"/>
      <c r="W793"/>
      <c r="X793"/>
      <c r="Y793"/>
      <c r="Z793"/>
      <c r="AA793"/>
    </row>
    <row r="794" spans="2:27" s="25" customFormat="1" ht="15.75" customHeight="1" x14ac:dyDescent="0.2">
      <c r="B794" s="89"/>
      <c r="C794"/>
      <c r="D794"/>
      <c r="E794" s="69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  <c r="V794"/>
      <c r="W794"/>
      <c r="X794"/>
      <c r="Y794"/>
      <c r="Z794"/>
      <c r="AA794"/>
    </row>
    <row r="795" spans="2:27" s="25" customFormat="1" ht="15.75" customHeight="1" x14ac:dyDescent="0.2">
      <c r="B795" s="89"/>
      <c r="C795"/>
      <c r="D795"/>
      <c r="E795" s="69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  <c r="V795"/>
      <c r="W795"/>
      <c r="X795"/>
      <c r="Y795"/>
      <c r="Z795"/>
      <c r="AA795"/>
    </row>
    <row r="796" spans="2:27" s="25" customFormat="1" ht="15.75" customHeight="1" x14ac:dyDescent="0.2">
      <c r="B796" s="89"/>
      <c r="C796"/>
      <c r="D796"/>
      <c r="E796" s="69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  <c r="V796"/>
      <c r="W796"/>
      <c r="X796"/>
      <c r="Y796"/>
      <c r="Z796"/>
      <c r="AA796"/>
    </row>
    <row r="797" spans="2:27" s="25" customFormat="1" ht="15.75" customHeight="1" x14ac:dyDescent="0.2">
      <c r="B797" s="89"/>
      <c r="C797"/>
      <c r="D797"/>
      <c r="E797" s="69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  <c r="V797"/>
      <c r="W797"/>
      <c r="X797"/>
      <c r="Y797"/>
      <c r="Z797"/>
      <c r="AA797"/>
    </row>
    <row r="798" spans="2:27" s="25" customFormat="1" ht="15.75" customHeight="1" x14ac:dyDescent="0.2">
      <c r="B798" s="89"/>
      <c r="C798"/>
      <c r="D798"/>
      <c r="E798" s="69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  <c r="V798"/>
      <c r="W798"/>
      <c r="X798"/>
      <c r="Y798"/>
      <c r="Z798"/>
      <c r="AA798"/>
    </row>
    <row r="799" spans="2:27" s="25" customFormat="1" ht="15.75" customHeight="1" x14ac:dyDescent="0.2">
      <c r="B799" s="89"/>
      <c r="C799"/>
      <c r="D799"/>
      <c r="E799" s="6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  <c r="V799"/>
      <c r="W799"/>
      <c r="X799"/>
      <c r="Y799"/>
      <c r="Z799"/>
      <c r="AA799"/>
    </row>
    <row r="800" spans="2:27" s="25" customFormat="1" ht="15.75" customHeight="1" x14ac:dyDescent="0.2">
      <c r="B800" s="89"/>
      <c r="C800"/>
      <c r="D800"/>
      <c r="E800" s="69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  <c r="V800"/>
      <c r="W800"/>
      <c r="X800"/>
      <c r="Y800"/>
      <c r="Z800"/>
      <c r="AA800"/>
    </row>
    <row r="801" spans="2:27" s="25" customFormat="1" ht="15.75" customHeight="1" x14ac:dyDescent="0.2">
      <c r="B801" s="89"/>
      <c r="C801"/>
      <c r="D801"/>
      <c r="E801" s="69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  <c r="V801"/>
      <c r="W801"/>
      <c r="X801"/>
      <c r="Y801"/>
      <c r="Z801"/>
      <c r="AA801"/>
    </row>
    <row r="802" spans="2:27" s="25" customFormat="1" ht="15.75" customHeight="1" x14ac:dyDescent="0.2">
      <c r="B802" s="89"/>
      <c r="C802"/>
      <c r="D802"/>
      <c r="E802" s="69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  <c r="V802"/>
      <c r="W802"/>
      <c r="X802"/>
      <c r="Y802"/>
      <c r="Z802"/>
      <c r="AA802"/>
    </row>
    <row r="803" spans="2:27" s="25" customFormat="1" ht="15.75" customHeight="1" x14ac:dyDescent="0.2">
      <c r="B803" s="89"/>
      <c r="C803"/>
      <c r="D803"/>
      <c r="E803" s="69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  <c r="V803"/>
      <c r="W803"/>
      <c r="X803"/>
      <c r="Y803"/>
      <c r="Z803"/>
      <c r="AA803"/>
    </row>
    <row r="804" spans="2:27" s="25" customFormat="1" ht="15.75" customHeight="1" x14ac:dyDescent="0.2">
      <c r="B804" s="89"/>
      <c r="C804"/>
      <c r="D804"/>
      <c r="E804" s="69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  <c r="V804"/>
      <c r="W804"/>
      <c r="X804"/>
      <c r="Y804"/>
      <c r="Z804"/>
      <c r="AA804"/>
    </row>
    <row r="805" spans="2:27" s="25" customFormat="1" ht="15.75" customHeight="1" x14ac:dyDescent="0.2">
      <c r="B805" s="89"/>
      <c r="C805"/>
      <c r="D805"/>
      <c r="E805" s="69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  <c r="V805"/>
      <c r="W805"/>
      <c r="X805"/>
      <c r="Y805"/>
      <c r="Z805"/>
      <c r="AA805"/>
    </row>
    <row r="806" spans="2:27" s="25" customFormat="1" ht="15.75" customHeight="1" x14ac:dyDescent="0.2">
      <c r="B806" s="89"/>
      <c r="C806"/>
      <c r="D806"/>
      <c r="E806" s="69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  <c r="V806"/>
      <c r="W806"/>
      <c r="X806"/>
      <c r="Y806"/>
      <c r="Z806"/>
      <c r="AA806"/>
    </row>
    <row r="807" spans="2:27" s="25" customFormat="1" ht="15.75" customHeight="1" x14ac:dyDescent="0.2">
      <c r="B807" s="89"/>
      <c r="C807"/>
      <c r="D807"/>
      <c r="E807" s="69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  <c r="V807"/>
      <c r="W807"/>
      <c r="X807"/>
      <c r="Y807"/>
      <c r="Z807"/>
      <c r="AA807"/>
    </row>
    <row r="808" spans="2:27" s="25" customFormat="1" ht="15.75" customHeight="1" x14ac:dyDescent="0.2">
      <c r="B808" s="89"/>
      <c r="C808"/>
      <c r="D808"/>
      <c r="E808" s="69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  <c r="V808"/>
      <c r="W808"/>
      <c r="X808"/>
      <c r="Y808"/>
      <c r="Z808"/>
      <c r="AA808"/>
    </row>
    <row r="809" spans="2:27" s="25" customFormat="1" ht="15.75" customHeight="1" x14ac:dyDescent="0.2">
      <c r="B809" s="89"/>
      <c r="C809"/>
      <c r="D809"/>
      <c r="E809" s="6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  <c r="V809"/>
      <c r="W809"/>
      <c r="X809"/>
      <c r="Y809"/>
      <c r="Z809"/>
      <c r="AA809"/>
    </row>
    <row r="810" spans="2:27" s="25" customFormat="1" ht="15.75" customHeight="1" x14ac:dyDescent="0.2">
      <c r="B810" s="89"/>
      <c r="C810"/>
      <c r="D810"/>
      <c r="E810" s="69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  <c r="V810"/>
      <c r="W810"/>
      <c r="X810"/>
      <c r="Y810"/>
      <c r="Z810"/>
      <c r="AA810"/>
    </row>
    <row r="811" spans="2:27" s="25" customFormat="1" ht="15.75" customHeight="1" x14ac:dyDescent="0.2">
      <c r="B811" s="89"/>
      <c r="C811"/>
      <c r="D811"/>
      <c r="E811" s="69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  <c r="V811"/>
      <c r="W811"/>
      <c r="X811"/>
      <c r="Y811"/>
      <c r="Z811"/>
      <c r="AA811"/>
    </row>
    <row r="812" spans="2:27" s="25" customFormat="1" ht="15.75" customHeight="1" x14ac:dyDescent="0.2">
      <c r="B812" s="89"/>
      <c r="C812"/>
      <c r="D812"/>
      <c r="E812" s="69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  <c r="V812"/>
      <c r="W812"/>
      <c r="X812"/>
      <c r="Y812"/>
      <c r="Z812"/>
      <c r="AA812"/>
    </row>
    <row r="813" spans="2:27" s="25" customFormat="1" ht="15.75" customHeight="1" x14ac:dyDescent="0.2">
      <c r="B813" s="89"/>
      <c r="C813"/>
      <c r="D813"/>
      <c r="E813" s="69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  <c r="V813"/>
      <c r="W813"/>
      <c r="X813"/>
      <c r="Y813"/>
      <c r="Z813"/>
      <c r="AA813"/>
    </row>
    <row r="814" spans="2:27" s="25" customFormat="1" ht="15.75" customHeight="1" x14ac:dyDescent="0.2">
      <c r="B814" s="89"/>
      <c r="C814"/>
      <c r="D814"/>
      <c r="E814" s="69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  <c r="V814"/>
      <c r="W814"/>
      <c r="X814"/>
      <c r="Y814"/>
      <c r="Z814"/>
      <c r="AA814"/>
    </row>
    <row r="815" spans="2:27" s="25" customFormat="1" ht="15.75" customHeight="1" x14ac:dyDescent="0.2">
      <c r="B815" s="89"/>
      <c r="C815"/>
      <c r="D815"/>
      <c r="E815" s="69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  <c r="V815"/>
      <c r="W815"/>
      <c r="X815"/>
      <c r="Y815"/>
      <c r="Z815"/>
      <c r="AA815"/>
    </row>
    <row r="816" spans="2:27" s="25" customFormat="1" ht="15.75" customHeight="1" x14ac:dyDescent="0.2">
      <c r="B816" s="89"/>
      <c r="C816"/>
      <c r="D816"/>
      <c r="E816" s="69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  <c r="V816"/>
      <c r="W816"/>
      <c r="X816"/>
      <c r="Y816"/>
      <c r="Z816"/>
      <c r="AA816"/>
    </row>
    <row r="817" spans="2:27" s="25" customFormat="1" ht="15.75" customHeight="1" x14ac:dyDescent="0.2">
      <c r="B817" s="89"/>
      <c r="C817"/>
      <c r="D817"/>
      <c r="E817" s="69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  <c r="V817"/>
      <c r="W817"/>
      <c r="X817"/>
      <c r="Y817"/>
      <c r="Z817"/>
      <c r="AA817"/>
    </row>
    <row r="818" spans="2:27" s="25" customFormat="1" ht="15.75" customHeight="1" x14ac:dyDescent="0.2">
      <c r="B818" s="89"/>
      <c r="C818"/>
      <c r="D818"/>
      <c r="E818" s="69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  <c r="U818"/>
      <c r="V818"/>
      <c r="W818"/>
      <c r="X818"/>
      <c r="Y818"/>
      <c r="Z818"/>
      <c r="AA818"/>
    </row>
    <row r="819" spans="2:27" s="25" customFormat="1" ht="15.75" customHeight="1" x14ac:dyDescent="0.2">
      <c r="B819" s="89"/>
      <c r="C819"/>
      <c r="D819"/>
      <c r="E819" s="6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/>
      <c r="U819"/>
      <c r="V819"/>
      <c r="W819"/>
      <c r="X819"/>
      <c r="Y819"/>
      <c r="Z819"/>
      <c r="AA819"/>
    </row>
    <row r="820" spans="2:27" s="25" customFormat="1" ht="15.75" customHeight="1" x14ac:dyDescent="0.2">
      <c r="B820" s="89"/>
      <c r="C820"/>
      <c r="D820"/>
      <c r="E820" s="69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  <c r="U820"/>
      <c r="V820"/>
      <c r="W820"/>
      <c r="X820"/>
      <c r="Y820"/>
      <c r="Z820"/>
      <c r="AA820"/>
    </row>
    <row r="821" spans="2:27" s="25" customFormat="1" ht="15.75" customHeight="1" x14ac:dyDescent="0.2">
      <c r="B821" s="89"/>
      <c r="C821"/>
      <c r="D821"/>
      <c r="E821" s="69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  <c r="V821"/>
      <c r="W821"/>
      <c r="X821"/>
      <c r="Y821"/>
      <c r="Z821"/>
      <c r="AA821"/>
    </row>
    <row r="822" spans="2:27" s="25" customFormat="1" ht="15.75" customHeight="1" x14ac:dyDescent="0.2">
      <c r="B822" s="89"/>
      <c r="C822"/>
      <c r="D822"/>
      <c r="E822" s="69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  <c r="V822"/>
      <c r="W822"/>
      <c r="X822"/>
      <c r="Y822"/>
      <c r="Z822"/>
      <c r="AA822"/>
    </row>
    <row r="823" spans="2:27" s="25" customFormat="1" ht="15.75" customHeight="1" x14ac:dyDescent="0.2">
      <c r="B823" s="89"/>
      <c r="C823"/>
      <c r="D823"/>
      <c r="E823" s="69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  <c r="V823"/>
      <c r="W823"/>
      <c r="X823"/>
      <c r="Y823"/>
      <c r="Z823"/>
      <c r="AA823"/>
    </row>
    <row r="824" spans="2:27" s="25" customFormat="1" ht="15.75" customHeight="1" x14ac:dyDescent="0.2">
      <c r="B824" s="89"/>
      <c r="C824"/>
      <c r="D824"/>
      <c r="E824" s="69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  <c r="U824"/>
      <c r="V824"/>
      <c r="W824"/>
      <c r="X824"/>
      <c r="Y824"/>
      <c r="Z824"/>
      <c r="AA824"/>
    </row>
    <row r="825" spans="2:27" s="25" customFormat="1" ht="15.75" customHeight="1" x14ac:dyDescent="0.2">
      <c r="B825" s="89"/>
      <c r="C825"/>
      <c r="D825"/>
      <c r="E825" s="69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  <c r="V825"/>
      <c r="W825"/>
      <c r="X825"/>
      <c r="Y825"/>
      <c r="Z825"/>
      <c r="AA825"/>
    </row>
    <row r="826" spans="2:27" s="25" customFormat="1" ht="15.75" customHeight="1" x14ac:dyDescent="0.2">
      <c r="B826" s="89"/>
      <c r="C826"/>
      <c r="D826"/>
      <c r="E826" s="69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  <c r="U826"/>
      <c r="V826"/>
      <c r="W826"/>
      <c r="X826"/>
      <c r="Y826"/>
      <c r="Z826"/>
      <c r="AA826"/>
    </row>
    <row r="827" spans="2:27" s="25" customFormat="1" ht="15.75" customHeight="1" x14ac:dyDescent="0.2">
      <c r="B827" s="89"/>
      <c r="C827"/>
      <c r="D827"/>
      <c r="E827" s="69"/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  <c r="U827"/>
      <c r="V827"/>
      <c r="W827"/>
      <c r="X827"/>
      <c r="Y827"/>
      <c r="Z827"/>
      <c r="AA827"/>
    </row>
    <row r="828" spans="2:27" s="25" customFormat="1" ht="15.75" customHeight="1" x14ac:dyDescent="0.2">
      <c r="B828" s="89"/>
      <c r="C828"/>
      <c r="D828"/>
      <c r="E828" s="69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  <c r="V828"/>
      <c r="W828"/>
      <c r="X828"/>
      <c r="Y828"/>
      <c r="Z828"/>
      <c r="AA828"/>
    </row>
    <row r="829" spans="2:27" s="25" customFormat="1" ht="15.75" customHeight="1" x14ac:dyDescent="0.2">
      <c r="B829" s="89"/>
      <c r="C829"/>
      <c r="D829"/>
      <c r="E829" s="6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  <c r="V829"/>
      <c r="W829"/>
      <c r="X829"/>
      <c r="Y829"/>
      <c r="Z829"/>
      <c r="AA829"/>
    </row>
    <row r="830" spans="2:27" s="25" customFormat="1" ht="15.75" customHeight="1" x14ac:dyDescent="0.2">
      <c r="B830" s="89"/>
      <c r="C830"/>
      <c r="D830"/>
      <c r="E830" s="69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  <c r="V830"/>
      <c r="W830"/>
      <c r="X830"/>
      <c r="Y830"/>
      <c r="Z830"/>
      <c r="AA830"/>
    </row>
    <row r="831" spans="2:27" s="25" customFormat="1" ht="15.75" customHeight="1" x14ac:dyDescent="0.2">
      <c r="B831" s="89"/>
      <c r="C831"/>
      <c r="D831"/>
      <c r="E831" s="69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  <c r="V831"/>
      <c r="W831"/>
      <c r="X831"/>
      <c r="Y831"/>
      <c r="Z831"/>
      <c r="AA831"/>
    </row>
    <row r="832" spans="2:27" s="25" customFormat="1" ht="15.75" customHeight="1" x14ac:dyDescent="0.2">
      <c r="B832" s="89"/>
      <c r="C832"/>
      <c r="D832"/>
      <c r="E832" s="69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  <c r="V832"/>
      <c r="W832"/>
      <c r="X832"/>
      <c r="Y832"/>
      <c r="Z832"/>
      <c r="AA832"/>
    </row>
    <row r="833" spans="2:27" s="25" customFormat="1" ht="15.75" customHeight="1" x14ac:dyDescent="0.2">
      <c r="B833" s="89"/>
      <c r="C833"/>
      <c r="D833"/>
      <c r="E833" s="69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  <c r="V833"/>
      <c r="W833"/>
      <c r="X833"/>
      <c r="Y833"/>
      <c r="Z833"/>
      <c r="AA833"/>
    </row>
    <row r="834" spans="2:27" s="25" customFormat="1" ht="15.75" customHeight="1" x14ac:dyDescent="0.2">
      <c r="B834" s="89"/>
      <c r="C834"/>
      <c r="D834"/>
      <c r="E834" s="69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  <c r="V834"/>
      <c r="W834"/>
      <c r="X834"/>
      <c r="Y834"/>
      <c r="Z834"/>
      <c r="AA834"/>
    </row>
    <row r="835" spans="2:27" s="25" customFormat="1" ht="15.75" customHeight="1" x14ac:dyDescent="0.2">
      <c r="B835" s="89"/>
      <c r="C835"/>
      <c r="D835"/>
      <c r="E835" s="69"/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  <c r="U835"/>
      <c r="V835"/>
      <c r="W835"/>
      <c r="X835"/>
      <c r="Y835"/>
      <c r="Z835"/>
      <c r="AA835"/>
    </row>
    <row r="836" spans="2:27" s="25" customFormat="1" ht="15.75" customHeight="1" x14ac:dyDescent="0.2">
      <c r="B836" s="89"/>
      <c r="C836"/>
      <c r="D836"/>
      <c r="E836" s="69"/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  <c r="U836"/>
      <c r="V836"/>
      <c r="W836"/>
      <c r="X836"/>
      <c r="Y836"/>
      <c r="Z836"/>
      <c r="AA836"/>
    </row>
    <row r="837" spans="2:27" s="25" customFormat="1" ht="15.75" customHeight="1" x14ac:dyDescent="0.2">
      <c r="B837" s="89"/>
      <c r="C837"/>
      <c r="D837"/>
      <c r="E837" s="69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  <c r="U837"/>
      <c r="V837"/>
      <c r="W837"/>
      <c r="X837"/>
      <c r="Y837"/>
      <c r="Z837"/>
      <c r="AA837"/>
    </row>
    <row r="838" spans="2:27" s="25" customFormat="1" ht="15.75" customHeight="1" x14ac:dyDescent="0.2">
      <c r="B838" s="89"/>
      <c r="C838"/>
      <c r="D838"/>
      <c r="E838" s="69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  <c r="V838"/>
      <c r="W838"/>
      <c r="X838"/>
      <c r="Y838"/>
      <c r="Z838"/>
      <c r="AA838"/>
    </row>
    <row r="839" spans="2:27" s="25" customFormat="1" ht="15.75" customHeight="1" x14ac:dyDescent="0.2">
      <c r="B839" s="89"/>
      <c r="C839"/>
      <c r="D839"/>
      <c r="E839" s="6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  <c r="V839"/>
      <c r="W839"/>
      <c r="X839"/>
      <c r="Y839"/>
      <c r="Z839"/>
      <c r="AA839"/>
    </row>
    <row r="840" spans="2:27" s="25" customFormat="1" ht="15.75" customHeight="1" x14ac:dyDescent="0.2">
      <c r="B840" s="89"/>
      <c r="C840"/>
      <c r="D840"/>
      <c r="E840" s="69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  <c r="V840"/>
      <c r="W840"/>
      <c r="X840"/>
      <c r="Y840"/>
      <c r="Z840"/>
      <c r="AA840"/>
    </row>
    <row r="841" spans="2:27" s="25" customFormat="1" ht="15.75" customHeight="1" x14ac:dyDescent="0.2">
      <c r="B841" s="89"/>
      <c r="C841"/>
      <c r="D841"/>
      <c r="E841" s="69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  <c r="V841"/>
      <c r="W841"/>
      <c r="X841"/>
      <c r="Y841"/>
      <c r="Z841"/>
      <c r="AA841"/>
    </row>
    <row r="842" spans="2:27" s="25" customFormat="1" ht="15.75" customHeight="1" x14ac:dyDescent="0.2">
      <c r="B842" s="89"/>
      <c r="C842"/>
      <c r="D842"/>
      <c r="E842" s="69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  <c r="U842"/>
      <c r="V842"/>
      <c r="W842"/>
      <c r="X842"/>
      <c r="Y842"/>
      <c r="Z842"/>
      <c r="AA842"/>
    </row>
    <row r="843" spans="2:27" s="25" customFormat="1" ht="15.75" customHeight="1" x14ac:dyDescent="0.2">
      <c r="B843" s="89"/>
      <c r="C843"/>
      <c r="D843"/>
      <c r="E843" s="69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  <c r="V843"/>
      <c r="W843"/>
      <c r="X843"/>
      <c r="Y843"/>
      <c r="Z843"/>
      <c r="AA843"/>
    </row>
    <row r="844" spans="2:27" s="25" customFormat="1" ht="15.75" customHeight="1" x14ac:dyDescent="0.2">
      <c r="B844" s="89"/>
      <c r="C844"/>
      <c r="D844"/>
      <c r="E844" s="69"/>
      <c r="F844"/>
      <c r="G844"/>
      <c r="H844"/>
      <c r="I844"/>
      <c r="J844"/>
      <c r="K844"/>
      <c r="L844"/>
      <c r="M844"/>
      <c r="N844"/>
      <c r="O844"/>
      <c r="P844"/>
      <c r="Q844"/>
      <c r="R844"/>
      <c r="S844"/>
      <c r="T844"/>
      <c r="U844"/>
      <c r="V844"/>
      <c r="W844"/>
      <c r="X844"/>
      <c r="Y844"/>
      <c r="Z844"/>
      <c r="AA844"/>
    </row>
    <row r="845" spans="2:27" s="25" customFormat="1" ht="15.75" customHeight="1" x14ac:dyDescent="0.2">
      <c r="B845" s="89"/>
      <c r="C845"/>
      <c r="D845"/>
      <c r="E845" s="69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  <c r="U845"/>
      <c r="V845"/>
      <c r="W845"/>
      <c r="X845"/>
      <c r="Y845"/>
      <c r="Z845"/>
      <c r="AA845"/>
    </row>
    <row r="846" spans="2:27" s="25" customFormat="1" ht="15.75" customHeight="1" x14ac:dyDescent="0.2">
      <c r="B846" s="89"/>
      <c r="C846"/>
      <c r="D846"/>
      <c r="E846" s="69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  <c r="V846"/>
      <c r="W846"/>
      <c r="X846"/>
      <c r="Y846"/>
      <c r="Z846"/>
      <c r="AA846"/>
    </row>
    <row r="847" spans="2:27" s="25" customFormat="1" ht="15.75" customHeight="1" x14ac:dyDescent="0.2">
      <c r="B847" s="89"/>
      <c r="C847"/>
      <c r="D847"/>
      <c r="E847" s="69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  <c r="U847"/>
      <c r="V847"/>
      <c r="W847"/>
      <c r="X847"/>
      <c r="Y847"/>
      <c r="Z847"/>
      <c r="AA847"/>
    </row>
    <row r="848" spans="2:27" s="25" customFormat="1" ht="15.75" customHeight="1" x14ac:dyDescent="0.2">
      <c r="B848" s="89"/>
      <c r="C848"/>
      <c r="D848"/>
      <c r="E848" s="69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/>
      <c r="U848"/>
      <c r="V848"/>
      <c r="W848"/>
      <c r="X848"/>
      <c r="Y848"/>
      <c r="Z848"/>
      <c r="AA848"/>
    </row>
    <row r="849" spans="2:27" s="25" customFormat="1" ht="15.75" customHeight="1" x14ac:dyDescent="0.2">
      <c r="B849" s="89"/>
      <c r="C849"/>
      <c r="D849"/>
      <c r="E849" s="6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  <c r="V849"/>
      <c r="W849"/>
      <c r="X849"/>
      <c r="Y849"/>
      <c r="Z849"/>
      <c r="AA849"/>
    </row>
    <row r="850" spans="2:27" s="25" customFormat="1" ht="15.75" customHeight="1" x14ac:dyDescent="0.2">
      <c r="B850" s="89"/>
      <c r="C850"/>
      <c r="D850"/>
      <c r="E850" s="69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  <c r="V850"/>
      <c r="W850"/>
      <c r="X850"/>
      <c r="Y850"/>
      <c r="Z850"/>
      <c r="AA850"/>
    </row>
    <row r="851" spans="2:27" s="25" customFormat="1" ht="15.75" customHeight="1" x14ac:dyDescent="0.2">
      <c r="B851" s="89"/>
      <c r="C851"/>
      <c r="D851"/>
      <c r="E851" s="69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  <c r="U851"/>
      <c r="V851"/>
      <c r="W851"/>
      <c r="X851"/>
      <c r="Y851"/>
      <c r="Z851"/>
      <c r="AA851"/>
    </row>
    <row r="852" spans="2:27" s="25" customFormat="1" ht="15.75" customHeight="1" x14ac:dyDescent="0.2">
      <c r="B852" s="89"/>
      <c r="C852"/>
      <c r="D852"/>
      <c r="E852" s="69"/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  <c r="U852"/>
      <c r="V852"/>
      <c r="W852"/>
      <c r="X852"/>
      <c r="Y852"/>
      <c r="Z852"/>
      <c r="AA852"/>
    </row>
    <row r="853" spans="2:27" s="25" customFormat="1" ht="15.75" customHeight="1" x14ac:dyDescent="0.2">
      <c r="B853" s="89"/>
      <c r="C853"/>
      <c r="D853"/>
      <c r="E853" s="69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  <c r="V853"/>
      <c r="W853"/>
      <c r="X853"/>
      <c r="Y853"/>
      <c r="Z853"/>
      <c r="AA853"/>
    </row>
    <row r="854" spans="2:27" s="25" customFormat="1" ht="15.75" customHeight="1" x14ac:dyDescent="0.2">
      <c r="B854" s="89"/>
      <c r="C854"/>
      <c r="D854"/>
      <c r="E854" s="69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  <c r="V854"/>
      <c r="W854"/>
      <c r="X854"/>
      <c r="Y854"/>
      <c r="Z854"/>
      <c r="AA854"/>
    </row>
    <row r="855" spans="2:27" s="25" customFormat="1" ht="15.75" customHeight="1" x14ac:dyDescent="0.2">
      <c r="B855" s="89"/>
      <c r="C855"/>
      <c r="D855"/>
      <c r="E855" s="69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  <c r="U855"/>
      <c r="V855"/>
      <c r="W855"/>
      <c r="X855"/>
      <c r="Y855"/>
      <c r="Z855"/>
      <c r="AA855"/>
    </row>
    <row r="856" spans="2:27" s="25" customFormat="1" ht="15.75" customHeight="1" x14ac:dyDescent="0.2">
      <c r="B856" s="89"/>
      <c r="C856"/>
      <c r="D856"/>
      <c r="E856" s="69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  <c r="U856"/>
      <c r="V856"/>
      <c r="W856"/>
      <c r="X856"/>
      <c r="Y856"/>
      <c r="Z856"/>
      <c r="AA856"/>
    </row>
    <row r="857" spans="2:27" s="25" customFormat="1" ht="15.75" customHeight="1" x14ac:dyDescent="0.2">
      <c r="B857" s="89"/>
      <c r="C857"/>
      <c r="D857"/>
      <c r="E857" s="69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  <c r="U857"/>
      <c r="V857"/>
      <c r="W857"/>
      <c r="X857"/>
      <c r="Y857"/>
      <c r="Z857"/>
      <c r="AA857"/>
    </row>
    <row r="858" spans="2:27" s="25" customFormat="1" ht="15.75" customHeight="1" x14ac:dyDescent="0.2">
      <c r="B858" s="89"/>
      <c r="C858"/>
      <c r="D858"/>
      <c r="E858" s="69"/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  <c r="U858"/>
      <c r="V858"/>
      <c r="W858"/>
      <c r="X858"/>
      <c r="Y858"/>
      <c r="Z858"/>
      <c r="AA858"/>
    </row>
    <row r="859" spans="2:27" s="25" customFormat="1" ht="15.75" customHeight="1" x14ac:dyDescent="0.2">
      <c r="B859" s="89"/>
      <c r="C859"/>
      <c r="D859"/>
      <c r="E859" s="69"/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  <c r="U859"/>
      <c r="V859"/>
      <c r="W859"/>
      <c r="X859"/>
      <c r="Y859"/>
      <c r="Z859"/>
      <c r="AA859"/>
    </row>
    <row r="860" spans="2:27" s="25" customFormat="1" ht="15.75" customHeight="1" x14ac:dyDescent="0.2">
      <c r="B860" s="89"/>
      <c r="C860"/>
      <c r="D860"/>
      <c r="E860" s="69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  <c r="U860"/>
      <c r="V860"/>
      <c r="W860"/>
      <c r="X860"/>
      <c r="Y860"/>
      <c r="Z860"/>
      <c r="AA860"/>
    </row>
    <row r="861" spans="2:27" s="25" customFormat="1" ht="15.75" customHeight="1" x14ac:dyDescent="0.2">
      <c r="B861" s="89"/>
      <c r="C861"/>
      <c r="D861"/>
      <c r="E861" s="69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  <c r="V861"/>
      <c r="W861"/>
      <c r="X861"/>
      <c r="Y861"/>
      <c r="Z861"/>
      <c r="AA861"/>
    </row>
    <row r="862" spans="2:27" s="25" customFormat="1" ht="15.75" customHeight="1" x14ac:dyDescent="0.2">
      <c r="B862" s="89"/>
      <c r="C862"/>
      <c r="D862"/>
      <c r="E862" s="69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  <c r="V862"/>
      <c r="W862"/>
      <c r="X862"/>
      <c r="Y862"/>
      <c r="Z862"/>
      <c r="AA862"/>
    </row>
    <row r="863" spans="2:27" s="25" customFormat="1" ht="15.75" customHeight="1" x14ac:dyDescent="0.2">
      <c r="B863" s="89"/>
      <c r="C863"/>
      <c r="D863"/>
      <c r="E863" s="69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  <c r="V863"/>
      <c r="W863"/>
      <c r="X863"/>
      <c r="Y863"/>
      <c r="Z863"/>
      <c r="AA863"/>
    </row>
    <row r="864" spans="2:27" s="25" customFormat="1" ht="15.75" customHeight="1" x14ac:dyDescent="0.2">
      <c r="B864" s="89"/>
      <c r="C864"/>
      <c r="D864"/>
      <c r="E864" s="69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/>
      <c r="U864"/>
      <c r="V864"/>
      <c r="W864"/>
      <c r="X864"/>
      <c r="Y864"/>
      <c r="Z864"/>
      <c r="AA864"/>
    </row>
    <row r="865" spans="2:27" s="25" customFormat="1" ht="15.75" customHeight="1" x14ac:dyDescent="0.2">
      <c r="B865" s="89"/>
      <c r="C865"/>
      <c r="D865"/>
      <c r="E865" s="69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  <c r="V865"/>
      <c r="W865"/>
      <c r="X865"/>
      <c r="Y865"/>
      <c r="Z865"/>
      <c r="AA865"/>
    </row>
    <row r="866" spans="2:27" s="25" customFormat="1" ht="15.75" customHeight="1" x14ac:dyDescent="0.2">
      <c r="B866" s="89"/>
      <c r="C866"/>
      <c r="D866"/>
      <c r="E866" s="69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  <c r="U866"/>
      <c r="V866"/>
      <c r="W866"/>
      <c r="X866"/>
      <c r="Y866"/>
      <c r="Z866"/>
      <c r="AA866"/>
    </row>
    <row r="867" spans="2:27" s="25" customFormat="1" ht="15.75" customHeight="1" x14ac:dyDescent="0.2">
      <c r="B867" s="89"/>
      <c r="C867"/>
      <c r="D867"/>
      <c r="E867" s="69"/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  <c r="T867"/>
      <c r="U867"/>
      <c r="V867"/>
      <c r="W867"/>
      <c r="X867"/>
      <c r="Y867"/>
      <c r="Z867"/>
      <c r="AA867"/>
    </row>
    <row r="868" spans="2:27" s="25" customFormat="1" ht="15.75" customHeight="1" x14ac:dyDescent="0.2">
      <c r="B868" s="89"/>
      <c r="C868"/>
      <c r="D868"/>
      <c r="E868" s="69"/>
      <c r="F868"/>
      <c r="G868"/>
      <c r="H868"/>
      <c r="I868"/>
      <c r="J868"/>
      <c r="K868"/>
      <c r="L868"/>
      <c r="M868"/>
      <c r="N868"/>
      <c r="O868"/>
      <c r="P868"/>
      <c r="Q868"/>
      <c r="R868"/>
      <c r="S868"/>
      <c r="T868"/>
      <c r="U868"/>
      <c r="V868"/>
      <c r="W868"/>
      <c r="X868"/>
      <c r="Y868"/>
      <c r="Z868"/>
      <c r="AA868"/>
    </row>
    <row r="869" spans="2:27" s="25" customFormat="1" ht="15.75" customHeight="1" x14ac:dyDescent="0.2">
      <c r="B869" s="89"/>
      <c r="C869"/>
      <c r="D869"/>
      <c r="E869" s="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  <c r="V869"/>
      <c r="W869"/>
      <c r="X869"/>
      <c r="Y869"/>
      <c r="Z869"/>
      <c r="AA869"/>
    </row>
    <row r="870" spans="2:27" s="25" customFormat="1" ht="15.75" customHeight="1" x14ac:dyDescent="0.2">
      <c r="B870" s="89"/>
      <c r="C870"/>
      <c r="D870"/>
      <c r="E870" s="69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  <c r="V870"/>
      <c r="W870"/>
      <c r="X870"/>
      <c r="Y870"/>
      <c r="Z870"/>
      <c r="AA870"/>
    </row>
    <row r="871" spans="2:27" s="25" customFormat="1" ht="15.75" customHeight="1" x14ac:dyDescent="0.2">
      <c r="B871" s="89"/>
      <c r="C871"/>
      <c r="D871"/>
      <c r="E871" s="69"/>
      <c r="F871"/>
      <c r="G871"/>
      <c r="H871"/>
      <c r="I871"/>
      <c r="J871"/>
      <c r="K871"/>
      <c r="L871"/>
      <c r="M871"/>
      <c r="N871"/>
      <c r="O871"/>
      <c r="P871"/>
      <c r="Q871"/>
      <c r="R871"/>
      <c r="S871"/>
      <c r="T871"/>
      <c r="U871"/>
      <c r="V871"/>
      <c r="W871"/>
      <c r="X871"/>
      <c r="Y871"/>
      <c r="Z871"/>
      <c r="AA871"/>
    </row>
    <row r="872" spans="2:27" s="25" customFormat="1" ht="15.75" customHeight="1" x14ac:dyDescent="0.2">
      <c r="B872" s="89"/>
      <c r="C872"/>
      <c r="D872"/>
      <c r="E872" s="69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  <c r="U872"/>
      <c r="V872"/>
      <c r="W872"/>
      <c r="X872"/>
      <c r="Y872"/>
      <c r="Z872"/>
      <c r="AA872"/>
    </row>
    <row r="873" spans="2:27" s="25" customFormat="1" ht="15.75" customHeight="1" x14ac:dyDescent="0.2">
      <c r="B873" s="89"/>
      <c r="C873"/>
      <c r="D873"/>
      <c r="E873" s="69"/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  <c r="T873"/>
      <c r="U873"/>
      <c r="V873"/>
      <c r="W873"/>
      <c r="X873"/>
      <c r="Y873"/>
      <c r="Z873"/>
      <c r="AA873"/>
    </row>
    <row r="874" spans="2:27" s="25" customFormat="1" ht="15.75" customHeight="1" x14ac:dyDescent="0.2">
      <c r="B874" s="89"/>
      <c r="C874"/>
      <c r="D874"/>
      <c r="E874" s="69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  <c r="V874"/>
      <c r="W874"/>
      <c r="X874"/>
      <c r="Y874"/>
      <c r="Z874"/>
      <c r="AA874"/>
    </row>
    <row r="875" spans="2:27" s="25" customFormat="1" ht="15.75" customHeight="1" x14ac:dyDescent="0.2">
      <c r="B875" s="89"/>
      <c r="C875"/>
      <c r="D875"/>
      <c r="E875" s="69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  <c r="V875"/>
      <c r="W875"/>
      <c r="X875"/>
      <c r="Y875"/>
      <c r="Z875"/>
      <c r="AA875"/>
    </row>
    <row r="876" spans="2:27" s="25" customFormat="1" ht="15.75" customHeight="1" x14ac:dyDescent="0.2">
      <c r="B876" s="89"/>
      <c r="C876"/>
      <c r="D876"/>
      <c r="E876" s="69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  <c r="V876"/>
      <c r="W876"/>
      <c r="X876"/>
      <c r="Y876"/>
      <c r="Z876"/>
      <c r="AA876"/>
    </row>
    <row r="877" spans="2:27" s="25" customFormat="1" ht="15.75" customHeight="1" x14ac:dyDescent="0.2">
      <c r="B877" s="89"/>
      <c r="C877"/>
      <c r="D877"/>
      <c r="E877" s="69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  <c r="U877"/>
      <c r="V877"/>
      <c r="W877"/>
      <c r="X877"/>
      <c r="Y877"/>
      <c r="Z877"/>
      <c r="AA877"/>
    </row>
    <row r="878" spans="2:27" s="25" customFormat="1" ht="15.75" customHeight="1" x14ac:dyDescent="0.2">
      <c r="B878" s="89"/>
      <c r="C878"/>
      <c r="D878"/>
      <c r="E878" s="69"/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  <c r="T878"/>
      <c r="U878"/>
      <c r="V878"/>
      <c r="W878"/>
      <c r="X878"/>
      <c r="Y878"/>
      <c r="Z878"/>
      <c r="AA878"/>
    </row>
    <row r="879" spans="2:27" s="25" customFormat="1" ht="15.75" customHeight="1" x14ac:dyDescent="0.2">
      <c r="B879" s="89"/>
      <c r="C879"/>
      <c r="D879"/>
      <c r="E879" s="6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  <c r="U879"/>
      <c r="V879"/>
      <c r="W879"/>
      <c r="X879"/>
      <c r="Y879"/>
      <c r="Z879"/>
      <c r="AA879"/>
    </row>
    <row r="880" spans="2:27" s="25" customFormat="1" ht="15.75" customHeight="1" x14ac:dyDescent="0.2">
      <c r="B880" s="89"/>
      <c r="C880"/>
      <c r="D880"/>
      <c r="E880" s="69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  <c r="U880"/>
      <c r="V880"/>
      <c r="W880"/>
      <c r="X880"/>
      <c r="Y880"/>
      <c r="Z880"/>
      <c r="AA880"/>
    </row>
    <row r="881" spans="2:27" s="25" customFormat="1" ht="15.75" customHeight="1" x14ac:dyDescent="0.2">
      <c r="B881" s="89"/>
      <c r="C881"/>
      <c r="D881"/>
      <c r="E881" s="69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  <c r="U881"/>
      <c r="V881"/>
      <c r="W881"/>
      <c r="X881"/>
      <c r="Y881"/>
      <c r="Z881"/>
      <c r="AA881"/>
    </row>
    <row r="882" spans="2:27" s="25" customFormat="1" ht="15.75" customHeight="1" x14ac:dyDescent="0.2">
      <c r="B882" s="89"/>
      <c r="C882"/>
      <c r="D882"/>
      <c r="E882" s="69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  <c r="U882"/>
      <c r="V882"/>
      <c r="W882"/>
      <c r="X882"/>
      <c r="Y882"/>
      <c r="Z882"/>
      <c r="AA882"/>
    </row>
    <row r="883" spans="2:27" s="25" customFormat="1" ht="15.75" customHeight="1" x14ac:dyDescent="0.2">
      <c r="B883" s="89"/>
      <c r="C883"/>
      <c r="D883"/>
      <c r="E883" s="69"/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  <c r="T883"/>
      <c r="U883"/>
      <c r="V883"/>
      <c r="W883"/>
      <c r="X883"/>
      <c r="Y883"/>
      <c r="Z883"/>
      <c r="AA883"/>
    </row>
    <row r="884" spans="2:27" s="25" customFormat="1" ht="15.75" customHeight="1" x14ac:dyDescent="0.2">
      <c r="B884" s="89"/>
      <c r="C884"/>
      <c r="D884"/>
      <c r="E884" s="69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  <c r="V884"/>
      <c r="W884"/>
      <c r="X884"/>
      <c r="Y884"/>
      <c r="Z884"/>
      <c r="AA884"/>
    </row>
    <row r="885" spans="2:27" s="25" customFormat="1" ht="15.75" customHeight="1" x14ac:dyDescent="0.2">
      <c r="B885" s="89"/>
      <c r="C885"/>
      <c r="D885"/>
      <c r="E885" s="69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  <c r="V885"/>
      <c r="W885"/>
      <c r="X885"/>
      <c r="Y885"/>
      <c r="Z885"/>
      <c r="AA885"/>
    </row>
    <row r="886" spans="2:27" s="25" customFormat="1" ht="15.75" customHeight="1" x14ac:dyDescent="0.2">
      <c r="B886" s="89"/>
      <c r="C886"/>
      <c r="D886"/>
      <c r="E886" s="69"/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  <c r="T886"/>
      <c r="U886"/>
      <c r="V886"/>
      <c r="W886"/>
      <c r="X886"/>
      <c r="Y886"/>
      <c r="Z886"/>
      <c r="AA886"/>
    </row>
    <row r="887" spans="2:27" s="25" customFormat="1" ht="15.75" customHeight="1" x14ac:dyDescent="0.2">
      <c r="B887" s="89"/>
      <c r="C887"/>
      <c r="D887"/>
      <c r="E887" s="69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  <c r="V887"/>
      <c r="W887"/>
      <c r="X887"/>
      <c r="Y887"/>
      <c r="Z887"/>
      <c r="AA887"/>
    </row>
    <row r="888" spans="2:27" s="25" customFormat="1" ht="15.75" customHeight="1" x14ac:dyDescent="0.2">
      <c r="B888" s="89"/>
      <c r="C888"/>
      <c r="D888"/>
      <c r="E888" s="69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  <c r="U888"/>
      <c r="V888"/>
      <c r="W888"/>
      <c r="X888"/>
      <c r="Y888"/>
      <c r="Z888"/>
      <c r="AA888"/>
    </row>
    <row r="889" spans="2:27" s="25" customFormat="1" ht="15.75" customHeight="1" x14ac:dyDescent="0.2">
      <c r="B889" s="89"/>
      <c r="C889"/>
      <c r="D889"/>
      <c r="E889" s="6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  <c r="V889"/>
      <c r="W889"/>
      <c r="X889"/>
      <c r="Y889"/>
      <c r="Z889"/>
      <c r="AA889"/>
    </row>
    <row r="890" spans="2:27" s="25" customFormat="1" ht="15.75" customHeight="1" x14ac:dyDescent="0.2">
      <c r="B890" s="89"/>
      <c r="C890"/>
      <c r="D890"/>
      <c r="E890" s="69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  <c r="V890"/>
      <c r="W890"/>
      <c r="X890"/>
      <c r="Y890"/>
      <c r="Z890"/>
      <c r="AA890"/>
    </row>
    <row r="891" spans="2:27" s="25" customFormat="1" ht="15.75" customHeight="1" x14ac:dyDescent="0.2">
      <c r="B891" s="89"/>
      <c r="C891"/>
      <c r="D891"/>
      <c r="E891" s="69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  <c r="V891"/>
      <c r="W891"/>
      <c r="X891"/>
      <c r="Y891"/>
      <c r="Z891"/>
      <c r="AA891"/>
    </row>
    <row r="892" spans="2:27" s="25" customFormat="1" ht="15.75" customHeight="1" x14ac:dyDescent="0.2">
      <c r="B892" s="89"/>
      <c r="C892"/>
      <c r="D892"/>
      <c r="E892" s="69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  <c r="V892"/>
      <c r="W892"/>
      <c r="X892"/>
      <c r="Y892"/>
      <c r="Z892"/>
      <c r="AA892"/>
    </row>
    <row r="893" spans="2:27" s="25" customFormat="1" ht="15.75" customHeight="1" x14ac:dyDescent="0.2">
      <c r="B893" s="89"/>
      <c r="C893"/>
      <c r="D893"/>
      <c r="E893" s="69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  <c r="U893"/>
      <c r="V893"/>
      <c r="W893"/>
      <c r="X893"/>
      <c r="Y893"/>
      <c r="Z893"/>
      <c r="AA893"/>
    </row>
    <row r="894" spans="2:27" s="25" customFormat="1" ht="15.75" customHeight="1" x14ac:dyDescent="0.2">
      <c r="B894" s="89"/>
      <c r="C894"/>
      <c r="D894"/>
      <c r="E894" s="69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  <c r="V894"/>
      <c r="W894"/>
      <c r="X894"/>
      <c r="Y894"/>
      <c r="Z894"/>
      <c r="AA894"/>
    </row>
    <row r="895" spans="2:27" s="25" customFormat="1" ht="15.75" customHeight="1" x14ac:dyDescent="0.2">
      <c r="B895" s="89"/>
      <c r="C895"/>
      <c r="D895"/>
      <c r="E895" s="69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  <c r="V895"/>
      <c r="W895"/>
      <c r="X895"/>
      <c r="Y895"/>
      <c r="Z895"/>
      <c r="AA895"/>
    </row>
    <row r="896" spans="2:27" s="25" customFormat="1" ht="15.75" customHeight="1" x14ac:dyDescent="0.2">
      <c r="B896" s="89"/>
      <c r="C896"/>
      <c r="D896"/>
      <c r="E896" s="69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  <c r="V896"/>
      <c r="W896"/>
      <c r="X896"/>
      <c r="Y896"/>
      <c r="Z896"/>
      <c r="AA896"/>
    </row>
    <row r="897" spans="2:27" s="25" customFormat="1" ht="15.75" customHeight="1" x14ac:dyDescent="0.2">
      <c r="B897" s="89"/>
      <c r="C897"/>
      <c r="D897"/>
      <c r="E897" s="69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  <c r="V897"/>
      <c r="W897"/>
      <c r="X897"/>
      <c r="Y897"/>
      <c r="Z897"/>
      <c r="AA897"/>
    </row>
    <row r="898" spans="2:27" s="25" customFormat="1" ht="15.75" customHeight="1" x14ac:dyDescent="0.2">
      <c r="B898" s="89"/>
      <c r="C898"/>
      <c r="D898"/>
      <c r="E898" s="69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  <c r="V898"/>
      <c r="W898"/>
      <c r="X898"/>
      <c r="Y898"/>
      <c r="Z898"/>
      <c r="AA898"/>
    </row>
    <row r="899" spans="2:27" s="25" customFormat="1" ht="15.75" customHeight="1" x14ac:dyDescent="0.2">
      <c r="B899" s="89"/>
      <c r="C899"/>
      <c r="D899"/>
      <c r="E899" s="6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  <c r="V899"/>
      <c r="W899"/>
      <c r="X899"/>
      <c r="Y899"/>
      <c r="Z899"/>
      <c r="AA899"/>
    </row>
    <row r="900" spans="2:27" s="25" customFormat="1" ht="15.75" customHeight="1" x14ac:dyDescent="0.2">
      <c r="B900" s="89"/>
      <c r="C900"/>
      <c r="D900"/>
      <c r="E900" s="69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  <c r="V900"/>
      <c r="W900"/>
      <c r="X900"/>
      <c r="Y900"/>
      <c r="Z900"/>
      <c r="AA900"/>
    </row>
    <row r="901" spans="2:27" s="25" customFormat="1" ht="15.75" customHeight="1" x14ac:dyDescent="0.2">
      <c r="B901" s="89"/>
      <c r="C901"/>
      <c r="D901"/>
      <c r="E901" s="69"/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/>
      <c r="U901"/>
      <c r="V901"/>
      <c r="W901"/>
      <c r="X901"/>
      <c r="Y901"/>
      <c r="Z901"/>
      <c r="AA901"/>
    </row>
    <row r="902" spans="2:27" s="25" customFormat="1" ht="15.75" customHeight="1" x14ac:dyDescent="0.2">
      <c r="B902" s="89"/>
      <c r="C902"/>
      <c r="D902"/>
      <c r="E902" s="69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  <c r="V902"/>
      <c r="W902"/>
      <c r="X902"/>
      <c r="Y902"/>
      <c r="Z902"/>
      <c r="AA902"/>
    </row>
    <row r="903" spans="2:27" s="25" customFormat="1" ht="15.75" customHeight="1" x14ac:dyDescent="0.2">
      <c r="B903" s="89"/>
      <c r="C903"/>
      <c r="D903"/>
      <c r="E903" s="69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  <c r="V903"/>
      <c r="W903"/>
      <c r="X903"/>
      <c r="Y903"/>
      <c r="Z903"/>
      <c r="AA903"/>
    </row>
    <row r="904" spans="2:27" s="25" customFormat="1" ht="15.75" customHeight="1" x14ac:dyDescent="0.2">
      <c r="B904" s="89"/>
      <c r="C904"/>
      <c r="D904"/>
      <c r="E904" s="69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  <c r="V904"/>
      <c r="W904"/>
      <c r="X904"/>
      <c r="Y904"/>
      <c r="Z904"/>
      <c r="AA904"/>
    </row>
    <row r="905" spans="2:27" s="25" customFormat="1" ht="15.75" customHeight="1" x14ac:dyDescent="0.2">
      <c r="B905" s="89"/>
      <c r="C905"/>
      <c r="D905"/>
      <c r="E905" s="69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  <c r="V905"/>
      <c r="W905"/>
      <c r="X905"/>
      <c r="Y905"/>
      <c r="Z905"/>
      <c r="AA905"/>
    </row>
    <row r="906" spans="2:27" s="25" customFormat="1" ht="15.75" customHeight="1" x14ac:dyDescent="0.2">
      <c r="B906" s="89"/>
      <c r="C906"/>
      <c r="D906"/>
      <c r="E906" s="69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  <c r="V906"/>
      <c r="W906"/>
      <c r="X906"/>
      <c r="Y906"/>
      <c r="Z906"/>
      <c r="AA906"/>
    </row>
    <row r="907" spans="2:27" s="25" customFormat="1" ht="15.75" customHeight="1" x14ac:dyDescent="0.2">
      <c r="B907" s="89"/>
      <c r="C907"/>
      <c r="D907"/>
      <c r="E907" s="69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  <c r="V907"/>
      <c r="W907"/>
      <c r="X907"/>
      <c r="Y907"/>
      <c r="Z907"/>
      <c r="AA907"/>
    </row>
    <row r="908" spans="2:27" s="25" customFormat="1" ht="15.75" customHeight="1" x14ac:dyDescent="0.2">
      <c r="B908" s="89"/>
      <c r="C908"/>
      <c r="D908"/>
      <c r="E908" s="69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  <c r="V908"/>
      <c r="W908"/>
      <c r="X908"/>
      <c r="Y908"/>
      <c r="Z908"/>
      <c r="AA908"/>
    </row>
    <row r="909" spans="2:27" s="25" customFormat="1" ht="15.75" customHeight="1" x14ac:dyDescent="0.2">
      <c r="B909" s="89"/>
      <c r="C909"/>
      <c r="D909"/>
      <c r="E909" s="6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  <c r="V909"/>
      <c r="W909"/>
      <c r="X909"/>
      <c r="Y909"/>
      <c r="Z909"/>
      <c r="AA909"/>
    </row>
    <row r="910" spans="2:27" s="25" customFormat="1" ht="15.75" customHeight="1" x14ac:dyDescent="0.2">
      <c r="B910" s="89"/>
      <c r="C910"/>
      <c r="D910"/>
      <c r="E910" s="69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  <c r="V910"/>
      <c r="W910"/>
      <c r="X910"/>
      <c r="Y910"/>
      <c r="Z910"/>
      <c r="AA910"/>
    </row>
    <row r="911" spans="2:27" s="25" customFormat="1" ht="15.75" customHeight="1" x14ac:dyDescent="0.2">
      <c r="B911" s="89"/>
      <c r="C911"/>
      <c r="D911"/>
      <c r="E911" s="69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  <c r="V911"/>
      <c r="W911"/>
      <c r="X911"/>
      <c r="Y911"/>
      <c r="Z911"/>
      <c r="AA911"/>
    </row>
    <row r="912" spans="2:27" s="25" customFormat="1" ht="15.75" customHeight="1" x14ac:dyDescent="0.2">
      <c r="B912" s="89"/>
      <c r="C912"/>
      <c r="D912"/>
      <c r="E912" s="69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  <c r="V912"/>
      <c r="W912"/>
      <c r="X912"/>
      <c r="Y912"/>
      <c r="Z912"/>
      <c r="AA912"/>
    </row>
    <row r="913" spans="2:27" s="25" customFormat="1" ht="15.75" customHeight="1" x14ac:dyDescent="0.2">
      <c r="B913" s="89"/>
      <c r="C913"/>
      <c r="D913"/>
      <c r="E913" s="69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  <c r="V913"/>
      <c r="W913"/>
      <c r="X913"/>
      <c r="Y913"/>
      <c r="Z913"/>
      <c r="AA913"/>
    </row>
    <row r="914" spans="2:27" s="25" customFormat="1" ht="15.75" customHeight="1" x14ac:dyDescent="0.2">
      <c r="B914" s="89"/>
      <c r="C914"/>
      <c r="D914"/>
      <c r="E914" s="69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  <c r="V914"/>
      <c r="W914"/>
      <c r="X914"/>
      <c r="Y914"/>
      <c r="Z914"/>
      <c r="AA914"/>
    </row>
    <row r="915" spans="2:27" s="25" customFormat="1" ht="15.75" customHeight="1" x14ac:dyDescent="0.2">
      <c r="B915" s="89"/>
      <c r="C915"/>
      <c r="D915"/>
      <c r="E915" s="69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  <c r="V915"/>
      <c r="W915"/>
      <c r="X915"/>
      <c r="Y915"/>
      <c r="Z915"/>
      <c r="AA915"/>
    </row>
    <row r="916" spans="2:27" s="25" customFormat="1" ht="15.75" customHeight="1" x14ac:dyDescent="0.2">
      <c r="B916" s="89"/>
      <c r="C916"/>
      <c r="D916"/>
      <c r="E916" s="69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  <c r="V916"/>
      <c r="W916"/>
      <c r="X916"/>
      <c r="Y916"/>
      <c r="Z916"/>
      <c r="AA916"/>
    </row>
    <row r="917" spans="2:27" s="25" customFormat="1" ht="15.75" customHeight="1" x14ac:dyDescent="0.2">
      <c r="B917" s="89"/>
      <c r="C917"/>
      <c r="D917"/>
      <c r="E917" s="69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  <c r="V917"/>
      <c r="W917"/>
      <c r="X917"/>
      <c r="Y917"/>
      <c r="Z917"/>
      <c r="AA917"/>
    </row>
    <row r="918" spans="2:27" s="25" customFormat="1" ht="15.75" customHeight="1" x14ac:dyDescent="0.2">
      <c r="B918" s="89"/>
      <c r="C918"/>
      <c r="D918"/>
      <c r="E918" s="69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  <c r="V918"/>
      <c r="W918"/>
      <c r="X918"/>
      <c r="Y918"/>
      <c r="Z918"/>
      <c r="AA918"/>
    </row>
    <row r="919" spans="2:27" s="25" customFormat="1" ht="15.75" customHeight="1" x14ac:dyDescent="0.2">
      <c r="B919" s="89"/>
      <c r="C919"/>
      <c r="D919"/>
      <c r="E919" s="6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  <c r="V919"/>
      <c r="W919"/>
      <c r="X919"/>
      <c r="Y919"/>
      <c r="Z919"/>
      <c r="AA919"/>
    </row>
    <row r="920" spans="2:27" s="25" customFormat="1" ht="15.75" customHeight="1" x14ac:dyDescent="0.2">
      <c r="B920" s="89"/>
      <c r="C920"/>
      <c r="D920"/>
      <c r="E920" s="69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  <c r="V920"/>
      <c r="W920"/>
      <c r="X920"/>
      <c r="Y920"/>
      <c r="Z920"/>
      <c r="AA920"/>
    </row>
    <row r="921" spans="2:27" s="25" customFormat="1" ht="15.75" customHeight="1" x14ac:dyDescent="0.2">
      <c r="B921" s="89"/>
      <c r="C921"/>
      <c r="D921"/>
      <c r="E921" s="69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  <c r="V921"/>
      <c r="W921"/>
      <c r="X921"/>
      <c r="Y921"/>
      <c r="Z921"/>
      <c r="AA921"/>
    </row>
    <row r="922" spans="2:27" s="25" customFormat="1" ht="15.75" customHeight="1" x14ac:dyDescent="0.2">
      <c r="B922" s="89"/>
      <c r="C922"/>
      <c r="D922"/>
      <c r="E922" s="69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  <c r="V922"/>
      <c r="W922"/>
      <c r="X922"/>
      <c r="Y922"/>
      <c r="Z922"/>
      <c r="AA922"/>
    </row>
    <row r="923" spans="2:27" s="25" customFormat="1" ht="15.75" customHeight="1" x14ac:dyDescent="0.2">
      <c r="B923" s="89"/>
      <c r="C923"/>
      <c r="D923"/>
      <c r="E923" s="69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  <c r="V923"/>
      <c r="W923"/>
      <c r="X923"/>
      <c r="Y923"/>
      <c r="Z923"/>
      <c r="AA923"/>
    </row>
    <row r="924" spans="2:27" s="25" customFormat="1" ht="15.75" customHeight="1" x14ac:dyDescent="0.2">
      <c r="B924" s="89"/>
      <c r="C924"/>
      <c r="D924"/>
      <c r="E924" s="69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  <c r="V924"/>
      <c r="W924"/>
      <c r="X924"/>
      <c r="Y924"/>
      <c r="Z924"/>
      <c r="AA924"/>
    </row>
    <row r="925" spans="2:27" s="25" customFormat="1" ht="15.75" customHeight="1" x14ac:dyDescent="0.2">
      <c r="B925" s="89"/>
      <c r="C925"/>
      <c r="D925"/>
      <c r="E925" s="69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  <c r="V925"/>
      <c r="W925"/>
      <c r="X925"/>
      <c r="Y925"/>
      <c r="Z925"/>
      <c r="AA925"/>
    </row>
    <row r="926" spans="2:27" s="25" customFormat="1" ht="15.75" customHeight="1" x14ac:dyDescent="0.2">
      <c r="B926" s="89"/>
      <c r="C926"/>
      <c r="D926"/>
      <c r="E926" s="69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  <c r="V926"/>
      <c r="W926"/>
      <c r="X926"/>
      <c r="Y926"/>
      <c r="Z926"/>
      <c r="AA926"/>
    </row>
    <row r="927" spans="2:27" s="25" customFormat="1" ht="15.75" customHeight="1" x14ac:dyDescent="0.2">
      <c r="B927" s="89"/>
      <c r="C927"/>
      <c r="D927"/>
      <c r="E927" s="69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  <c r="V927"/>
      <c r="W927"/>
      <c r="X927"/>
      <c r="Y927"/>
      <c r="Z927"/>
      <c r="AA927"/>
    </row>
    <row r="928" spans="2:27" s="25" customFormat="1" ht="15.75" customHeight="1" x14ac:dyDescent="0.2">
      <c r="B928" s="89"/>
      <c r="C928"/>
      <c r="D928"/>
      <c r="E928" s="69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  <c r="V928"/>
      <c r="W928"/>
      <c r="X928"/>
      <c r="Y928"/>
      <c r="Z928"/>
      <c r="AA928"/>
    </row>
    <row r="929" spans="2:27" s="25" customFormat="1" ht="15.75" customHeight="1" x14ac:dyDescent="0.2">
      <c r="B929" s="89"/>
      <c r="C929"/>
      <c r="D929"/>
      <c r="E929" s="6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  <c r="V929"/>
      <c r="W929"/>
      <c r="X929"/>
      <c r="Y929"/>
      <c r="Z929"/>
      <c r="AA929"/>
    </row>
    <row r="930" spans="2:27" s="25" customFormat="1" ht="15.75" customHeight="1" x14ac:dyDescent="0.2">
      <c r="B930" s="89"/>
      <c r="C930"/>
      <c r="D930"/>
      <c r="E930" s="69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  <c r="V930"/>
      <c r="W930"/>
      <c r="X930"/>
      <c r="Y930"/>
      <c r="Z930"/>
      <c r="AA930"/>
    </row>
    <row r="931" spans="2:27" s="25" customFormat="1" ht="15.75" customHeight="1" x14ac:dyDescent="0.2">
      <c r="B931" s="89"/>
      <c r="C931"/>
      <c r="D931"/>
      <c r="E931" s="69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  <c r="V931"/>
      <c r="W931"/>
      <c r="X931"/>
      <c r="Y931"/>
      <c r="Z931"/>
      <c r="AA931"/>
    </row>
    <row r="932" spans="2:27" s="25" customFormat="1" ht="15.75" customHeight="1" x14ac:dyDescent="0.2">
      <c r="B932" s="89"/>
      <c r="C932"/>
      <c r="D932"/>
      <c r="E932" s="69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  <c r="V932"/>
      <c r="W932"/>
      <c r="X932"/>
      <c r="Y932"/>
      <c r="Z932"/>
      <c r="AA932"/>
    </row>
    <row r="933" spans="2:27" s="25" customFormat="1" ht="15.75" customHeight="1" x14ac:dyDescent="0.2">
      <c r="B933" s="89"/>
      <c r="C933"/>
      <c r="D933"/>
      <c r="E933" s="69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  <c r="V933"/>
      <c r="W933"/>
      <c r="X933"/>
      <c r="Y933"/>
      <c r="Z933"/>
      <c r="AA933"/>
    </row>
    <row r="934" spans="2:27" s="25" customFormat="1" ht="15.75" customHeight="1" x14ac:dyDescent="0.2">
      <c r="B934" s="89"/>
      <c r="C934"/>
      <c r="D934"/>
      <c r="E934" s="69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  <c r="V934"/>
      <c r="W934"/>
      <c r="X934"/>
      <c r="Y934"/>
      <c r="Z934"/>
      <c r="AA934"/>
    </row>
    <row r="935" spans="2:27" s="25" customFormat="1" ht="15.75" customHeight="1" x14ac:dyDescent="0.2">
      <c r="B935" s="89"/>
      <c r="C935"/>
      <c r="D935"/>
      <c r="E935" s="69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  <c r="V935"/>
      <c r="W935"/>
      <c r="X935"/>
      <c r="Y935"/>
      <c r="Z935"/>
      <c r="AA935"/>
    </row>
    <row r="936" spans="2:27" s="25" customFormat="1" ht="15.75" customHeight="1" x14ac:dyDescent="0.2">
      <c r="B936" s="89"/>
      <c r="C936"/>
      <c r="D936"/>
      <c r="E936" s="69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  <c r="V936"/>
      <c r="W936"/>
      <c r="X936"/>
      <c r="Y936"/>
      <c r="Z936"/>
      <c r="AA936"/>
    </row>
    <row r="937" spans="2:27" s="25" customFormat="1" ht="15.75" customHeight="1" x14ac:dyDescent="0.2">
      <c r="B937" s="89"/>
      <c r="C937"/>
      <c r="D937"/>
      <c r="E937" s="69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  <c r="V937"/>
      <c r="W937"/>
      <c r="X937"/>
      <c r="Y937"/>
      <c r="Z937"/>
      <c r="AA937"/>
    </row>
    <row r="938" spans="2:27" s="25" customFormat="1" ht="15.75" customHeight="1" x14ac:dyDescent="0.2">
      <c r="B938" s="89"/>
      <c r="C938"/>
      <c r="D938"/>
      <c r="E938" s="69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  <c r="V938"/>
      <c r="W938"/>
      <c r="X938"/>
      <c r="Y938"/>
      <c r="Z938"/>
      <c r="AA938"/>
    </row>
    <row r="939" spans="2:27" s="25" customFormat="1" ht="15.75" customHeight="1" x14ac:dyDescent="0.2">
      <c r="B939" s="89"/>
      <c r="C939"/>
      <c r="D939"/>
      <c r="E939" s="6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  <c r="V939"/>
      <c r="W939"/>
      <c r="X939"/>
      <c r="Y939"/>
      <c r="Z939"/>
      <c r="AA939"/>
    </row>
    <row r="940" spans="2:27" s="25" customFormat="1" ht="15.75" customHeight="1" x14ac:dyDescent="0.2">
      <c r="B940" s="89"/>
      <c r="C940"/>
      <c r="D940"/>
      <c r="E940" s="69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  <c r="V940"/>
      <c r="W940"/>
      <c r="X940"/>
      <c r="Y940"/>
      <c r="Z940"/>
      <c r="AA940"/>
    </row>
    <row r="941" spans="2:27" s="25" customFormat="1" ht="15.75" customHeight="1" x14ac:dyDescent="0.2">
      <c r="B941" s="89"/>
      <c r="C941"/>
      <c r="D941"/>
      <c r="E941" s="69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  <c r="V941"/>
      <c r="W941"/>
      <c r="X941"/>
      <c r="Y941"/>
      <c r="Z941"/>
      <c r="AA941"/>
    </row>
    <row r="942" spans="2:27" s="25" customFormat="1" ht="15.75" customHeight="1" x14ac:dyDescent="0.2">
      <c r="B942" s="89"/>
      <c r="C942"/>
      <c r="D942"/>
      <c r="E942" s="69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  <c r="V942"/>
      <c r="W942"/>
      <c r="X942"/>
      <c r="Y942"/>
      <c r="Z942"/>
      <c r="AA942"/>
    </row>
    <row r="943" spans="2:27" s="25" customFormat="1" ht="15.75" customHeight="1" x14ac:dyDescent="0.2">
      <c r="B943" s="89"/>
      <c r="C943"/>
      <c r="D943"/>
      <c r="E943" s="69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  <c r="V943"/>
      <c r="W943"/>
      <c r="X943"/>
      <c r="Y943"/>
      <c r="Z943"/>
      <c r="AA943"/>
    </row>
    <row r="944" spans="2:27" s="25" customFormat="1" ht="15.75" customHeight="1" x14ac:dyDescent="0.2">
      <c r="B944" s="89"/>
      <c r="C944"/>
      <c r="D944"/>
      <c r="E944" s="69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  <c r="V944"/>
      <c r="W944"/>
      <c r="X944"/>
      <c r="Y944"/>
      <c r="Z944"/>
      <c r="AA944"/>
    </row>
    <row r="945" spans="2:27" s="25" customFormat="1" ht="15.75" customHeight="1" x14ac:dyDescent="0.2">
      <c r="B945" s="89"/>
      <c r="C945"/>
      <c r="D945"/>
      <c r="E945" s="69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  <c r="U945"/>
      <c r="V945"/>
      <c r="W945"/>
      <c r="X945"/>
      <c r="Y945"/>
      <c r="Z945"/>
      <c r="AA945"/>
    </row>
    <row r="946" spans="2:27" s="25" customFormat="1" ht="15.75" customHeight="1" x14ac:dyDescent="0.2">
      <c r="B946" s="89"/>
      <c r="C946"/>
      <c r="D946"/>
      <c r="E946" s="69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  <c r="V946"/>
      <c r="W946"/>
      <c r="X946"/>
      <c r="Y946"/>
      <c r="Z946"/>
      <c r="AA946"/>
    </row>
    <row r="947" spans="2:27" s="25" customFormat="1" ht="15.75" customHeight="1" x14ac:dyDescent="0.2">
      <c r="B947" s="89"/>
      <c r="C947"/>
      <c r="D947"/>
      <c r="E947" s="69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  <c r="U947"/>
      <c r="V947"/>
      <c r="W947"/>
      <c r="X947"/>
      <c r="Y947"/>
      <c r="Z947"/>
      <c r="AA947"/>
    </row>
    <row r="948" spans="2:27" s="25" customFormat="1" ht="15.75" customHeight="1" x14ac:dyDescent="0.2">
      <c r="B948" s="89"/>
      <c r="C948"/>
      <c r="D948"/>
      <c r="E948" s="69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  <c r="U948"/>
      <c r="V948"/>
      <c r="W948"/>
      <c r="X948"/>
      <c r="Y948"/>
      <c r="Z948"/>
      <c r="AA948"/>
    </row>
    <row r="949" spans="2:27" s="25" customFormat="1" ht="15.75" customHeight="1" x14ac:dyDescent="0.2">
      <c r="B949" s="89"/>
      <c r="C949"/>
      <c r="D949"/>
      <c r="E949" s="6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  <c r="V949"/>
      <c r="W949"/>
      <c r="X949"/>
      <c r="Y949"/>
      <c r="Z949"/>
      <c r="AA949"/>
    </row>
    <row r="950" spans="2:27" s="25" customFormat="1" ht="15.75" customHeight="1" x14ac:dyDescent="0.2">
      <c r="B950" s="89"/>
      <c r="C950"/>
      <c r="D950"/>
      <c r="E950" s="69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  <c r="U950"/>
      <c r="V950"/>
      <c r="W950"/>
      <c r="X950"/>
      <c r="Y950"/>
      <c r="Z950"/>
      <c r="AA950"/>
    </row>
    <row r="951" spans="2:27" s="25" customFormat="1" ht="15.75" customHeight="1" x14ac:dyDescent="0.2">
      <c r="B951" s="89"/>
      <c r="C951"/>
      <c r="D951"/>
      <c r="E951" s="69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  <c r="V951"/>
      <c r="W951"/>
      <c r="X951"/>
      <c r="Y951"/>
      <c r="Z951"/>
      <c r="AA951"/>
    </row>
    <row r="952" spans="2:27" s="25" customFormat="1" ht="15.75" customHeight="1" x14ac:dyDescent="0.2">
      <c r="B952" s="89"/>
      <c r="C952"/>
      <c r="D952"/>
      <c r="E952" s="69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  <c r="U952"/>
      <c r="V952"/>
      <c r="W952"/>
      <c r="X952"/>
      <c r="Y952"/>
      <c r="Z952"/>
      <c r="AA952"/>
    </row>
    <row r="953" spans="2:27" s="25" customFormat="1" ht="15.75" customHeight="1" x14ac:dyDescent="0.2">
      <c r="B953" s="89"/>
      <c r="C953"/>
      <c r="D953"/>
      <c r="E953" s="69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  <c r="U953"/>
      <c r="V953"/>
      <c r="W953"/>
      <c r="X953"/>
      <c r="Y953"/>
      <c r="Z953"/>
      <c r="AA953"/>
    </row>
    <row r="954" spans="2:27" s="25" customFormat="1" ht="15.75" customHeight="1" x14ac:dyDescent="0.2">
      <c r="B954" s="89"/>
      <c r="C954"/>
      <c r="D954"/>
      <c r="E954" s="69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  <c r="V954"/>
      <c r="W954"/>
      <c r="X954"/>
      <c r="Y954"/>
      <c r="Z954"/>
      <c r="AA954"/>
    </row>
    <row r="955" spans="2:27" s="25" customFormat="1" ht="15.75" customHeight="1" x14ac:dyDescent="0.2">
      <c r="B955" s="89"/>
      <c r="C955"/>
      <c r="D955"/>
      <c r="E955" s="69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  <c r="V955"/>
      <c r="W955"/>
      <c r="X955"/>
      <c r="Y955"/>
      <c r="Z955"/>
      <c r="AA955"/>
    </row>
    <row r="956" spans="2:27" s="25" customFormat="1" ht="15.75" customHeight="1" x14ac:dyDescent="0.2">
      <c r="B956" s="89"/>
      <c r="C956"/>
      <c r="D956"/>
      <c r="E956" s="69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  <c r="U956"/>
      <c r="V956"/>
      <c r="W956"/>
      <c r="X956"/>
      <c r="Y956"/>
      <c r="Z956"/>
      <c r="AA956"/>
    </row>
    <row r="957" spans="2:27" s="25" customFormat="1" ht="15.75" customHeight="1" x14ac:dyDescent="0.2">
      <c r="B957" s="89"/>
      <c r="C957"/>
      <c r="D957"/>
      <c r="E957" s="69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  <c r="V957"/>
      <c r="W957"/>
      <c r="X957"/>
      <c r="Y957"/>
      <c r="Z957"/>
      <c r="AA957"/>
    </row>
    <row r="958" spans="2:27" s="25" customFormat="1" ht="15.75" customHeight="1" x14ac:dyDescent="0.2">
      <c r="B958" s="89"/>
      <c r="C958"/>
      <c r="D958"/>
      <c r="E958" s="69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  <c r="V958"/>
      <c r="W958"/>
      <c r="X958"/>
      <c r="Y958"/>
      <c r="Z958"/>
      <c r="AA958"/>
    </row>
    <row r="959" spans="2:27" s="25" customFormat="1" ht="15.75" customHeight="1" x14ac:dyDescent="0.2">
      <c r="B959" s="89"/>
      <c r="C959"/>
      <c r="D959"/>
      <c r="E959" s="6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  <c r="V959"/>
      <c r="W959"/>
      <c r="X959"/>
      <c r="Y959"/>
      <c r="Z959"/>
      <c r="AA959"/>
    </row>
    <row r="960" spans="2:27" s="25" customFormat="1" ht="15.75" customHeight="1" x14ac:dyDescent="0.2">
      <c r="B960" s="89"/>
      <c r="C960"/>
      <c r="D960"/>
      <c r="E960" s="69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  <c r="U960"/>
      <c r="V960"/>
      <c r="W960"/>
      <c r="X960"/>
      <c r="Y960"/>
      <c r="Z960"/>
      <c r="AA960"/>
    </row>
    <row r="961" spans="2:27" s="25" customFormat="1" ht="15.75" customHeight="1" x14ac:dyDescent="0.2">
      <c r="B961" s="89"/>
      <c r="C961"/>
      <c r="D961"/>
      <c r="E961" s="69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  <c r="V961"/>
      <c r="W961"/>
      <c r="X961"/>
      <c r="Y961"/>
      <c r="Z961"/>
      <c r="AA961"/>
    </row>
    <row r="962" spans="2:27" s="25" customFormat="1" ht="15.75" customHeight="1" x14ac:dyDescent="0.2">
      <c r="B962" s="89"/>
      <c r="C962"/>
      <c r="D962"/>
      <c r="E962" s="69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  <c r="V962"/>
      <c r="W962"/>
      <c r="X962"/>
      <c r="Y962"/>
      <c r="Z962"/>
      <c r="AA962"/>
    </row>
    <row r="963" spans="2:27" s="25" customFormat="1" ht="15.75" customHeight="1" x14ac:dyDescent="0.2">
      <c r="B963" s="89"/>
      <c r="C963"/>
      <c r="D963"/>
      <c r="E963" s="69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  <c r="V963"/>
      <c r="W963"/>
      <c r="X963"/>
      <c r="Y963"/>
      <c r="Z963"/>
      <c r="AA963"/>
    </row>
    <row r="964" spans="2:27" s="25" customFormat="1" ht="15.75" customHeight="1" x14ac:dyDescent="0.2">
      <c r="B964" s="89"/>
      <c r="C964"/>
      <c r="D964"/>
      <c r="E964" s="69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  <c r="V964"/>
      <c r="W964"/>
      <c r="X964"/>
      <c r="Y964"/>
      <c r="Z964"/>
      <c r="AA964"/>
    </row>
    <row r="965" spans="2:27" s="25" customFormat="1" ht="15.75" customHeight="1" x14ac:dyDescent="0.2">
      <c r="B965" s="89"/>
      <c r="C965"/>
      <c r="D965"/>
      <c r="E965" s="69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  <c r="T965"/>
      <c r="U965"/>
      <c r="V965"/>
      <c r="W965"/>
      <c r="X965"/>
      <c r="Y965"/>
      <c r="Z965"/>
      <c r="AA965"/>
    </row>
    <row r="966" spans="2:27" s="25" customFormat="1" ht="15.75" customHeight="1" x14ac:dyDescent="0.2">
      <c r="B966" s="89"/>
      <c r="C966"/>
      <c r="D966"/>
      <c r="E966" s="69"/>
      <c r="F966"/>
      <c r="G966"/>
      <c r="H966"/>
      <c r="I966"/>
      <c r="J966"/>
      <c r="K966"/>
      <c r="L966"/>
      <c r="M966"/>
      <c r="N966"/>
      <c r="O966"/>
      <c r="P966"/>
      <c r="Q966"/>
      <c r="R966"/>
      <c r="S966"/>
      <c r="T966"/>
      <c r="U966"/>
      <c r="V966"/>
      <c r="W966"/>
      <c r="X966"/>
      <c r="Y966"/>
      <c r="Z966"/>
      <c r="AA966"/>
    </row>
    <row r="967" spans="2:27" s="25" customFormat="1" ht="15.75" customHeight="1" x14ac:dyDescent="0.2">
      <c r="B967" s="89"/>
      <c r="C967"/>
      <c r="D967"/>
      <c r="E967" s="69"/>
      <c r="F967"/>
      <c r="G967"/>
      <c r="H967"/>
      <c r="I967"/>
      <c r="J967"/>
      <c r="K967"/>
      <c r="L967"/>
      <c r="M967"/>
      <c r="N967"/>
      <c r="O967"/>
      <c r="P967"/>
      <c r="Q967"/>
      <c r="R967"/>
      <c r="S967"/>
      <c r="T967"/>
      <c r="U967"/>
      <c r="V967"/>
      <c r="W967"/>
      <c r="X967"/>
      <c r="Y967"/>
      <c r="Z967"/>
      <c r="AA967"/>
    </row>
    <row r="968" spans="2:27" s="25" customFormat="1" ht="15.75" customHeight="1" x14ac:dyDescent="0.2">
      <c r="B968" s="89"/>
      <c r="C968"/>
      <c r="D968"/>
      <c r="E968" s="69"/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  <c r="U968"/>
      <c r="V968"/>
      <c r="W968"/>
      <c r="X968"/>
      <c r="Y968"/>
      <c r="Z968"/>
      <c r="AA968"/>
    </row>
    <row r="969" spans="2:27" s="25" customFormat="1" ht="15.75" customHeight="1" x14ac:dyDescent="0.2">
      <c r="B969" s="89"/>
      <c r="C969"/>
      <c r="D969"/>
      <c r="E969" s="69"/>
      <c r="F969"/>
      <c r="G969"/>
      <c r="H969"/>
      <c r="I969"/>
      <c r="J969"/>
      <c r="K969"/>
      <c r="L969"/>
      <c r="M969"/>
      <c r="N969"/>
      <c r="O969"/>
      <c r="P969"/>
      <c r="Q969"/>
      <c r="R969"/>
      <c r="S969"/>
      <c r="T969"/>
      <c r="U969"/>
      <c r="V969"/>
      <c r="W969"/>
      <c r="X969"/>
      <c r="Y969"/>
      <c r="Z969"/>
      <c r="AA969"/>
    </row>
    <row r="970" spans="2:27" s="25" customFormat="1" ht="15.75" customHeight="1" x14ac:dyDescent="0.2">
      <c r="B970" s="89"/>
      <c r="C970"/>
      <c r="D970"/>
      <c r="E970" s="69"/>
      <c r="F970"/>
      <c r="G970"/>
      <c r="H970"/>
      <c r="I970"/>
      <c r="J970"/>
      <c r="K970"/>
      <c r="L970"/>
      <c r="M970"/>
      <c r="N970"/>
      <c r="O970"/>
      <c r="P970"/>
      <c r="Q970"/>
      <c r="R970"/>
      <c r="S970"/>
      <c r="T970"/>
      <c r="U970"/>
      <c r="V970"/>
      <c r="W970"/>
      <c r="X970"/>
      <c r="Y970"/>
      <c r="Z970"/>
      <c r="AA970"/>
    </row>
    <row r="971" spans="2:27" s="25" customFormat="1" ht="15.75" customHeight="1" x14ac:dyDescent="0.2">
      <c r="B971" s="89"/>
      <c r="C971"/>
      <c r="D971"/>
      <c r="E971" s="69"/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  <c r="T971"/>
      <c r="U971"/>
      <c r="V971"/>
      <c r="W971"/>
      <c r="X971"/>
      <c r="Y971"/>
      <c r="Z971"/>
      <c r="AA971"/>
    </row>
    <row r="972" spans="2:27" s="25" customFormat="1" ht="15.75" customHeight="1" x14ac:dyDescent="0.2">
      <c r="B972" s="89"/>
      <c r="C972"/>
      <c r="D972"/>
      <c r="E972" s="69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  <c r="U972"/>
      <c r="V972"/>
      <c r="W972"/>
      <c r="X972"/>
      <c r="Y972"/>
      <c r="Z972"/>
      <c r="AA972"/>
    </row>
    <row r="973" spans="2:27" s="25" customFormat="1" ht="15.75" customHeight="1" x14ac:dyDescent="0.2">
      <c r="B973" s="89"/>
      <c r="C973"/>
      <c r="D973"/>
      <c r="E973" s="69"/>
      <c r="F973"/>
      <c r="G973"/>
      <c r="H973"/>
      <c r="I973"/>
      <c r="J973"/>
      <c r="K973"/>
      <c r="L973"/>
      <c r="M973"/>
      <c r="N973"/>
      <c r="O973"/>
      <c r="P973"/>
      <c r="Q973"/>
      <c r="R973"/>
      <c r="S973"/>
      <c r="T973"/>
      <c r="U973"/>
      <c r="V973"/>
      <c r="W973"/>
      <c r="X973"/>
      <c r="Y973"/>
      <c r="Z973"/>
      <c r="AA973"/>
    </row>
    <row r="974" spans="2:27" s="25" customFormat="1" ht="15.75" customHeight="1" x14ac:dyDescent="0.2">
      <c r="B974" s="89"/>
      <c r="C974"/>
      <c r="D974"/>
      <c r="E974" s="69"/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  <c r="T974"/>
      <c r="U974"/>
      <c r="V974"/>
      <c r="W974"/>
      <c r="X974"/>
      <c r="Y974"/>
      <c r="Z974"/>
      <c r="AA974"/>
    </row>
    <row r="975" spans="2:27" s="25" customFormat="1" ht="15.75" customHeight="1" x14ac:dyDescent="0.2">
      <c r="B975" s="89"/>
      <c r="C975"/>
      <c r="D975"/>
      <c r="E975" s="69"/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  <c r="U975"/>
      <c r="V975"/>
      <c r="W975"/>
      <c r="X975"/>
      <c r="Y975"/>
      <c r="Z975"/>
      <c r="AA975"/>
    </row>
    <row r="976" spans="2:27" s="25" customFormat="1" ht="15.75" customHeight="1" x14ac:dyDescent="0.2">
      <c r="B976" s="89"/>
      <c r="C976"/>
      <c r="D976"/>
      <c r="E976" s="69"/>
      <c r="F976"/>
      <c r="G976"/>
      <c r="H976"/>
      <c r="I976"/>
      <c r="J976"/>
      <c r="K976"/>
      <c r="L976"/>
      <c r="M976"/>
      <c r="N976"/>
      <c r="O976"/>
      <c r="P976"/>
      <c r="Q976"/>
      <c r="R976"/>
      <c r="S976"/>
      <c r="T976"/>
      <c r="U976"/>
      <c r="V976"/>
      <c r="W976"/>
      <c r="X976"/>
      <c r="Y976"/>
      <c r="Z976"/>
      <c r="AA976"/>
    </row>
    <row r="977" spans="2:27" s="25" customFormat="1" ht="15.75" customHeight="1" x14ac:dyDescent="0.2">
      <c r="B977" s="89"/>
      <c r="C977"/>
      <c r="D977"/>
      <c r="E977" s="69"/>
      <c r="F977"/>
      <c r="G977"/>
      <c r="H977"/>
      <c r="I977"/>
      <c r="J977"/>
      <c r="K977"/>
      <c r="L977"/>
      <c r="M977"/>
      <c r="N977"/>
      <c r="O977"/>
      <c r="P977"/>
      <c r="Q977"/>
      <c r="R977"/>
      <c r="S977"/>
      <c r="T977"/>
      <c r="U977"/>
      <c r="V977"/>
      <c r="W977"/>
      <c r="X977"/>
      <c r="Y977"/>
      <c r="Z977"/>
      <c r="AA977"/>
    </row>
    <row r="978" spans="2:27" s="25" customFormat="1" ht="15.75" customHeight="1" x14ac:dyDescent="0.2">
      <c r="B978" s="89"/>
      <c r="C978"/>
      <c r="D978"/>
      <c r="E978" s="69"/>
      <c r="F978"/>
      <c r="G978"/>
      <c r="H978"/>
      <c r="I978"/>
      <c r="J978"/>
      <c r="K978"/>
      <c r="L978"/>
      <c r="M978"/>
      <c r="N978"/>
      <c r="O978"/>
      <c r="P978"/>
      <c r="Q978"/>
      <c r="R978"/>
      <c r="S978"/>
      <c r="T978"/>
      <c r="U978"/>
      <c r="V978"/>
      <c r="W978"/>
      <c r="X978"/>
      <c r="Y978"/>
      <c r="Z978"/>
      <c r="AA978"/>
    </row>
    <row r="979" spans="2:27" s="25" customFormat="1" ht="15.75" customHeight="1" x14ac:dyDescent="0.2">
      <c r="B979" s="89"/>
      <c r="C979"/>
      <c r="D979"/>
      <c r="E979" s="69"/>
      <c r="F979"/>
      <c r="G979"/>
      <c r="H979"/>
      <c r="I979"/>
      <c r="J979"/>
      <c r="K979"/>
      <c r="L979"/>
      <c r="M979"/>
      <c r="N979"/>
      <c r="O979"/>
      <c r="P979"/>
      <c r="Q979"/>
      <c r="R979"/>
      <c r="S979"/>
      <c r="T979"/>
      <c r="U979"/>
      <c r="V979"/>
      <c r="W979"/>
      <c r="X979"/>
      <c r="Y979"/>
      <c r="Z979"/>
      <c r="AA979"/>
    </row>
    <row r="980" spans="2:27" s="25" customFormat="1" ht="15.75" customHeight="1" x14ac:dyDescent="0.2">
      <c r="B980" s="89"/>
      <c r="C980"/>
      <c r="D980"/>
      <c r="E980" s="69"/>
      <c r="F980"/>
      <c r="G980"/>
      <c r="H980"/>
      <c r="I980"/>
      <c r="J980"/>
      <c r="K980"/>
      <c r="L980"/>
      <c r="M980"/>
      <c r="N980"/>
      <c r="O980"/>
      <c r="P980"/>
      <c r="Q980"/>
      <c r="R980"/>
      <c r="S980"/>
      <c r="T980"/>
      <c r="U980"/>
      <c r="V980"/>
      <c r="W980"/>
      <c r="X980"/>
      <c r="Y980"/>
      <c r="Z980"/>
      <c r="AA980"/>
    </row>
    <row r="981" spans="2:27" s="25" customFormat="1" ht="15.75" customHeight="1" x14ac:dyDescent="0.2">
      <c r="B981" s="89"/>
      <c r="C981"/>
      <c r="D981"/>
      <c r="E981" s="69"/>
      <c r="F981"/>
      <c r="G981"/>
      <c r="H981"/>
      <c r="I981"/>
      <c r="J981"/>
      <c r="K981"/>
      <c r="L981"/>
      <c r="M981"/>
      <c r="N981"/>
      <c r="O981"/>
      <c r="P981"/>
      <c r="Q981"/>
      <c r="R981"/>
      <c r="S981"/>
      <c r="T981"/>
      <c r="U981"/>
      <c r="V981"/>
      <c r="W981"/>
      <c r="X981"/>
      <c r="Y981"/>
      <c r="Z981"/>
      <c r="AA981"/>
    </row>
    <row r="982" spans="2:27" s="25" customFormat="1" ht="15.75" customHeight="1" x14ac:dyDescent="0.2">
      <c r="B982" s="89"/>
      <c r="C982"/>
      <c r="D982"/>
      <c r="E982" s="69"/>
      <c r="F982"/>
      <c r="G982"/>
      <c r="H982"/>
      <c r="I982"/>
      <c r="J982"/>
      <c r="K982"/>
      <c r="L982"/>
      <c r="M982"/>
      <c r="N982"/>
      <c r="O982"/>
      <c r="P982"/>
      <c r="Q982"/>
      <c r="R982"/>
      <c r="S982"/>
      <c r="T982"/>
      <c r="U982"/>
      <c r="V982"/>
      <c r="W982"/>
      <c r="X982"/>
      <c r="Y982"/>
      <c r="Z982"/>
      <c r="AA982"/>
    </row>
    <row r="983" spans="2:27" s="25" customFormat="1" ht="15.75" customHeight="1" x14ac:dyDescent="0.2">
      <c r="B983" s="89"/>
      <c r="C983"/>
      <c r="D983"/>
      <c r="E983" s="69"/>
      <c r="F983"/>
      <c r="G983"/>
      <c r="H983"/>
      <c r="I983"/>
      <c r="J983"/>
      <c r="K983"/>
      <c r="L983"/>
      <c r="M983"/>
      <c r="N983"/>
      <c r="O983"/>
      <c r="P983"/>
      <c r="Q983"/>
      <c r="R983"/>
      <c r="S983"/>
      <c r="T983"/>
      <c r="U983"/>
      <c r="V983"/>
      <c r="W983"/>
      <c r="X983"/>
      <c r="Y983"/>
      <c r="Z983"/>
      <c r="AA983"/>
    </row>
    <row r="984" spans="2:27" s="25" customFormat="1" ht="15.75" customHeight="1" x14ac:dyDescent="0.2">
      <c r="B984" s="89"/>
      <c r="C984"/>
      <c r="D984"/>
      <c r="E984" s="69"/>
      <c r="F984"/>
      <c r="G984"/>
      <c r="H984"/>
      <c r="I984"/>
      <c r="J984"/>
      <c r="K984"/>
      <c r="L984"/>
      <c r="M984"/>
      <c r="N984"/>
      <c r="O984"/>
      <c r="P984"/>
      <c r="Q984"/>
      <c r="R984"/>
      <c r="S984"/>
      <c r="T984"/>
      <c r="U984"/>
      <c r="V984"/>
      <c r="W984"/>
      <c r="X984"/>
      <c r="Y984"/>
      <c r="Z984"/>
      <c r="AA984"/>
    </row>
    <row r="985" spans="2:27" s="25" customFormat="1" ht="15.75" customHeight="1" x14ac:dyDescent="0.2">
      <c r="B985" s="89"/>
      <c r="C985"/>
      <c r="D985"/>
      <c r="E985" s="69"/>
      <c r="F985"/>
      <c r="G985"/>
      <c r="H985"/>
      <c r="I985"/>
      <c r="J985"/>
      <c r="K985"/>
      <c r="L985"/>
      <c r="M985"/>
      <c r="N985"/>
      <c r="O985"/>
      <c r="P985"/>
      <c r="Q985"/>
      <c r="R985"/>
      <c r="S985"/>
      <c r="T985"/>
      <c r="U985"/>
      <c r="V985"/>
      <c r="W985"/>
      <c r="X985"/>
      <c r="Y985"/>
      <c r="Z985"/>
      <c r="AA985"/>
    </row>
    <row r="986" spans="2:27" s="25" customFormat="1" ht="15.75" customHeight="1" x14ac:dyDescent="0.2">
      <c r="B986" s="89"/>
      <c r="C986"/>
      <c r="D986"/>
      <c r="E986" s="69"/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  <c r="U986"/>
      <c r="V986"/>
      <c r="W986"/>
      <c r="X986"/>
      <c r="Y986"/>
      <c r="Z986"/>
      <c r="AA986"/>
    </row>
    <row r="987" spans="2:27" s="25" customFormat="1" ht="15.75" customHeight="1" x14ac:dyDescent="0.2">
      <c r="B987" s="89"/>
      <c r="C987"/>
      <c r="D987"/>
      <c r="E987" s="69"/>
      <c r="F987"/>
      <c r="G987"/>
      <c r="H987"/>
      <c r="I987"/>
      <c r="J987"/>
      <c r="K987"/>
      <c r="L987"/>
      <c r="M987"/>
      <c r="N987"/>
      <c r="O987"/>
      <c r="P987"/>
      <c r="Q987"/>
      <c r="R987"/>
      <c r="S987"/>
      <c r="T987"/>
      <c r="U987"/>
      <c r="V987"/>
      <c r="W987"/>
      <c r="X987"/>
      <c r="Y987"/>
      <c r="Z987"/>
      <c r="AA987"/>
    </row>
    <row r="988" spans="2:27" s="25" customFormat="1" ht="15.75" customHeight="1" x14ac:dyDescent="0.2">
      <c r="B988" s="89"/>
      <c r="C988"/>
      <c r="D988"/>
      <c r="E988" s="69"/>
      <c r="F988"/>
      <c r="G988"/>
      <c r="H988"/>
      <c r="I988"/>
      <c r="J988"/>
      <c r="K988"/>
      <c r="L988"/>
      <c r="M988"/>
      <c r="N988"/>
      <c r="O988"/>
      <c r="P988"/>
      <c r="Q988"/>
      <c r="R988"/>
      <c r="S988"/>
      <c r="T988"/>
      <c r="U988"/>
      <c r="V988"/>
      <c r="W988"/>
      <c r="X988"/>
      <c r="Y988"/>
      <c r="Z988"/>
      <c r="AA988"/>
    </row>
    <row r="989" spans="2:27" s="25" customFormat="1" ht="15.75" customHeight="1" x14ac:dyDescent="0.2">
      <c r="B989" s="89"/>
      <c r="C989"/>
      <c r="D989"/>
      <c r="E989" s="69"/>
      <c r="F989"/>
      <c r="G989"/>
      <c r="H989"/>
      <c r="I989"/>
      <c r="J989"/>
      <c r="K989"/>
      <c r="L989"/>
      <c r="M989"/>
      <c r="N989"/>
      <c r="O989"/>
      <c r="P989"/>
      <c r="Q989"/>
      <c r="R989"/>
      <c r="S989"/>
      <c r="T989"/>
      <c r="U989"/>
      <c r="V989"/>
      <c r="W989"/>
      <c r="X989"/>
      <c r="Y989"/>
      <c r="Z989"/>
      <c r="AA989"/>
    </row>
    <row r="990" spans="2:27" s="25" customFormat="1" ht="15.75" customHeight="1" x14ac:dyDescent="0.2">
      <c r="B990" s="89"/>
      <c r="C990"/>
      <c r="D990"/>
      <c r="E990" s="69"/>
      <c r="F990"/>
      <c r="G990"/>
      <c r="H990"/>
      <c r="I990"/>
      <c r="J990"/>
      <c r="K990"/>
      <c r="L990"/>
      <c r="M990"/>
      <c r="N990"/>
      <c r="O990"/>
      <c r="P990"/>
      <c r="Q990"/>
      <c r="R990"/>
      <c r="S990"/>
      <c r="T990"/>
      <c r="U990"/>
      <c r="V990"/>
      <c r="W990"/>
      <c r="X990"/>
      <c r="Y990"/>
      <c r="Z990"/>
      <c r="AA990"/>
    </row>
    <row r="991" spans="2:27" s="25" customFormat="1" ht="15.75" customHeight="1" x14ac:dyDescent="0.2">
      <c r="B991" s="89"/>
      <c r="C991"/>
      <c r="D991"/>
      <c r="E991" s="69"/>
      <c r="F991"/>
      <c r="G991"/>
      <c r="H991"/>
      <c r="I991"/>
      <c r="J991"/>
      <c r="K991"/>
      <c r="L991"/>
      <c r="M991"/>
      <c r="N991"/>
      <c r="O991"/>
      <c r="P991"/>
      <c r="Q991"/>
      <c r="R991"/>
      <c r="S991"/>
      <c r="T991"/>
      <c r="U991"/>
      <c r="V991"/>
      <c r="W991"/>
      <c r="X991"/>
      <c r="Y991"/>
      <c r="Z991"/>
      <c r="AA991"/>
    </row>
    <row r="992" spans="2:27" s="25" customFormat="1" ht="15.75" customHeight="1" x14ac:dyDescent="0.2">
      <c r="B992" s="89"/>
      <c r="C992"/>
      <c r="D992"/>
      <c r="E992" s="69"/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  <c r="T992"/>
      <c r="U992"/>
      <c r="V992"/>
      <c r="W992"/>
      <c r="X992"/>
      <c r="Y992"/>
      <c r="Z992"/>
      <c r="AA992"/>
    </row>
    <row r="993" spans="2:27" s="25" customFormat="1" ht="15.75" customHeight="1" x14ac:dyDescent="0.2">
      <c r="B993" s="89"/>
      <c r="C993"/>
      <c r="D993"/>
      <c r="E993" s="69"/>
      <c r="F993"/>
      <c r="G993"/>
      <c r="H993"/>
      <c r="I993"/>
      <c r="J993"/>
      <c r="K993"/>
      <c r="L993"/>
      <c r="M993"/>
      <c r="N993"/>
      <c r="O993"/>
      <c r="P993"/>
      <c r="Q993"/>
      <c r="R993"/>
      <c r="S993"/>
      <c r="T993"/>
      <c r="U993"/>
      <c r="V993"/>
      <c r="W993"/>
      <c r="X993"/>
      <c r="Y993"/>
      <c r="Z993"/>
      <c r="AA993"/>
    </row>
    <row r="994" spans="2:27" s="25" customFormat="1" ht="15.75" customHeight="1" x14ac:dyDescent="0.2">
      <c r="B994" s="89"/>
      <c r="C994"/>
      <c r="D994"/>
      <c r="E994" s="69"/>
      <c r="F994"/>
      <c r="G994"/>
      <c r="H994"/>
      <c r="I994"/>
      <c r="J994"/>
      <c r="K994"/>
      <c r="L994"/>
      <c r="M994"/>
      <c r="N994"/>
      <c r="O994"/>
      <c r="P994"/>
      <c r="Q994"/>
      <c r="R994"/>
      <c r="S994"/>
      <c r="T994"/>
      <c r="U994"/>
      <c r="V994"/>
      <c r="W994"/>
      <c r="X994"/>
      <c r="Y994"/>
      <c r="Z994"/>
      <c r="AA994"/>
    </row>
    <row r="995" spans="2:27" s="25" customFormat="1" ht="15.75" customHeight="1" x14ac:dyDescent="0.2">
      <c r="B995" s="89"/>
      <c r="C995"/>
      <c r="D995"/>
      <c r="E995" s="69"/>
      <c r="F995"/>
      <c r="G995"/>
      <c r="H995"/>
      <c r="I995"/>
      <c r="J995"/>
      <c r="K995"/>
      <c r="L995"/>
      <c r="M995"/>
      <c r="N995"/>
      <c r="O995"/>
      <c r="P995"/>
      <c r="Q995"/>
      <c r="R995"/>
      <c r="S995"/>
      <c r="T995"/>
      <c r="U995"/>
      <c r="V995"/>
      <c r="W995"/>
      <c r="X995"/>
      <c r="Y995"/>
      <c r="Z995"/>
      <c r="AA995"/>
    </row>
    <row r="996" spans="2:27" s="25" customFormat="1" ht="15.75" customHeight="1" x14ac:dyDescent="0.2">
      <c r="B996" s="89"/>
      <c r="C996"/>
      <c r="D996"/>
      <c r="E996" s="69"/>
      <c r="F996"/>
      <c r="G996"/>
      <c r="H996"/>
      <c r="I996"/>
      <c r="J996"/>
      <c r="K996"/>
      <c r="L996"/>
      <c r="M996"/>
      <c r="N996"/>
      <c r="O996"/>
      <c r="P996"/>
      <c r="Q996"/>
      <c r="R996"/>
      <c r="S996"/>
      <c r="T996"/>
      <c r="U996"/>
      <c r="V996"/>
      <c r="W996"/>
      <c r="X996"/>
      <c r="Y996"/>
      <c r="Z996"/>
      <c r="AA996"/>
    </row>
    <row r="997" spans="2:27" s="25" customFormat="1" ht="15.75" customHeight="1" x14ac:dyDescent="0.2">
      <c r="B997" s="89"/>
      <c r="C997"/>
      <c r="D997"/>
      <c r="E997" s="69"/>
      <c r="F997"/>
      <c r="G997"/>
      <c r="H997"/>
      <c r="I997"/>
      <c r="J997"/>
      <c r="K997"/>
      <c r="L997"/>
      <c r="M997"/>
      <c r="N997"/>
      <c r="O997"/>
      <c r="P997"/>
      <c r="Q997"/>
      <c r="R997"/>
      <c r="S997"/>
      <c r="T997"/>
      <c r="U997"/>
      <c r="V997"/>
      <c r="W997"/>
      <c r="X997"/>
      <c r="Y997"/>
      <c r="Z997"/>
      <c r="AA997"/>
    </row>
    <row r="998" spans="2:27" s="25" customFormat="1" ht="15.75" customHeight="1" x14ac:dyDescent="0.2">
      <c r="B998" s="89"/>
      <c r="C998"/>
      <c r="D998"/>
      <c r="E998" s="69"/>
      <c r="F998"/>
      <c r="G998"/>
      <c r="H998"/>
      <c r="I998"/>
      <c r="J998"/>
      <c r="K998"/>
      <c r="L998"/>
      <c r="M998"/>
      <c r="N998"/>
      <c r="O998"/>
      <c r="P998"/>
      <c r="Q998"/>
      <c r="R998"/>
      <c r="S998"/>
      <c r="T998"/>
      <c r="U998"/>
      <c r="V998"/>
      <c r="W998"/>
      <c r="X998"/>
      <c r="Y998"/>
      <c r="Z998"/>
      <c r="AA998"/>
    </row>
    <row r="999" spans="2:27" s="25" customFormat="1" ht="15.75" customHeight="1" x14ac:dyDescent="0.2">
      <c r="B999" s="89"/>
      <c r="C999"/>
      <c r="D999"/>
      <c r="E999" s="69"/>
      <c r="F999"/>
      <c r="G999"/>
      <c r="H999"/>
      <c r="I999"/>
      <c r="J999"/>
      <c r="K999"/>
      <c r="L999"/>
      <c r="M999"/>
      <c r="N999"/>
      <c r="O999"/>
      <c r="P999"/>
      <c r="Q999"/>
      <c r="R999"/>
      <c r="S999"/>
      <c r="T999"/>
      <c r="U999"/>
      <c r="V999"/>
      <c r="W999"/>
      <c r="X999"/>
      <c r="Y999"/>
      <c r="Z999"/>
      <c r="AA999"/>
    </row>
  </sheetData>
  <mergeCells count="11">
    <mergeCell ref="B7:E7"/>
    <mergeCell ref="F7:G7"/>
    <mergeCell ref="B8:E8"/>
    <mergeCell ref="F8:G8"/>
    <mergeCell ref="E1:E3"/>
    <mergeCell ref="B4:E4"/>
    <mergeCell ref="F4:G4"/>
    <mergeCell ref="B5:E5"/>
    <mergeCell ref="F5:G5"/>
    <mergeCell ref="B6:E6"/>
    <mergeCell ref="F6:G6"/>
  </mergeCells>
  <conditionalFormatting sqref="A4:B8 A9:H1048576">
    <cfRule type="expression" dxfId="59" priority="1">
      <formula>ISNUMBER(SEARCH("Holiday", $E4))</formula>
    </cfRule>
    <cfRule type="expression" dxfId="58" priority="2">
      <formula>AND(WEEKDAY($A4,2)&lt;6, $A4&lt;&gt;"")</formula>
    </cfRule>
  </conditionalFormatting>
  <conditionalFormatting sqref="A1:H3">
    <cfRule type="expression" dxfId="57" priority="25">
      <formula>ISNUMBER(SEARCH("Holiday", $E1))</formula>
    </cfRule>
    <cfRule type="expression" dxfId="56" priority="26">
      <formula>AND(WEEKDAY($A1,2)&lt;6, $A1&lt;&gt;"")</formula>
    </cfRule>
  </conditionalFormatting>
  <conditionalFormatting sqref="F4:H8">
    <cfRule type="expression" dxfId="55" priority="3">
      <formula>ISNUMBER(SEARCH("Holiday", $E4))</formula>
    </cfRule>
    <cfRule type="expression" dxfId="54" priority="4">
      <formula>AND(WEEKDAY($A4,2)&lt;6, $A4&lt;&gt;"")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64B26-BE89-4A52-91E8-0F7FDC805BB1}">
  <dimension ref="A1:AA995"/>
  <sheetViews>
    <sheetView workbookViewId="0">
      <selection activeCell="E34" sqref="E34"/>
    </sheetView>
  </sheetViews>
  <sheetFormatPr defaultColWidth="12.5" defaultRowHeight="14.25" x14ac:dyDescent="0.2"/>
  <cols>
    <col min="1" max="1" width="20.25" style="25" bestFit="1" customWidth="1"/>
    <col min="2" max="2" width="7.375" style="89" bestFit="1" customWidth="1"/>
    <col min="3" max="3" width="11" customWidth="1"/>
    <col min="4" max="4" width="11.25" customWidth="1"/>
    <col min="5" max="5" width="28" style="69" customWidth="1"/>
    <col min="7" max="7" width="12" customWidth="1"/>
    <col min="8" max="8" width="19" customWidth="1"/>
    <col min="9" max="9" width="7.75" customWidth="1"/>
    <col min="10" max="10" width="94.25" bestFit="1" customWidth="1"/>
    <col min="11" max="13" width="7.75" customWidth="1"/>
    <col min="14" max="14" width="9" customWidth="1"/>
    <col min="15" max="27" width="7.75" customWidth="1"/>
  </cols>
  <sheetData>
    <row r="1" spans="1:27" ht="17.25" customHeight="1" x14ac:dyDescent="0.25">
      <c r="A1" s="48"/>
      <c r="B1" s="81"/>
      <c r="C1" s="49"/>
      <c r="D1" s="49"/>
      <c r="E1" s="97" t="s">
        <v>0</v>
      </c>
      <c r="F1" s="50"/>
      <c r="G1" s="51"/>
      <c r="H1" s="52"/>
      <c r="K1" s="28"/>
      <c r="L1" s="28"/>
      <c r="M1" s="28"/>
      <c r="N1" s="28"/>
      <c r="O1" s="28"/>
      <c r="P1" s="28"/>
    </row>
    <row r="2" spans="1:27" ht="17.25" customHeight="1" x14ac:dyDescent="0.25">
      <c r="A2" s="53"/>
      <c r="B2" s="82"/>
      <c r="C2" s="54"/>
      <c r="D2" s="54"/>
      <c r="E2" s="98"/>
      <c r="F2" s="55"/>
      <c r="G2" s="56"/>
      <c r="H2" s="57"/>
      <c r="J2" s="26" t="s">
        <v>17</v>
      </c>
      <c r="K2" s="29"/>
      <c r="L2" s="29"/>
      <c r="M2" s="30"/>
      <c r="N2" s="31"/>
      <c r="O2" s="28"/>
      <c r="P2" s="28"/>
    </row>
    <row r="3" spans="1:27" ht="15.75" x14ac:dyDescent="0.25">
      <c r="A3" s="58"/>
      <c r="B3" s="83"/>
      <c r="C3" s="59"/>
      <c r="D3" s="59"/>
      <c r="E3" s="99"/>
      <c r="F3" s="60"/>
      <c r="G3" s="61"/>
      <c r="H3" s="62"/>
      <c r="J3" s="27" t="s">
        <v>18</v>
      </c>
      <c r="K3" s="29"/>
      <c r="L3" s="29"/>
      <c r="M3" s="32"/>
      <c r="N3" s="33"/>
      <c r="O3" s="34"/>
      <c r="P3" s="35"/>
    </row>
    <row r="4" spans="1:27" ht="15" x14ac:dyDescent="0.25">
      <c r="A4" s="21" t="s">
        <v>1</v>
      </c>
      <c r="B4" s="94"/>
      <c r="C4" s="95"/>
      <c r="D4" s="95"/>
      <c r="E4" s="96"/>
      <c r="F4" s="91" t="s">
        <v>2</v>
      </c>
      <c r="G4" s="92"/>
      <c r="H4" s="1"/>
      <c r="J4" s="25"/>
      <c r="K4" s="20"/>
      <c r="L4" s="20"/>
      <c r="M4" s="14"/>
      <c r="N4" s="15"/>
    </row>
    <row r="5" spans="1:27" ht="15" x14ac:dyDescent="0.25">
      <c r="A5" s="21" t="s">
        <v>43</v>
      </c>
      <c r="B5" s="94"/>
      <c r="C5" s="95"/>
      <c r="D5" s="95"/>
      <c r="E5" s="96"/>
      <c r="F5" s="91" t="s">
        <v>3</v>
      </c>
      <c r="G5" s="92"/>
      <c r="H5" s="1"/>
      <c r="J5" s="26" t="s">
        <v>19</v>
      </c>
      <c r="K5" s="19"/>
      <c r="L5" s="19"/>
      <c r="M5" s="14"/>
      <c r="N5" s="15"/>
    </row>
    <row r="6" spans="1:27" ht="15" x14ac:dyDescent="0.25">
      <c r="A6" s="21" t="s">
        <v>4</v>
      </c>
      <c r="B6" s="94"/>
      <c r="C6" s="95"/>
      <c r="D6" s="95"/>
      <c r="E6" s="96"/>
      <c r="F6" s="91" t="s">
        <v>6</v>
      </c>
      <c r="G6" s="92"/>
      <c r="H6" s="1"/>
      <c r="J6" s="26" t="s">
        <v>30</v>
      </c>
      <c r="K6" s="19"/>
      <c r="L6" s="19"/>
      <c r="M6" s="14"/>
      <c r="N6" s="15"/>
    </row>
    <row r="7" spans="1:27" ht="15" x14ac:dyDescent="0.25">
      <c r="A7" s="21" t="s">
        <v>5</v>
      </c>
      <c r="B7" s="94"/>
      <c r="C7" s="95"/>
      <c r="D7" s="95"/>
      <c r="E7" s="96"/>
      <c r="F7" s="91" t="s">
        <v>8</v>
      </c>
      <c r="G7" s="92"/>
      <c r="H7" s="1"/>
    </row>
    <row r="8" spans="1:27" ht="15" x14ac:dyDescent="0.25">
      <c r="A8" s="21" t="s">
        <v>7</v>
      </c>
      <c r="B8" s="94"/>
      <c r="C8" s="95"/>
      <c r="D8" s="95"/>
      <c r="E8" s="96"/>
      <c r="F8" s="93"/>
      <c r="G8" s="92"/>
      <c r="H8" s="2"/>
    </row>
    <row r="9" spans="1:27" ht="15" x14ac:dyDescent="0.25">
      <c r="A9" s="78"/>
      <c r="B9" s="84"/>
      <c r="C9" s="77"/>
      <c r="D9" s="77"/>
      <c r="E9" s="77"/>
      <c r="F9" s="77"/>
      <c r="G9" s="77"/>
      <c r="H9" s="77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ht="15" x14ac:dyDescent="0.25">
      <c r="A10" s="40" t="s">
        <v>9</v>
      </c>
      <c r="B10" s="85" t="s">
        <v>31</v>
      </c>
      <c r="C10" s="41" t="s">
        <v>10</v>
      </c>
      <c r="D10" s="41" t="s">
        <v>11</v>
      </c>
      <c r="E10" s="42" t="s">
        <v>12</v>
      </c>
      <c r="F10" s="43" t="s">
        <v>13</v>
      </c>
      <c r="G10" s="42" t="s">
        <v>14</v>
      </c>
      <c r="H10" s="42" t="s">
        <v>15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1:27" s="37" customFormat="1" ht="15" x14ac:dyDescent="0.25">
      <c r="A11" s="75">
        <f>'March 2026'!A56+1</f>
        <v>46113</v>
      </c>
      <c r="B11" s="79">
        <f>WEEKNUM(A11, 2)</f>
        <v>14</v>
      </c>
      <c r="C11" s="71"/>
      <c r="D11" s="71"/>
      <c r="E11" s="76"/>
      <c r="F11" s="73"/>
      <c r="G11" s="73"/>
      <c r="H11" s="73">
        <f t="shared" ref="H11" si="0">SUM(F11:G11)</f>
        <v>0</v>
      </c>
    </row>
    <row r="12" spans="1:27" s="37" customFormat="1" ht="15" x14ac:dyDescent="0.25">
      <c r="A12" s="70">
        <f>A11+1</f>
        <v>46114</v>
      </c>
      <c r="B12" s="79">
        <f t="shared" ref="B12:B15" si="1">WEEKNUM(A12, 2)</f>
        <v>14</v>
      </c>
      <c r="C12" s="71"/>
      <c r="D12" s="71"/>
      <c r="E12" s="72"/>
      <c r="F12" s="73"/>
      <c r="G12" s="73"/>
      <c r="H12" s="73">
        <f>SUM(F12:G12)</f>
        <v>0</v>
      </c>
    </row>
    <row r="13" spans="1:27" s="37" customFormat="1" ht="15" x14ac:dyDescent="0.25">
      <c r="A13" s="70">
        <f>A12+1</f>
        <v>46115</v>
      </c>
      <c r="B13" s="79">
        <f t="shared" si="1"/>
        <v>14</v>
      </c>
      <c r="C13" s="71"/>
      <c r="D13" s="71"/>
      <c r="E13" s="72" t="s">
        <v>21</v>
      </c>
      <c r="F13" s="73"/>
      <c r="G13" s="73"/>
      <c r="H13" s="73">
        <f t="shared" ref="H13:H15" si="2">SUM(F13:G13)</f>
        <v>0</v>
      </c>
    </row>
    <row r="14" spans="1:27" s="37" customFormat="1" ht="15" x14ac:dyDescent="0.25">
      <c r="A14" s="70">
        <f t="shared" ref="A14:A15" si="3">A13+1</f>
        <v>46116</v>
      </c>
      <c r="B14" s="79">
        <f t="shared" si="1"/>
        <v>14</v>
      </c>
      <c r="C14" s="71"/>
      <c r="D14" s="71"/>
      <c r="E14" s="72"/>
      <c r="F14" s="73"/>
      <c r="G14" s="73"/>
      <c r="H14" s="73">
        <f t="shared" si="2"/>
        <v>0</v>
      </c>
    </row>
    <row r="15" spans="1:27" ht="15.75" customHeight="1" x14ac:dyDescent="0.25">
      <c r="A15" s="70">
        <f t="shared" si="3"/>
        <v>46117</v>
      </c>
      <c r="B15" s="79">
        <f t="shared" si="1"/>
        <v>14</v>
      </c>
      <c r="C15" s="71"/>
      <c r="D15" s="71"/>
      <c r="E15" s="72"/>
      <c r="F15" s="73"/>
      <c r="G15" s="73"/>
      <c r="H15" s="73">
        <f t="shared" si="2"/>
        <v>0</v>
      </c>
    </row>
    <row r="16" spans="1:27" s="28" customFormat="1" ht="15.75" customHeight="1" x14ac:dyDescent="0.2">
      <c r="A16" s="44" t="s">
        <v>35</v>
      </c>
      <c r="B16" s="80"/>
      <c r="C16" s="45"/>
      <c r="D16" s="45"/>
      <c r="E16" s="63"/>
      <c r="F16" s="46">
        <f ca="1">SUMIF($B:$E,RIGHT($A16,2),F:F)</f>
        <v>0</v>
      </c>
      <c r="G16" s="46">
        <f ca="1">SUMIF($B:$E,RIGHT($A16,2),G:G)</f>
        <v>0</v>
      </c>
      <c r="H16" s="47">
        <f ca="1">SUMIF($B:$E,RIGHT($A16,2),H:H)</f>
        <v>0</v>
      </c>
    </row>
    <row r="17" spans="1:27" s="28" customFormat="1" ht="15.75" customHeight="1" x14ac:dyDescent="0.2">
      <c r="A17" s="36"/>
      <c r="B17" s="86"/>
      <c r="C17" s="34"/>
      <c r="D17" s="34"/>
      <c r="E17" s="64"/>
      <c r="F17" s="38"/>
      <c r="G17" s="38"/>
      <c r="H17" s="39"/>
    </row>
    <row r="18" spans="1:27" ht="15" x14ac:dyDescent="0.25">
      <c r="A18" s="40" t="s">
        <v>9</v>
      </c>
      <c r="B18" s="85" t="s">
        <v>31</v>
      </c>
      <c r="C18" s="41" t="s">
        <v>10</v>
      </c>
      <c r="D18" s="41" t="s">
        <v>11</v>
      </c>
      <c r="E18" s="42" t="s">
        <v>12</v>
      </c>
      <c r="F18" s="43" t="s">
        <v>13</v>
      </c>
      <c r="G18" s="42" t="s">
        <v>14</v>
      </c>
      <c r="H18" s="42" t="s">
        <v>15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spans="1:27" ht="15.75" customHeight="1" x14ac:dyDescent="0.25">
      <c r="A19" s="70">
        <f>A15+1</f>
        <v>46118</v>
      </c>
      <c r="B19" s="79">
        <f>WEEKNUM(A19, 2)</f>
        <v>15</v>
      </c>
      <c r="C19" s="71"/>
      <c r="D19" s="71"/>
      <c r="E19" s="74"/>
      <c r="F19" s="73"/>
      <c r="G19" s="73"/>
      <c r="H19" s="73">
        <f>SUM(F19:G19)</f>
        <v>0</v>
      </c>
    </row>
    <row r="20" spans="1:27" ht="15.75" customHeight="1" x14ac:dyDescent="0.25">
      <c r="A20" s="70">
        <f>A19+1</f>
        <v>46119</v>
      </c>
      <c r="B20" s="79">
        <f t="shared" ref="B20:B25" si="4">WEEKNUM(A20, 2)</f>
        <v>15</v>
      </c>
      <c r="C20" s="71"/>
      <c r="D20" s="71"/>
      <c r="E20" s="72"/>
      <c r="F20" s="73"/>
      <c r="G20" s="73"/>
      <c r="H20" s="73">
        <f>SUM(F20:G20)</f>
        <v>0</v>
      </c>
    </row>
    <row r="21" spans="1:27" ht="15.75" customHeight="1" x14ac:dyDescent="0.25">
      <c r="A21" s="70">
        <f>A20+1</f>
        <v>46120</v>
      </c>
      <c r="B21" s="79">
        <f t="shared" si="4"/>
        <v>15</v>
      </c>
      <c r="C21" s="71"/>
      <c r="D21" s="71"/>
      <c r="E21" s="74"/>
      <c r="F21" s="73"/>
      <c r="G21" s="73"/>
      <c r="H21" s="73">
        <f t="shared" ref="H21:H25" si="5">SUM(F21:G21)</f>
        <v>0</v>
      </c>
    </row>
    <row r="22" spans="1:27" ht="15.75" customHeight="1" x14ac:dyDescent="0.25">
      <c r="A22" s="70">
        <f t="shared" ref="A22:A25" si="6">A21+1</f>
        <v>46121</v>
      </c>
      <c r="B22" s="79">
        <f t="shared" si="4"/>
        <v>15</v>
      </c>
      <c r="C22" s="71"/>
      <c r="D22" s="71"/>
      <c r="E22" s="72"/>
      <c r="F22" s="73"/>
      <c r="G22" s="73"/>
      <c r="H22" s="73">
        <f t="shared" si="5"/>
        <v>0</v>
      </c>
    </row>
    <row r="23" spans="1:27" ht="15.75" customHeight="1" x14ac:dyDescent="0.25">
      <c r="A23" s="70">
        <f>A22+1</f>
        <v>46122</v>
      </c>
      <c r="B23" s="79">
        <f t="shared" si="4"/>
        <v>15</v>
      </c>
      <c r="C23" s="71"/>
      <c r="D23" s="71"/>
      <c r="E23" s="74"/>
      <c r="F23" s="73"/>
      <c r="G23" s="73"/>
      <c r="H23" s="73">
        <f t="shared" si="5"/>
        <v>0</v>
      </c>
    </row>
    <row r="24" spans="1:27" ht="15.75" customHeight="1" x14ac:dyDescent="0.25">
      <c r="A24" s="70">
        <f t="shared" si="6"/>
        <v>46123</v>
      </c>
      <c r="B24" s="79">
        <f>WEEKNUM(A24, 2)</f>
        <v>15</v>
      </c>
      <c r="C24" s="71"/>
      <c r="D24" s="71"/>
      <c r="E24" s="72"/>
      <c r="F24" s="73"/>
      <c r="G24" s="73"/>
      <c r="H24" s="73">
        <f t="shared" si="5"/>
        <v>0</v>
      </c>
    </row>
    <row r="25" spans="1:27" ht="15.75" customHeight="1" x14ac:dyDescent="0.25">
      <c r="A25" s="70">
        <f t="shared" si="6"/>
        <v>46124</v>
      </c>
      <c r="B25" s="79">
        <f t="shared" si="4"/>
        <v>15</v>
      </c>
      <c r="C25" s="71"/>
      <c r="D25" s="71"/>
      <c r="E25" s="72"/>
      <c r="F25" s="73"/>
      <c r="G25" s="73"/>
      <c r="H25" s="73">
        <f t="shared" si="5"/>
        <v>0</v>
      </c>
    </row>
    <row r="26" spans="1:27" s="28" customFormat="1" ht="15.75" customHeight="1" x14ac:dyDescent="0.2">
      <c r="A26" s="44" t="str">
        <f>"Total of Week "&amp;RIGHT(A16,2)+1</f>
        <v>Total of Week 15</v>
      </c>
      <c r="B26" s="80"/>
      <c r="C26" s="45"/>
      <c r="D26" s="45"/>
      <c r="E26" s="63"/>
      <c r="F26" s="46">
        <f ca="1">SUMIF($B:$E,RIGHT($A26,2),F:F)</f>
        <v>0</v>
      </c>
      <c r="G26" s="46">
        <f ca="1">SUMIF($B:$E,RIGHT($A26,2),G:G)</f>
        <v>0</v>
      </c>
      <c r="H26" s="47">
        <f ca="1">SUMIF($B:$E,RIGHT($A26,2),H:H)</f>
        <v>0</v>
      </c>
    </row>
    <row r="27" spans="1:27" ht="15.75" customHeight="1" x14ac:dyDescent="0.25">
      <c r="A27" s="22"/>
      <c r="B27" s="87"/>
      <c r="C27" s="5"/>
      <c r="D27" s="5"/>
      <c r="E27" s="65"/>
      <c r="F27" s="6"/>
      <c r="G27" s="5"/>
      <c r="H27" s="7"/>
    </row>
    <row r="28" spans="1:27" ht="15" x14ac:dyDescent="0.25">
      <c r="A28" s="40" t="s">
        <v>9</v>
      </c>
      <c r="B28" s="85" t="s">
        <v>31</v>
      </c>
      <c r="C28" s="41" t="s">
        <v>10</v>
      </c>
      <c r="D28" s="41" t="s">
        <v>11</v>
      </c>
      <c r="E28" s="42" t="s">
        <v>12</v>
      </c>
      <c r="F28" s="43" t="s">
        <v>13</v>
      </c>
      <c r="G28" s="42" t="s">
        <v>14</v>
      </c>
      <c r="H28" s="42" t="s">
        <v>15</v>
      </c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spans="1:27" ht="15.75" customHeight="1" x14ac:dyDescent="0.25">
      <c r="A29" s="70">
        <f>A25+1</f>
        <v>46125</v>
      </c>
      <c r="B29" s="79">
        <f>WEEKNUM(A29, 2)</f>
        <v>16</v>
      </c>
      <c r="C29" s="71"/>
      <c r="D29" s="71"/>
      <c r="E29" s="74"/>
      <c r="F29" s="73"/>
      <c r="G29" s="73"/>
      <c r="H29" s="73">
        <f>SUM(F29:G29)</f>
        <v>0</v>
      </c>
    </row>
    <row r="30" spans="1:27" ht="15.75" customHeight="1" x14ac:dyDescent="0.25">
      <c r="A30" s="70">
        <f>A29+1</f>
        <v>46126</v>
      </c>
      <c r="B30" s="79">
        <f t="shared" ref="B30:B35" si="7">WEEKNUM(A30, 2)</f>
        <v>16</v>
      </c>
      <c r="C30" s="71"/>
      <c r="D30" s="71"/>
      <c r="E30" s="72"/>
      <c r="F30" s="73"/>
      <c r="G30" s="73"/>
      <c r="H30" s="73">
        <f>SUM(F30:G30)</f>
        <v>0</v>
      </c>
    </row>
    <row r="31" spans="1:27" ht="15.75" customHeight="1" x14ac:dyDescent="0.25">
      <c r="A31" s="70">
        <f>A30+1</f>
        <v>46127</v>
      </c>
      <c r="B31" s="79">
        <f t="shared" si="7"/>
        <v>16</v>
      </c>
      <c r="C31" s="71"/>
      <c r="D31" s="71"/>
      <c r="E31" s="74"/>
      <c r="F31" s="73"/>
      <c r="G31" s="73"/>
      <c r="H31" s="73">
        <f t="shared" ref="H31:H35" si="8">SUM(F31:G31)</f>
        <v>0</v>
      </c>
    </row>
    <row r="32" spans="1:27" ht="15.75" customHeight="1" x14ac:dyDescent="0.25">
      <c r="A32" s="70">
        <f t="shared" ref="A32:A35" si="9">A31+1</f>
        <v>46128</v>
      </c>
      <c r="B32" s="79">
        <f t="shared" si="7"/>
        <v>16</v>
      </c>
      <c r="C32" s="71"/>
      <c r="D32" s="71"/>
      <c r="E32" s="72"/>
      <c r="F32" s="73"/>
      <c r="G32" s="73"/>
      <c r="H32" s="73">
        <f t="shared" si="8"/>
        <v>0</v>
      </c>
    </row>
    <row r="33" spans="1:27" ht="15.75" customHeight="1" x14ac:dyDescent="0.25">
      <c r="A33" s="70">
        <f>A32+1</f>
        <v>46129</v>
      </c>
      <c r="B33" s="79">
        <f t="shared" si="7"/>
        <v>16</v>
      </c>
      <c r="C33" s="71"/>
      <c r="D33" s="71"/>
      <c r="E33" s="74"/>
      <c r="F33" s="73"/>
      <c r="G33" s="73"/>
      <c r="H33" s="73">
        <f t="shared" si="8"/>
        <v>0</v>
      </c>
    </row>
    <row r="34" spans="1:27" ht="15.75" customHeight="1" x14ac:dyDescent="0.25">
      <c r="A34" s="70">
        <f t="shared" si="9"/>
        <v>46130</v>
      </c>
      <c r="B34" s="79">
        <f>WEEKNUM(A34, 2)</f>
        <v>16</v>
      </c>
      <c r="C34" s="71"/>
      <c r="D34" s="71"/>
      <c r="E34" s="72"/>
      <c r="F34" s="73"/>
      <c r="G34" s="73"/>
      <c r="H34" s="73">
        <f t="shared" si="8"/>
        <v>0</v>
      </c>
    </row>
    <row r="35" spans="1:27" ht="15.75" customHeight="1" x14ac:dyDescent="0.25">
      <c r="A35" s="70">
        <f t="shared" si="9"/>
        <v>46131</v>
      </c>
      <c r="B35" s="79">
        <f t="shared" si="7"/>
        <v>16</v>
      </c>
      <c r="C35" s="71"/>
      <c r="D35" s="71"/>
      <c r="E35" s="72"/>
      <c r="F35" s="73"/>
      <c r="G35" s="73"/>
      <c r="H35" s="73">
        <f t="shared" si="8"/>
        <v>0</v>
      </c>
    </row>
    <row r="36" spans="1:27" s="28" customFormat="1" ht="15.75" customHeight="1" x14ac:dyDescent="0.2">
      <c r="A36" s="44" t="str">
        <f>"Total of Week "&amp;RIGHT(A26,2)+1</f>
        <v>Total of Week 16</v>
      </c>
      <c r="B36" s="80"/>
      <c r="C36" s="45"/>
      <c r="D36" s="45"/>
      <c r="E36" s="63"/>
      <c r="F36" s="46">
        <f ca="1">SUMIF($B:$E,RIGHT($A36,2),F:F)</f>
        <v>0</v>
      </c>
      <c r="G36" s="46">
        <f ca="1">SUMIF($B:$E,RIGHT($A36,2),G:G)</f>
        <v>0</v>
      </c>
      <c r="H36" s="47">
        <f ca="1">SUMIF($B:$E,RIGHT($A36,2),H:H)</f>
        <v>0</v>
      </c>
    </row>
    <row r="37" spans="1:27" ht="15.75" customHeight="1" x14ac:dyDescent="0.25">
      <c r="A37" s="22"/>
      <c r="B37" s="87"/>
      <c r="C37" s="5"/>
      <c r="D37" s="5"/>
      <c r="E37" s="65"/>
      <c r="F37" s="6"/>
      <c r="G37" s="5"/>
      <c r="H37" s="7"/>
    </row>
    <row r="38" spans="1:27" ht="15" x14ac:dyDescent="0.25">
      <c r="A38" s="40" t="s">
        <v>9</v>
      </c>
      <c r="B38" s="85" t="s">
        <v>31</v>
      </c>
      <c r="C38" s="41" t="s">
        <v>10</v>
      </c>
      <c r="D38" s="41" t="s">
        <v>11</v>
      </c>
      <c r="E38" s="42" t="s">
        <v>12</v>
      </c>
      <c r="F38" s="43" t="s">
        <v>13</v>
      </c>
      <c r="G38" s="42" t="s">
        <v>14</v>
      </c>
      <c r="H38" s="42" t="s">
        <v>15</v>
      </c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spans="1:27" ht="15.75" customHeight="1" x14ac:dyDescent="0.25">
      <c r="A39" s="70">
        <f>A35+1</f>
        <v>46132</v>
      </c>
      <c r="B39" s="79">
        <f>WEEKNUM(A39, 2)</f>
        <v>17</v>
      </c>
      <c r="C39" s="71"/>
      <c r="D39" s="71"/>
      <c r="E39" s="74"/>
      <c r="F39" s="73"/>
      <c r="G39" s="73"/>
      <c r="H39" s="73">
        <f>SUM(F39:G39)</f>
        <v>0</v>
      </c>
    </row>
    <row r="40" spans="1:27" ht="15.75" customHeight="1" x14ac:dyDescent="0.25">
      <c r="A40" s="70">
        <f>A39+1</f>
        <v>46133</v>
      </c>
      <c r="B40" s="79">
        <f t="shared" ref="B40:B45" si="10">WEEKNUM(A40, 2)</f>
        <v>17</v>
      </c>
      <c r="C40" s="71"/>
      <c r="D40" s="71"/>
      <c r="E40" s="72"/>
      <c r="F40" s="73"/>
      <c r="G40" s="73"/>
      <c r="H40" s="73">
        <f>SUM(F40:G40)</f>
        <v>0</v>
      </c>
    </row>
    <row r="41" spans="1:27" ht="15.75" customHeight="1" x14ac:dyDescent="0.25">
      <c r="A41" s="70">
        <f>A40+1</f>
        <v>46134</v>
      </c>
      <c r="B41" s="79">
        <f t="shared" si="10"/>
        <v>17</v>
      </c>
      <c r="C41" s="71"/>
      <c r="D41" s="71"/>
      <c r="E41" s="74"/>
      <c r="F41" s="73"/>
      <c r="G41" s="73"/>
      <c r="H41" s="73">
        <f t="shared" ref="H41:H45" si="11">SUM(F41:G41)</f>
        <v>0</v>
      </c>
    </row>
    <row r="42" spans="1:27" ht="15.75" customHeight="1" x14ac:dyDescent="0.25">
      <c r="A42" s="70">
        <f t="shared" ref="A42:A45" si="12">A41+1</f>
        <v>46135</v>
      </c>
      <c r="B42" s="79">
        <f t="shared" si="10"/>
        <v>17</v>
      </c>
      <c r="C42" s="71"/>
      <c r="D42" s="71"/>
      <c r="E42" s="72"/>
      <c r="F42" s="73"/>
      <c r="G42" s="73"/>
      <c r="H42" s="73">
        <f t="shared" si="11"/>
        <v>0</v>
      </c>
    </row>
    <row r="43" spans="1:27" ht="15.75" customHeight="1" x14ac:dyDescent="0.25">
      <c r="A43" s="70">
        <f>A42+1</f>
        <v>46136</v>
      </c>
      <c r="B43" s="79">
        <f t="shared" si="10"/>
        <v>17</v>
      </c>
      <c r="C43" s="71"/>
      <c r="D43" s="71"/>
      <c r="E43" s="74"/>
      <c r="F43" s="73"/>
      <c r="G43" s="73"/>
      <c r="H43" s="73">
        <f t="shared" si="11"/>
        <v>0</v>
      </c>
    </row>
    <row r="44" spans="1:27" ht="15.75" customHeight="1" x14ac:dyDescent="0.25">
      <c r="A44" s="70">
        <f t="shared" si="12"/>
        <v>46137</v>
      </c>
      <c r="B44" s="79">
        <f>WEEKNUM(A44, 2)</f>
        <v>17</v>
      </c>
      <c r="C44" s="71"/>
      <c r="D44" s="71"/>
      <c r="E44" s="72"/>
      <c r="F44" s="73"/>
      <c r="G44" s="73"/>
      <c r="H44" s="73">
        <f t="shared" si="11"/>
        <v>0</v>
      </c>
    </row>
    <row r="45" spans="1:27" ht="15.75" customHeight="1" x14ac:dyDescent="0.25">
      <c r="A45" s="70">
        <f t="shared" si="12"/>
        <v>46138</v>
      </c>
      <c r="B45" s="79">
        <f t="shared" si="10"/>
        <v>17</v>
      </c>
      <c r="C45" s="71"/>
      <c r="D45" s="71"/>
      <c r="E45" s="72"/>
      <c r="F45" s="73"/>
      <c r="G45" s="73"/>
      <c r="H45" s="73">
        <f t="shared" si="11"/>
        <v>0</v>
      </c>
    </row>
    <row r="46" spans="1:27" s="28" customFormat="1" ht="15.75" customHeight="1" x14ac:dyDescent="0.2">
      <c r="A46" s="44" t="str">
        <f>"Total of Week "&amp;RIGHT(A36,2)+1</f>
        <v>Total of Week 17</v>
      </c>
      <c r="B46" s="80"/>
      <c r="C46" s="45"/>
      <c r="D46" s="45"/>
      <c r="E46" s="63"/>
      <c r="F46" s="46">
        <f ca="1">SUMIF($B:$E,RIGHT($A46,2),F:F)</f>
        <v>0</v>
      </c>
      <c r="G46" s="46">
        <f ca="1">SUMIF($B:$E,RIGHT($A46,2),G:G)</f>
        <v>0</v>
      </c>
      <c r="H46" s="47">
        <f ca="1">SUMIF($B:$E,RIGHT($A46,2),H:H)</f>
        <v>0</v>
      </c>
    </row>
    <row r="47" spans="1:27" ht="15.75" customHeight="1" x14ac:dyDescent="0.25">
      <c r="A47" s="22"/>
      <c r="B47" s="87"/>
      <c r="C47" s="5"/>
      <c r="D47" s="5"/>
      <c r="E47" s="65"/>
      <c r="F47" s="6"/>
      <c r="G47" s="5"/>
      <c r="H47" s="7"/>
    </row>
    <row r="48" spans="1:27" ht="15" x14ac:dyDescent="0.25">
      <c r="A48" s="40" t="s">
        <v>9</v>
      </c>
      <c r="B48" s="85" t="s">
        <v>31</v>
      </c>
      <c r="C48" s="41" t="s">
        <v>10</v>
      </c>
      <c r="D48" s="41" t="s">
        <v>11</v>
      </c>
      <c r="E48" s="42" t="s">
        <v>12</v>
      </c>
      <c r="F48" s="43" t="s">
        <v>13</v>
      </c>
      <c r="G48" s="42" t="s">
        <v>14</v>
      </c>
      <c r="H48" s="42" t="s">
        <v>15</v>
      </c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spans="1:27" ht="15.75" customHeight="1" x14ac:dyDescent="0.25">
      <c r="A49" s="70">
        <f>A45+1</f>
        <v>46139</v>
      </c>
      <c r="B49" s="79">
        <f>WEEKNUM(A49, 2)</f>
        <v>18</v>
      </c>
      <c r="C49" s="71"/>
      <c r="D49" s="71"/>
      <c r="E49" s="74"/>
      <c r="F49" s="73"/>
      <c r="G49" s="73"/>
      <c r="H49" s="73">
        <f>SUM(F49:G49)</f>
        <v>0</v>
      </c>
    </row>
    <row r="50" spans="1:27" ht="15.75" customHeight="1" x14ac:dyDescent="0.25">
      <c r="A50" s="70">
        <f>A49+1</f>
        <v>46140</v>
      </c>
      <c r="B50" s="79">
        <f t="shared" ref="B50:B52" si="13">WEEKNUM(A50, 2)</f>
        <v>18</v>
      </c>
      <c r="C50" s="71"/>
      <c r="D50" s="71"/>
      <c r="E50" s="72"/>
      <c r="F50" s="73"/>
      <c r="G50" s="73"/>
      <c r="H50" s="73">
        <f>SUM(F50:G50)</f>
        <v>0</v>
      </c>
    </row>
    <row r="51" spans="1:27" ht="15.75" customHeight="1" x14ac:dyDescent="0.25">
      <c r="A51" s="70">
        <f>A50+1</f>
        <v>46141</v>
      </c>
      <c r="B51" s="79">
        <f t="shared" si="13"/>
        <v>18</v>
      </c>
      <c r="C51" s="71"/>
      <c r="D51" s="71"/>
      <c r="E51" s="74"/>
      <c r="F51" s="73"/>
      <c r="G51" s="73"/>
      <c r="H51" s="73">
        <f t="shared" ref="H51:H52" si="14">SUM(F51:G51)</f>
        <v>0</v>
      </c>
    </row>
    <row r="52" spans="1:27" ht="15.75" customHeight="1" x14ac:dyDescent="0.25">
      <c r="A52" s="70">
        <f t="shared" ref="A52" si="15">A51+1</f>
        <v>46142</v>
      </c>
      <c r="B52" s="79">
        <f t="shared" si="13"/>
        <v>18</v>
      </c>
      <c r="C52" s="71"/>
      <c r="D52" s="71"/>
      <c r="E52" s="72"/>
      <c r="F52" s="73"/>
      <c r="G52" s="73"/>
      <c r="H52" s="73">
        <f t="shared" si="14"/>
        <v>0</v>
      </c>
    </row>
    <row r="53" spans="1:27" s="28" customFormat="1" ht="15.75" customHeight="1" x14ac:dyDescent="0.2">
      <c r="A53" s="44" t="str">
        <f>"Total of Week "&amp;RIGHT(A46,2)+1</f>
        <v>Total of Week 18</v>
      </c>
      <c r="B53" s="80"/>
      <c r="C53" s="45"/>
      <c r="D53" s="45"/>
      <c r="E53" s="63"/>
      <c r="F53" s="46">
        <f ca="1">SUMIF($B:$E,RIGHT($A53,2),F:F)</f>
        <v>0</v>
      </c>
      <c r="G53" s="46">
        <f ca="1">SUMIF($B:$E,RIGHT($A53,2),G:G)</f>
        <v>0</v>
      </c>
      <c r="H53" s="47">
        <f ca="1">SUMIF($B:$E,RIGHT($A53,2),H:H)</f>
        <v>0</v>
      </c>
    </row>
    <row r="54" spans="1:27" ht="12" customHeight="1" x14ac:dyDescent="0.25">
      <c r="A54" s="23"/>
      <c r="B54" s="84"/>
      <c r="C54" s="8"/>
      <c r="D54" s="8"/>
      <c r="E54" s="66"/>
      <c r="F54" s="9"/>
      <c r="G54" s="9"/>
      <c r="H54" s="10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 ht="15.75" customHeight="1" x14ac:dyDescent="0.25">
      <c r="A55" s="24" t="s">
        <v>16</v>
      </c>
      <c r="B55" s="88"/>
      <c r="C55" s="11"/>
      <c r="D55" s="11"/>
      <c r="E55" s="67"/>
      <c r="F55" s="12"/>
      <c r="G55" s="11"/>
      <c r="H55" s="13">
        <f ca="1">SUMIF(A7:A54,"*Total of week*",H7:H54)</f>
        <v>0</v>
      </c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1:27" ht="15.75" customHeight="1" x14ac:dyDescent="0.25">
      <c r="E56" s="4"/>
      <c r="F56" s="15"/>
      <c r="O56" s="3"/>
      <c r="P56" s="3"/>
      <c r="R56" s="3"/>
    </row>
    <row r="57" spans="1:27" ht="15.75" customHeight="1" x14ac:dyDescent="0.25">
      <c r="E57" s="4"/>
      <c r="F57" s="15"/>
      <c r="O57" s="3"/>
    </row>
    <row r="58" spans="1:27" ht="15.75" customHeight="1" x14ac:dyDescent="0.25">
      <c r="A58" s="26"/>
      <c r="B58" s="90"/>
      <c r="C58" s="17"/>
      <c r="D58" s="16"/>
      <c r="E58" s="4"/>
      <c r="F58" s="15"/>
    </row>
    <row r="59" spans="1:27" ht="15.75" customHeight="1" x14ac:dyDescent="0.25">
      <c r="A59" s="26"/>
      <c r="B59" s="90"/>
      <c r="C59" s="16"/>
      <c r="D59" s="16"/>
      <c r="E59" s="68"/>
      <c r="F59" s="18"/>
      <c r="G59" s="16"/>
      <c r="H59" s="3"/>
    </row>
    <row r="60" spans="1:27" ht="15.75" customHeight="1" x14ac:dyDescent="0.25">
      <c r="A60" s="26"/>
      <c r="B60" s="90"/>
      <c r="C60" s="19"/>
      <c r="D60" s="19"/>
      <c r="E60" s="4"/>
      <c r="F60" s="15"/>
    </row>
    <row r="61" spans="1:27" s="28" customFormat="1" ht="15.75" customHeight="1" x14ac:dyDescent="0.25">
      <c r="A61" s="36"/>
      <c r="B61" s="86"/>
      <c r="C61" s="29"/>
      <c r="D61" s="29"/>
      <c r="E61" s="64"/>
      <c r="F61" s="33"/>
      <c r="G61" s="34"/>
      <c r="H61" s="35"/>
    </row>
    <row r="62" spans="1:27" ht="15.75" customHeight="1" x14ac:dyDescent="0.25">
      <c r="C62" s="20"/>
      <c r="D62" s="20"/>
      <c r="E62" s="4"/>
      <c r="F62" s="15"/>
    </row>
    <row r="63" spans="1:27" ht="15.75" customHeight="1" x14ac:dyDescent="0.25">
      <c r="A63" s="26"/>
      <c r="B63" s="90"/>
      <c r="C63" s="19"/>
      <c r="D63" s="19"/>
      <c r="E63" s="4"/>
      <c r="F63" s="15"/>
    </row>
    <row r="64" spans="1:27" ht="15.75" customHeight="1" x14ac:dyDescent="0.25">
      <c r="A64" s="26"/>
      <c r="B64" s="90"/>
      <c r="C64" s="19"/>
      <c r="D64" s="19"/>
      <c r="E64" s="4"/>
      <c r="F64" s="15"/>
    </row>
    <row r="65" spans="2:27" ht="15.75" customHeight="1" x14ac:dyDescent="0.2"/>
    <row r="66" spans="2:27" ht="15.75" customHeight="1" x14ac:dyDescent="0.2"/>
    <row r="67" spans="2:27" ht="15.75" customHeight="1" x14ac:dyDescent="0.2"/>
    <row r="68" spans="2:27" ht="15.75" customHeight="1" x14ac:dyDescent="0.2"/>
    <row r="69" spans="2:27" ht="15.75" customHeight="1" x14ac:dyDescent="0.2"/>
    <row r="70" spans="2:27" ht="15.75" customHeight="1" x14ac:dyDescent="0.2"/>
    <row r="71" spans="2:27" ht="15.75" customHeight="1" x14ac:dyDescent="0.2"/>
    <row r="72" spans="2:27" ht="15.75" customHeight="1" x14ac:dyDescent="0.2"/>
    <row r="73" spans="2:27" ht="15.75" customHeight="1" x14ac:dyDescent="0.2"/>
    <row r="74" spans="2:27" ht="15.75" customHeight="1" x14ac:dyDescent="0.2"/>
    <row r="75" spans="2:27" ht="15.75" customHeight="1" x14ac:dyDescent="0.2"/>
    <row r="76" spans="2:27" ht="15.75" customHeight="1" x14ac:dyDescent="0.2"/>
    <row r="77" spans="2:27" ht="15.75" customHeight="1" x14ac:dyDescent="0.2"/>
    <row r="78" spans="2:27" ht="15.75" customHeight="1" x14ac:dyDescent="0.2"/>
    <row r="79" spans="2:27" ht="15.75" customHeight="1" x14ac:dyDescent="0.2"/>
    <row r="80" spans="2:27" s="25" customFormat="1" ht="15.75" customHeight="1" x14ac:dyDescent="0.2">
      <c r="B80" s="89"/>
      <c r="C80"/>
      <c r="D80"/>
      <c r="E80" s="69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</row>
    <row r="81" spans="2:27" s="25" customFormat="1" ht="15.75" customHeight="1" x14ac:dyDescent="0.2">
      <c r="B81" s="89"/>
      <c r="C81"/>
      <c r="D81"/>
      <c r="E81" s="69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</row>
    <row r="82" spans="2:27" s="25" customFormat="1" ht="15.75" customHeight="1" x14ac:dyDescent="0.2">
      <c r="B82" s="89"/>
      <c r="C82"/>
      <c r="D82"/>
      <c r="E82" s="69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2:27" s="25" customFormat="1" ht="15.75" customHeight="1" x14ac:dyDescent="0.2">
      <c r="B83" s="89"/>
      <c r="C83"/>
      <c r="D83"/>
      <c r="E83" s="69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</row>
    <row r="84" spans="2:27" s="25" customFormat="1" ht="15.75" customHeight="1" x14ac:dyDescent="0.2">
      <c r="B84" s="89"/>
      <c r="C84"/>
      <c r="D84"/>
      <c r="E84" s="69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</row>
    <row r="85" spans="2:27" s="25" customFormat="1" ht="15.75" customHeight="1" x14ac:dyDescent="0.2">
      <c r="B85" s="89"/>
      <c r="C85"/>
      <c r="D85"/>
      <c r="E85" s="69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</row>
    <row r="86" spans="2:27" s="25" customFormat="1" ht="15.75" customHeight="1" x14ac:dyDescent="0.2">
      <c r="B86" s="89"/>
      <c r="C86"/>
      <c r="D86"/>
      <c r="E86" s="69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</row>
    <row r="87" spans="2:27" s="25" customFormat="1" ht="15.75" customHeight="1" x14ac:dyDescent="0.2">
      <c r="B87" s="89"/>
      <c r="C87"/>
      <c r="D87"/>
      <c r="E87" s="69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</row>
    <row r="88" spans="2:27" s="25" customFormat="1" ht="15.75" customHeight="1" x14ac:dyDescent="0.2">
      <c r="B88" s="89"/>
      <c r="C88"/>
      <c r="D88"/>
      <c r="E88" s="69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</row>
    <row r="89" spans="2:27" s="25" customFormat="1" ht="15.75" customHeight="1" x14ac:dyDescent="0.2">
      <c r="B89" s="89"/>
      <c r="C89"/>
      <c r="D89"/>
      <c r="E89" s="6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</row>
    <row r="90" spans="2:27" s="25" customFormat="1" ht="15.75" customHeight="1" x14ac:dyDescent="0.2">
      <c r="B90" s="89"/>
      <c r="C90"/>
      <c r="D90"/>
      <c r="E90" s="69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2:27" s="25" customFormat="1" ht="15.75" customHeight="1" x14ac:dyDescent="0.2">
      <c r="B91" s="89"/>
      <c r="C91"/>
      <c r="D91"/>
      <c r="E91" s="69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</row>
    <row r="92" spans="2:27" s="25" customFormat="1" ht="15.75" customHeight="1" x14ac:dyDescent="0.2">
      <c r="B92" s="89"/>
      <c r="C92"/>
      <c r="D92"/>
      <c r="E92" s="69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2:27" s="25" customFormat="1" ht="15.75" customHeight="1" x14ac:dyDescent="0.2">
      <c r="B93" s="89"/>
      <c r="C93"/>
      <c r="D93"/>
      <c r="E93" s="69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</row>
    <row r="94" spans="2:27" s="25" customFormat="1" ht="15.75" customHeight="1" x14ac:dyDescent="0.2">
      <c r="B94" s="89"/>
      <c r="C94"/>
      <c r="D94"/>
      <c r="E94" s="69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</row>
    <row r="95" spans="2:27" s="25" customFormat="1" ht="15.75" customHeight="1" x14ac:dyDescent="0.2">
      <c r="B95" s="89"/>
      <c r="C95"/>
      <c r="D95"/>
      <c r="E95" s="69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</row>
    <row r="96" spans="2:27" s="25" customFormat="1" ht="15.75" customHeight="1" x14ac:dyDescent="0.2">
      <c r="B96" s="89"/>
      <c r="C96"/>
      <c r="D96"/>
      <c r="E96" s="69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</row>
    <row r="97" spans="2:27" s="25" customFormat="1" ht="15.75" customHeight="1" x14ac:dyDescent="0.2">
      <c r="B97" s="89"/>
      <c r="C97"/>
      <c r="D97"/>
      <c r="E97" s="69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</row>
    <row r="98" spans="2:27" s="25" customFormat="1" ht="15.75" customHeight="1" x14ac:dyDescent="0.2">
      <c r="B98" s="89"/>
      <c r="C98"/>
      <c r="D98"/>
      <c r="E98" s="69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</row>
    <row r="99" spans="2:27" s="25" customFormat="1" ht="15.75" customHeight="1" x14ac:dyDescent="0.2">
      <c r="B99" s="89"/>
      <c r="C99"/>
      <c r="D99"/>
      <c r="E99" s="6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</row>
    <row r="100" spans="2:27" s="25" customFormat="1" ht="15.75" customHeight="1" x14ac:dyDescent="0.2">
      <c r="B100" s="89"/>
      <c r="C100"/>
      <c r="D100"/>
      <c r="E100" s="69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</row>
    <row r="101" spans="2:27" s="25" customFormat="1" ht="15.75" customHeight="1" x14ac:dyDescent="0.2">
      <c r="B101" s="89"/>
      <c r="C101"/>
      <c r="D101"/>
      <c r="E101" s="69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</row>
    <row r="102" spans="2:27" s="25" customFormat="1" ht="15.75" customHeight="1" x14ac:dyDescent="0.2">
      <c r="B102" s="89"/>
      <c r="C102"/>
      <c r="D102"/>
      <c r="E102" s="69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2:27" s="25" customFormat="1" ht="15.75" customHeight="1" x14ac:dyDescent="0.2">
      <c r="B103" s="89"/>
      <c r="C103"/>
      <c r="D103"/>
      <c r="E103" s="69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</row>
    <row r="104" spans="2:27" s="25" customFormat="1" ht="15.75" customHeight="1" x14ac:dyDescent="0.2">
      <c r="B104" s="89"/>
      <c r="C104"/>
      <c r="D104"/>
      <c r="E104" s="69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</row>
    <row r="105" spans="2:27" s="25" customFormat="1" ht="15.75" customHeight="1" x14ac:dyDescent="0.2">
      <c r="B105" s="89"/>
      <c r="C105"/>
      <c r="D105"/>
      <c r="E105" s="69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</row>
    <row r="106" spans="2:27" s="25" customFormat="1" ht="15.75" customHeight="1" x14ac:dyDescent="0.2">
      <c r="B106" s="89"/>
      <c r="C106"/>
      <c r="D106"/>
      <c r="E106" s="69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</row>
    <row r="107" spans="2:27" s="25" customFormat="1" ht="15.75" customHeight="1" x14ac:dyDescent="0.2">
      <c r="B107" s="89"/>
      <c r="C107"/>
      <c r="D107"/>
      <c r="E107" s="69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</row>
    <row r="108" spans="2:27" s="25" customFormat="1" ht="15.75" customHeight="1" x14ac:dyDescent="0.2">
      <c r="B108" s="89"/>
      <c r="C108"/>
      <c r="D108"/>
      <c r="E108" s="69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</row>
    <row r="109" spans="2:27" s="25" customFormat="1" ht="15.75" customHeight="1" x14ac:dyDescent="0.2">
      <c r="B109" s="89"/>
      <c r="C109"/>
      <c r="D109"/>
      <c r="E109" s="6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</row>
    <row r="110" spans="2:27" s="25" customFormat="1" ht="15.75" customHeight="1" x14ac:dyDescent="0.2">
      <c r="B110" s="89"/>
      <c r="C110"/>
      <c r="D110"/>
      <c r="E110" s="69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</row>
    <row r="111" spans="2:27" s="25" customFormat="1" ht="15.75" customHeight="1" x14ac:dyDescent="0.2">
      <c r="B111" s="89"/>
      <c r="C111"/>
      <c r="D111"/>
      <c r="E111" s="69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2:27" s="25" customFormat="1" ht="15.75" customHeight="1" x14ac:dyDescent="0.2">
      <c r="B112" s="89"/>
      <c r="C112"/>
      <c r="D112"/>
      <c r="E112" s="69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</row>
    <row r="113" spans="2:27" s="25" customFormat="1" ht="15.75" customHeight="1" x14ac:dyDescent="0.2">
      <c r="B113" s="89"/>
      <c r="C113"/>
      <c r="D113"/>
      <c r="E113" s="69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</row>
    <row r="114" spans="2:27" s="25" customFormat="1" ht="15.75" customHeight="1" x14ac:dyDescent="0.2">
      <c r="B114" s="89"/>
      <c r="C114"/>
      <c r="D114"/>
      <c r="E114" s="69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2:27" s="25" customFormat="1" ht="15.75" customHeight="1" x14ac:dyDescent="0.2">
      <c r="B115" s="89"/>
      <c r="C115"/>
      <c r="D115"/>
      <c r="E115" s="69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</row>
    <row r="116" spans="2:27" s="25" customFormat="1" ht="15.75" customHeight="1" x14ac:dyDescent="0.2">
      <c r="B116" s="89"/>
      <c r="C116"/>
      <c r="D116"/>
      <c r="E116" s="69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</row>
    <row r="117" spans="2:27" s="25" customFormat="1" ht="15.75" customHeight="1" x14ac:dyDescent="0.2">
      <c r="B117" s="89"/>
      <c r="C117"/>
      <c r="D117"/>
      <c r="E117" s="69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</row>
    <row r="118" spans="2:27" s="25" customFormat="1" ht="15.75" customHeight="1" x14ac:dyDescent="0.2">
      <c r="B118" s="89"/>
      <c r="C118"/>
      <c r="D118"/>
      <c r="E118" s="69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</row>
    <row r="119" spans="2:27" s="25" customFormat="1" ht="15.75" customHeight="1" x14ac:dyDescent="0.2">
      <c r="B119" s="89"/>
      <c r="C119"/>
      <c r="D119"/>
      <c r="E119" s="6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</row>
    <row r="120" spans="2:27" s="25" customFormat="1" ht="15.75" customHeight="1" x14ac:dyDescent="0.2">
      <c r="B120" s="89"/>
      <c r="C120"/>
      <c r="D120"/>
      <c r="E120" s="69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</row>
    <row r="121" spans="2:27" s="25" customFormat="1" ht="15.75" customHeight="1" x14ac:dyDescent="0.2">
      <c r="B121" s="89"/>
      <c r="C121"/>
      <c r="D121"/>
      <c r="E121" s="69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</row>
    <row r="122" spans="2:27" s="25" customFormat="1" ht="15.75" customHeight="1" x14ac:dyDescent="0.2">
      <c r="B122" s="89"/>
      <c r="C122"/>
      <c r="D122"/>
      <c r="E122" s="69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</row>
    <row r="123" spans="2:27" s="25" customFormat="1" ht="15.75" customHeight="1" x14ac:dyDescent="0.2">
      <c r="B123" s="89"/>
      <c r="C123"/>
      <c r="D123"/>
      <c r="E123" s="69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2:27" s="25" customFormat="1" ht="15.75" customHeight="1" x14ac:dyDescent="0.2">
      <c r="B124" s="89"/>
      <c r="C124"/>
      <c r="D124"/>
      <c r="E124" s="69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</row>
    <row r="125" spans="2:27" s="25" customFormat="1" ht="15.75" customHeight="1" x14ac:dyDescent="0.2">
      <c r="B125" s="89"/>
      <c r="C125"/>
      <c r="D125"/>
      <c r="E125" s="69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</row>
    <row r="126" spans="2:27" s="25" customFormat="1" ht="15.75" customHeight="1" x14ac:dyDescent="0.2">
      <c r="B126" s="89"/>
      <c r="C126"/>
      <c r="D126"/>
      <c r="E126" s="69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</row>
    <row r="127" spans="2:27" s="25" customFormat="1" ht="15.75" customHeight="1" x14ac:dyDescent="0.2">
      <c r="B127" s="89"/>
      <c r="C127"/>
      <c r="D127"/>
      <c r="E127" s="69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</row>
    <row r="128" spans="2:27" s="25" customFormat="1" ht="15.75" customHeight="1" x14ac:dyDescent="0.2">
      <c r="B128" s="89"/>
      <c r="C128"/>
      <c r="D128"/>
      <c r="E128" s="69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</row>
    <row r="129" spans="2:27" s="25" customFormat="1" ht="15.75" customHeight="1" x14ac:dyDescent="0.2">
      <c r="B129" s="89"/>
      <c r="C129"/>
      <c r="D129"/>
      <c r="E129" s="6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</row>
    <row r="130" spans="2:27" s="25" customFormat="1" ht="15.75" customHeight="1" x14ac:dyDescent="0.2">
      <c r="B130" s="89"/>
      <c r="C130"/>
      <c r="D130"/>
      <c r="E130" s="69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</row>
    <row r="131" spans="2:27" s="25" customFormat="1" ht="15.75" customHeight="1" x14ac:dyDescent="0.2">
      <c r="B131" s="89"/>
      <c r="C131"/>
      <c r="D131"/>
      <c r="E131" s="69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</row>
    <row r="132" spans="2:27" s="25" customFormat="1" ht="15.75" customHeight="1" x14ac:dyDescent="0.2">
      <c r="B132" s="89"/>
      <c r="C132"/>
      <c r="D132"/>
      <c r="E132" s="69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</row>
    <row r="133" spans="2:27" s="25" customFormat="1" ht="15.75" customHeight="1" x14ac:dyDescent="0.2">
      <c r="B133" s="89"/>
      <c r="C133"/>
      <c r="D133"/>
      <c r="E133" s="69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</row>
    <row r="134" spans="2:27" s="25" customFormat="1" ht="15.75" customHeight="1" x14ac:dyDescent="0.2">
      <c r="B134" s="89"/>
      <c r="C134"/>
      <c r="D134"/>
      <c r="E134" s="69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</row>
    <row r="135" spans="2:27" s="25" customFormat="1" ht="15.75" customHeight="1" x14ac:dyDescent="0.2">
      <c r="B135" s="89"/>
      <c r="C135"/>
      <c r="D135"/>
      <c r="E135" s="69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</row>
    <row r="136" spans="2:27" s="25" customFormat="1" ht="15.75" customHeight="1" x14ac:dyDescent="0.2">
      <c r="B136" s="89"/>
      <c r="C136"/>
      <c r="D136"/>
      <c r="E136" s="69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</row>
    <row r="137" spans="2:27" s="25" customFormat="1" ht="15.75" customHeight="1" x14ac:dyDescent="0.2">
      <c r="B137" s="89"/>
      <c r="C137"/>
      <c r="D137"/>
      <c r="E137" s="69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</row>
    <row r="138" spans="2:27" s="25" customFormat="1" ht="15.75" customHeight="1" x14ac:dyDescent="0.2">
      <c r="B138" s="89"/>
      <c r="C138"/>
      <c r="D138"/>
      <c r="E138" s="69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</row>
    <row r="139" spans="2:27" s="25" customFormat="1" ht="15.75" customHeight="1" x14ac:dyDescent="0.2">
      <c r="B139" s="89"/>
      <c r="C139"/>
      <c r="D139"/>
      <c r="E139" s="6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</row>
    <row r="140" spans="2:27" s="25" customFormat="1" ht="15.75" customHeight="1" x14ac:dyDescent="0.2">
      <c r="B140" s="89"/>
      <c r="C140"/>
      <c r="D140"/>
      <c r="E140" s="69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</row>
    <row r="141" spans="2:27" s="25" customFormat="1" ht="15.75" customHeight="1" x14ac:dyDescent="0.2">
      <c r="B141" s="89"/>
      <c r="C141"/>
      <c r="D141"/>
      <c r="E141" s="69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</row>
    <row r="142" spans="2:27" s="25" customFormat="1" ht="15.75" customHeight="1" x14ac:dyDescent="0.2">
      <c r="B142" s="89"/>
      <c r="C142"/>
      <c r="D142"/>
      <c r="E142" s="69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</row>
    <row r="143" spans="2:27" s="25" customFormat="1" ht="15.75" customHeight="1" x14ac:dyDescent="0.2">
      <c r="B143" s="89"/>
      <c r="C143"/>
      <c r="D143"/>
      <c r="E143" s="69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</row>
    <row r="144" spans="2:27" s="25" customFormat="1" ht="15.75" customHeight="1" x14ac:dyDescent="0.2">
      <c r="B144" s="89"/>
      <c r="C144"/>
      <c r="D144"/>
      <c r="E144" s="69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</row>
    <row r="145" spans="2:27" s="25" customFormat="1" ht="15.75" customHeight="1" x14ac:dyDescent="0.2">
      <c r="B145" s="89"/>
      <c r="C145"/>
      <c r="D145"/>
      <c r="E145" s="69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</row>
    <row r="146" spans="2:27" s="25" customFormat="1" ht="15.75" customHeight="1" x14ac:dyDescent="0.2">
      <c r="B146" s="89"/>
      <c r="C146"/>
      <c r="D146"/>
      <c r="E146" s="69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</row>
    <row r="147" spans="2:27" s="25" customFormat="1" ht="15.75" customHeight="1" x14ac:dyDescent="0.2">
      <c r="B147" s="89"/>
      <c r="C147"/>
      <c r="D147"/>
      <c r="E147" s="69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</row>
    <row r="148" spans="2:27" s="25" customFormat="1" ht="15.75" customHeight="1" x14ac:dyDescent="0.2">
      <c r="B148" s="89"/>
      <c r="C148"/>
      <c r="D148"/>
      <c r="E148" s="69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</row>
    <row r="149" spans="2:27" s="25" customFormat="1" ht="15.75" customHeight="1" x14ac:dyDescent="0.2">
      <c r="B149" s="89"/>
      <c r="C149"/>
      <c r="D149"/>
      <c r="E149" s="6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</row>
    <row r="150" spans="2:27" s="25" customFormat="1" ht="15.75" customHeight="1" x14ac:dyDescent="0.2">
      <c r="B150" s="89"/>
      <c r="C150"/>
      <c r="D150"/>
      <c r="E150" s="69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</row>
    <row r="151" spans="2:27" s="25" customFormat="1" ht="15.75" customHeight="1" x14ac:dyDescent="0.2">
      <c r="B151" s="89"/>
      <c r="C151"/>
      <c r="D151"/>
      <c r="E151" s="69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</row>
    <row r="152" spans="2:27" s="25" customFormat="1" ht="15.75" customHeight="1" x14ac:dyDescent="0.2">
      <c r="B152" s="89"/>
      <c r="C152"/>
      <c r="D152"/>
      <c r="E152" s="69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</row>
    <row r="153" spans="2:27" s="25" customFormat="1" ht="15.75" customHeight="1" x14ac:dyDescent="0.2">
      <c r="B153" s="89"/>
      <c r="C153"/>
      <c r="D153"/>
      <c r="E153" s="69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</row>
    <row r="154" spans="2:27" s="25" customFormat="1" ht="15.75" customHeight="1" x14ac:dyDescent="0.2">
      <c r="B154" s="89"/>
      <c r="C154"/>
      <c r="D154"/>
      <c r="E154" s="69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</row>
    <row r="155" spans="2:27" s="25" customFormat="1" ht="15.75" customHeight="1" x14ac:dyDescent="0.2">
      <c r="B155" s="89"/>
      <c r="C155"/>
      <c r="D155"/>
      <c r="E155" s="69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</row>
    <row r="156" spans="2:27" s="25" customFormat="1" ht="15.75" customHeight="1" x14ac:dyDescent="0.2">
      <c r="B156" s="89"/>
      <c r="C156"/>
      <c r="D156"/>
      <c r="E156" s="69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</row>
    <row r="157" spans="2:27" s="25" customFormat="1" ht="15.75" customHeight="1" x14ac:dyDescent="0.2">
      <c r="B157" s="89"/>
      <c r="C157"/>
      <c r="D157"/>
      <c r="E157" s="69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</row>
    <row r="158" spans="2:27" s="25" customFormat="1" ht="15.75" customHeight="1" x14ac:dyDescent="0.2">
      <c r="B158" s="89"/>
      <c r="C158"/>
      <c r="D158"/>
      <c r="E158" s="69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</row>
    <row r="159" spans="2:27" s="25" customFormat="1" ht="15.75" customHeight="1" x14ac:dyDescent="0.2">
      <c r="B159" s="89"/>
      <c r="C159"/>
      <c r="D159"/>
      <c r="E159" s="6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</row>
    <row r="160" spans="2:27" s="25" customFormat="1" ht="15.75" customHeight="1" x14ac:dyDescent="0.2">
      <c r="B160" s="89"/>
      <c r="C160"/>
      <c r="D160"/>
      <c r="E160" s="69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</row>
    <row r="161" spans="2:27" s="25" customFormat="1" ht="15.75" customHeight="1" x14ac:dyDescent="0.2">
      <c r="B161" s="89"/>
      <c r="C161"/>
      <c r="D161"/>
      <c r="E161" s="69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</row>
    <row r="162" spans="2:27" s="25" customFormat="1" ht="15.75" customHeight="1" x14ac:dyDescent="0.2">
      <c r="B162" s="89"/>
      <c r="C162"/>
      <c r="D162"/>
      <c r="E162" s="69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</row>
    <row r="163" spans="2:27" s="25" customFormat="1" ht="15.75" customHeight="1" x14ac:dyDescent="0.2">
      <c r="B163" s="89"/>
      <c r="C163"/>
      <c r="D163"/>
      <c r="E163" s="69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</row>
    <row r="164" spans="2:27" s="25" customFormat="1" ht="15.75" customHeight="1" x14ac:dyDescent="0.2">
      <c r="B164" s="89"/>
      <c r="C164"/>
      <c r="D164"/>
      <c r="E164" s="69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</row>
    <row r="165" spans="2:27" s="25" customFormat="1" ht="15.75" customHeight="1" x14ac:dyDescent="0.2">
      <c r="B165" s="89"/>
      <c r="C165"/>
      <c r="D165"/>
      <c r="E165" s="69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</row>
    <row r="166" spans="2:27" s="25" customFormat="1" ht="15.75" customHeight="1" x14ac:dyDescent="0.2">
      <c r="B166" s="89"/>
      <c r="C166"/>
      <c r="D166"/>
      <c r="E166" s="69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</row>
    <row r="167" spans="2:27" s="25" customFormat="1" ht="15.75" customHeight="1" x14ac:dyDescent="0.2">
      <c r="B167" s="89"/>
      <c r="C167"/>
      <c r="D167"/>
      <c r="E167" s="69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</row>
    <row r="168" spans="2:27" s="25" customFormat="1" ht="15.75" customHeight="1" x14ac:dyDescent="0.2">
      <c r="B168" s="89"/>
      <c r="C168"/>
      <c r="D168"/>
      <c r="E168" s="69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</row>
    <row r="169" spans="2:27" s="25" customFormat="1" ht="15.75" customHeight="1" x14ac:dyDescent="0.2">
      <c r="B169" s="89"/>
      <c r="C169"/>
      <c r="D169"/>
      <c r="E169" s="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</row>
    <row r="170" spans="2:27" s="25" customFormat="1" ht="15.75" customHeight="1" x14ac:dyDescent="0.2">
      <c r="B170" s="89"/>
      <c r="C170"/>
      <c r="D170"/>
      <c r="E170" s="69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</row>
    <row r="171" spans="2:27" s="25" customFormat="1" ht="15.75" customHeight="1" x14ac:dyDescent="0.2">
      <c r="B171" s="89"/>
      <c r="C171"/>
      <c r="D171"/>
      <c r="E171" s="69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</row>
    <row r="172" spans="2:27" s="25" customFormat="1" ht="15.75" customHeight="1" x14ac:dyDescent="0.2">
      <c r="B172" s="89"/>
      <c r="C172"/>
      <c r="D172"/>
      <c r="E172" s="69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</row>
    <row r="173" spans="2:27" s="25" customFormat="1" ht="15.75" customHeight="1" x14ac:dyDescent="0.2">
      <c r="B173" s="89"/>
      <c r="C173"/>
      <c r="D173"/>
      <c r="E173" s="69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</row>
    <row r="174" spans="2:27" s="25" customFormat="1" ht="15.75" customHeight="1" x14ac:dyDescent="0.2">
      <c r="B174" s="89"/>
      <c r="C174"/>
      <c r="D174"/>
      <c r="E174" s="69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</row>
    <row r="175" spans="2:27" s="25" customFormat="1" ht="15.75" customHeight="1" x14ac:dyDescent="0.2">
      <c r="B175" s="89"/>
      <c r="C175"/>
      <c r="D175"/>
      <c r="E175" s="69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</row>
    <row r="176" spans="2:27" s="25" customFormat="1" ht="15.75" customHeight="1" x14ac:dyDescent="0.2">
      <c r="B176" s="89"/>
      <c r="C176"/>
      <c r="D176"/>
      <c r="E176" s="69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</row>
    <row r="177" spans="2:27" s="25" customFormat="1" ht="15.75" customHeight="1" x14ac:dyDescent="0.2">
      <c r="B177" s="89"/>
      <c r="C177"/>
      <c r="D177"/>
      <c r="E177" s="69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</row>
    <row r="178" spans="2:27" s="25" customFormat="1" ht="15.75" customHeight="1" x14ac:dyDescent="0.2">
      <c r="B178" s="89"/>
      <c r="C178"/>
      <c r="D178"/>
      <c r="E178" s="69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</row>
    <row r="179" spans="2:27" s="25" customFormat="1" ht="15.75" customHeight="1" x14ac:dyDescent="0.2">
      <c r="B179" s="89"/>
      <c r="C179"/>
      <c r="D179"/>
      <c r="E179" s="6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</row>
    <row r="180" spans="2:27" s="25" customFormat="1" ht="15.75" customHeight="1" x14ac:dyDescent="0.2">
      <c r="B180" s="89"/>
      <c r="C180"/>
      <c r="D180"/>
      <c r="E180" s="69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</row>
    <row r="181" spans="2:27" s="25" customFormat="1" ht="15.75" customHeight="1" x14ac:dyDescent="0.2">
      <c r="B181" s="89"/>
      <c r="C181"/>
      <c r="D181"/>
      <c r="E181" s="69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</row>
    <row r="182" spans="2:27" s="25" customFormat="1" ht="15.75" customHeight="1" x14ac:dyDescent="0.2">
      <c r="B182" s="89"/>
      <c r="C182"/>
      <c r="D182"/>
      <c r="E182" s="69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</row>
    <row r="183" spans="2:27" s="25" customFormat="1" ht="15.75" customHeight="1" x14ac:dyDescent="0.2">
      <c r="B183" s="89"/>
      <c r="C183"/>
      <c r="D183"/>
      <c r="E183" s="69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</row>
    <row r="184" spans="2:27" s="25" customFormat="1" ht="15.75" customHeight="1" x14ac:dyDescent="0.2">
      <c r="B184" s="89"/>
      <c r="C184"/>
      <c r="D184"/>
      <c r="E184" s="69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</row>
    <row r="185" spans="2:27" s="25" customFormat="1" ht="15.75" customHeight="1" x14ac:dyDescent="0.2">
      <c r="B185" s="89"/>
      <c r="C185"/>
      <c r="D185"/>
      <c r="E185" s="69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</row>
    <row r="186" spans="2:27" s="25" customFormat="1" ht="15.75" customHeight="1" x14ac:dyDescent="0.2">
      <c r="B186" s="89"/>
      <c r="C186"/>
      <c r="D186"/>
      <c r="E186" s="69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</row>
    <row r="187" spans="2:27" s="25" customFormat="1" ht="15.75" customHeight="1" x14ac:dyDescent="0.2">
      <c r="B187" s="89"/>
      <c r="C187"/>
      <c r="D187"/>
      <c r="E187" s="69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</row>
    <row r="188" spans="2:27" s="25" customFormat="1" ht="15.75" customHeight="1" x14ac:dyDescent="0.2">
      <c r="B188" s="89"/>
      <c r="C188"/>
      <c r="D188"/>
      <c r="E188" s="69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</row>
    <row r="189" spans="2:27" s="25" customFormat="1" ht="15.75" customHeight="1" x14ac:dyDescent="0.2">
      <c r="B189" s="89"/>
      <c r="C189"/>
      <c r="D189"/>
      <c r="E189" s="6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</row>
    <row r="190" spans="2:27" s="25" customFormat="1" ht="15.75" customHeight="1" x14ac:dyDescent="0.2">
      <c r="B190" s="89"/>
      <c r="C190"/>
      <c r="D190"/>
      <c r="E190" s="69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</row>
    <row r="191" spans="2:27" s="25" customFormat="1" ht="15.75" customHeight="1" x14ac:dyDescent="0.2">
      <c r="B191" s="89"/>
      <c r="C191"/>
      <c r="D191"/>
      <c r="E191" s="69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</row>
    <row r="192" spans="2:27" s="25" customFormat="1" ht="15.75" customHeight="1" x14ac:dyDescent="0.2">
      <c r="B192" s="89"/>
      <c r="C192"/>
      <c r="D192"/>
      <c r="E192" s="69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</row>
    <row r="193" spans="2:27" s="25" customFormat="1" ht="15.75" customHeight="1" x14ac:dyDescent="0.2">
      <c r="B193" s="89"/>
      <c r="C193"/>
      <c r="D193"/>
      <c r="E193" s="69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</row>
    <row r="194" spans="2:27" s="25" customFormat="1" ht="15.75" customHeight="1" x14ac:dyDescent="0.2">
      <c r="B194" s="89"/>
      <c r="C194"/>
      <c r="D194"/>
      <c r="E194" s="69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</row>
    <row r="195" spans="2:27" s="25" customFormat="1" ht="15.75" customHeight="1" x14ac:dyDescent="0.2">
      <c r="B195" s="89"/>
      <c r="C195"/>
      <c r="D195"/>
      <c r="E195" s="69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</row>
    <row r="196" spans="2:27" s="25" customFormat="1" ht="15.75" customHeight="1" x14ac:dyDescent="0.2">
      <c r="B196" s="89"/>
      <c r="C196"/>
      <c r="D196"/>
      <c r="E196" s="69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</row>
    <row r="197" spans="2:27" s="25" customFormat="1" ht="15.75" customHeight="1" x14ac:dyDescent="0.2">
      <c r="B197" s="89"/>
      <c r="C197"/>
      <c r="D197"/>
      <c r="E197" s="69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</row>
    <row r="198" spans="2:27" s="25" customFormat="1" ht="15.75" customHeight="1" x14ac:dyDescent="0.2">
      <c r="B198" s="89"/>
      <c r="C198"/>
      <c r="D198"/>
      <c r="E198" s="69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</row>
    <row r="199" spans="2:27" s="25" customFormat="1" ht="15.75" customHeight="1" x14ac:dyDescent="0.2">
      <c r="B199" s="89"/>
      <c r="C199"/>
      <c r="D199"/>
      <c r="E199" s="6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</row>
    <row r="200" spans="2:27" s="25" customFormat="1" ht="15.75" customHeight="1" x14ac:dyDescent="0.2">
      <c r="B200" s="89"/>
      <c r="C200"/>
      <c r="D200"/>
      <c r="E200" s="69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</row>
    <row r="201" spans="2:27" s="25" customFormat="1" ht="15.75" customHeight="1" x14ac:dyDescent="0.2">
      <c r="B201" s="89"/>
      <c r="C201"/>
      <c r="D201"/>
      <c r="E201" s="69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</row>
    <row r="202" spans="2:27" s="25" customFormat="1" ht="15.75" customHeight="1" x14ac:dyDescent="0.2">
      <c r="B202" s="89"/>
      <c r="C202"/>
      <c r="D202"/>
      <c r="E202" s="69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</row>
    <row r="203" spans="2:27" s="25" customFormat="1" ht="15.75" customHeight="1" x14ac:dyDescent="0.2">
      <c r="B203" s="89"/>
      <c r="C203"/>
      <c r="D203"/>
      <c r="E203" s="69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</row>
    <row r="204" spans="2:27" s="25" customFormat="1" ht="15.75" customHeight="1" x14ac:dyDescent="0.2">
      <c r="B204" s="89"/>
      <c r="C204"/>
      <c r="D204"/>
      <c r="E204" s="69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</row>
    <row r="205" spans="2:27" s="25" customFormat="1" ht="15.75" customHeight="1" x14ac:dyDescent="0.2">
      <c r="B205" s="89"/>
      <c r="C205"/>
      <c r="D205"/>
      <c r="E205" s="69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</row>
    <row r="206" spans="2:27" s="25" customFormat="1" ht="15.75" customHeight="1" x14ac:dyDescent="0.2">
      <c r="B206" s="89"/>
      <c r="C206"/>
      <c r="D206"/>
      <c r="E206" s="69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</row>
    <row r="207" spans="2:27" s="25" customFormat="1" ht="15.75" customHeight="1" x14ac:dyDescent="0.2">
      <c r="B207" s="89"/>
      <c r="C207"/>
      <c r="D207"/>
      <c r="E207" s="69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</row>
    <row r="208" spans="2:27" s="25" customFormat="1" ht="15.75" customHeight="1" x14ac:dyDescent="0.2">
      <c r="B208" s="89"/>
      <c r="C208"/>
      <c r="D208"/>
      <c r="E208" s="69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</row>
    <row r="209" spans="2:27" s="25" customFormat="1" ht="15.75" customHeight="1" x14ac:dyDescent="0.2">
      <c r="B209" s="89"/>
      <c r="C209"/>
      <c r="D209"/>
      <c r="E209" s="6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</row>
    <row r="210" spans="2:27" s="25" customFormat="1" ht="15.75" customHeight="1" x14ac:dyDescent="0.2">
      <c r="B210" s="89"/>
      <c r="C210"/>
      <c r="D210"/>
      <c r="E210" s="69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</row>
    <row r="211" spans="2:27" s="25" customFormat="1" ht="15.75" customHeight="1" x14ac:dyDescent="0.2">
      <c r="B211" s="89"/>
      <c r="C211"/>
      <c r="D211"/>
      <c r="E211" s="69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</row>
    <row r="212" spans="2:27" s="25" customFormat="1" ht="15.75" customHeight="1" x14ac:dyDescent="0.2">
      <c r="B212" s="89"/>
      <c r="C212"/>
      <c r="D212"/>
      <c r="E212" s="69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</row>
    <row r="213" spans="2:27" s="25" customFormat="1" ht="15.75" customHeight="1" x14ac:dyDescent="0.2">
      <c r="B213" s="89"/>
      <c r="C213"/>
      <c r="D213"/>
      <c r="E213" s="69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</row>
    <row r="214" spans="2:27" s="25" customFormat="1" ht="15.75" customHeight="1" x14ac:dyDescent="0.2">
      <c r="B214" s="89"/>
      <c r="C214"/>
      <c r="D214"/>
      <c r="E214" s="69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</row>
    <row r="215" spans="2:27" s="25" customFormat="1" ht="15.75" customHeight="1" x14ac:dyDescent="0.2">
      <c r="B215" s="89"/>
      <c r="C215"/>
      <c r="D215"/>
      <c r="E215" s="69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</row>
    <row r="216" spans="2:27" s="25" customFormat="1" ht="15.75" customHeight="1" x14ac:dyDescent="0.2">
      <c r="B216" s="89"/>
      <c r="C216"/>
      <c r="D216"/>
      <c r="E216" s="69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</row>
    <row r="217" spans="2:27" s="25" customFormat="1" ht="15.75" customHeight="1" x14ac:dyDescent="0.2">
      <c r="B217" s="89"/>
      <c r="C217"/>
      <c r="D217"/>
      <c r="E217" s="69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</row>
    <row r="218" spans="2:27" s="25" customFormat="1" ht="15.75" customHeight="1" x14ac:dyDescent="0.2">
      <c r="B218" s="89"/>
      <c r="C218"/>
      <c r="D218"/>
      <c r="E218" s="69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</row>
    <row r="219" spans="2:27" s="25" customFormat="1" ht="15.75" customHeight="1" x14ac:dyDescent="0.2">
      <c r="B219" s="89"/>
      <c r="C219"/>
      <c r="D219"/>
      <c r="E219" s="6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</row>
    <row r="220" spans="2:27" s="25" customFormat="1" ht="15.75" customHeight="1" x14ac:dyDescent="0.2">
      <c r="B220" s="89"/>
      <c r="C220"/>
      <c r="D220"/>
      <c r="E220" s="69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</row>
    <row r="221" spans="2:27" s="25" customFormat="1" ht="15.75" customHeight="1" x14ac:dyDescent="0.2">
      <c r="B221" s="89"/>
      <c r="C221"/>
      <c r="D221"/>
      <c r="E221" s="69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</row>
    <row r="222" spans="2:27" s="25" customFormat="1" ht="15.75" customHeight="1" x14ac:dyDescent="0.2">
      <c r="B222" s="89"/>
      <c r="C222"/>
      <c r="D222"/>
      <c r="E222" s="69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</row>
    <row r="223" spans="2:27" s="25" customFormat="1" ht="15.75" customHeight="1" x14ac:dyDescent="0.2">
      <c r="B223" s="89"/>
      <c r="C223"/>
      <c r="D223"/>
      <c r="E223" s="69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</row>
    <row r="224" spans="2:27" s="25" customFormat="1" ht="15.75" customHeight="1" x14ac:dyDescent="0.2">
      <c r="B224" s="89"/>
      <c r="C224"/>
      <c r="D224"/>
      <c r="E224" s="69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</row>
    <row r="225" spans="2:27" s="25" customFormat="1" ht="15.75" customHeight="1" x14ac:dyDescent="0.2">
      <c r="B225" s="89"/>
      <c r="C225"/>
      <c r="D225"/>
      <c r="E225" s="69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</row>
    <row r="226" spans="2:27" s="25" customFormat="1" ht="15.75" customHeight="1" x14ac:dyDescent="0.2">
      <c r="B226" s="89"/>
      <c r="C226"/>
      <c r="D226"/>
      <c r="E226" s="69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</row>
    <row r="227" spans="2:27" s="25" customFormat="1" ht="15.75" customHeight="1" x14ac:dyDescent="0.2">
      <c r="B227" s="89"/>
      <c r="C227"/>
      <c r="D227"/>
      <c r="E227" s="69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</row>
    <row r="228" spans="2:27" s="25" customFormat="1" ht="15.75" customHeight="1" x14ac:dyDescent="0.2">
      <c r="B228" s="89"/>
      <c r="C228"/>
      <c r="D228"/>
      <c r="E228" s="69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</row>
    <row r="229" spans="2:27" s="25" customFormat="1" ht="15.75" customHeight="1" x14ac:dyDescent="0.2">
      <c r="B229" s="89"/>
      <c r="C229"/>
      <c r="D229"/>
      <c r="E229" s="6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</row>
    <row r="230" spans="2:27" s="25" customFormat="1" ht="15.75" customHeight="1" x14ac:dyDescent="0.2">
      <c r="B230" s="89"/>
      <c r="C230"/>
      <c r="D230"/>
      <c r="E230" s="69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</row>
    <row r="231" spans="2:27" s="25" customFormat="1" ht="15.75" customHeight="1" x14ac:dyDescent="0.2">
      <c r="B231" s="89"/>
      <c r="C231"/>
      <c r="D231"/>
      <c r="E231" s="69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</row>
    <row r="232" spans="2:27" s="25" customFormat="1" ht="15.75" customHeight="1" x14ac:dyDescent="0.2">
      <c r="B232" s="89"/>
      <c r="C232"/>
      <c r="D232"/>
      <c r="E232" s="69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</row>
    <row r="233" spans="2:27" s="25" customFormat="1" ht="15.75" customHeight="1" x14ac:dyDescent="0.2">
      <c r="B233" s="89"/>
      <c r="C233"/>
      <c r="D233"/>
      <c r="E233" s="69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</row>
    <row r="234" spans="2:27" s="25" customFormat="1" ht="15.75" customHeight="1" x14ac:dyDescent="0.2">
      <c r="B234" s="89"/>
      <c r="C234"/>
      <c r="D234"/>
      <c r="E234" s="69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</row>
    <row r="235" spans="2:27" s="25" customFormat="1" ht="15.75" customHeight="1" x14ac:dyDescent="0.2">
      <c r="B235" s="89"/>
      <c r="C235"/>
      <c r="D235"/>
      <c r="E235" s="69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</row>
    <row r="236" spans="2:27" s="25" customFormat="1" ht="15.75" customHeight="1" x14ac:dyDescent="0.2">
      <c r="B236" s="89"/>
      <c r="C236"/>
      <c r="D236"/>
      <c r="E236" s="69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</row>
    <row r="237" spans="2:27" s="25" customFormat="1" ht="15.75" customHeight="1" x14ac:dyDescent="0.2">
      <c r="B237" s="89"/>
      <c r="C237"/>
      <c r="D237"/>
      <c r="E237" s="69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</row>
    <row r="238" spans="2:27" s="25" customFormat="1" ht="15.75" customHeight="1" x14ac:dyDescent="0.2">
      <c r="B238" s="89"/>
      <c r="C238"/>
      <c r="D238"/>
      <c r="E238" s="69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</row>
    <row r="239" spans="2:27" s="25" customFormat="1" ht="15.75" customHeight="1" x14ac:dyDescent="0.2">
      <c r="B239" s="89"/>
      <c r="C239"/>
      <c r="D239"/>
      <c r="E239" s="6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</row>
    <row r="240" spans="2:27" s="25" customFormat="1" ht="15.75" customHeight="1" x14ac:dyDescent="0.2">
      <c r="B240" s="89"/>
      <c r="C240"/>
      <c r="D240"/>
      <c r="E240" s="69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</row>
    <row r="241" spans="2:27" s="25" customFormat="1" ht="15.75" customHeight="1" x14ac:dyDescent="0.2">
      <c r="B241" s="89"/>
      <c r="C241"/>
      <c r="D241"/>
      <c r="E241" s="69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</row>
    <row r="242" spans="2:27" s="25" customFormat="1" ht="15.75" customHeight="1" x14ac:dyDescent="0.2">
      <c r="B242" s="89"/>
      <c r="C242"/>
      <c r="D242"/>
      <c r="E242" s="69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</row>
    <row r="243" spans="2:27" s="25" customFormat="1" ht="15.75" customHeight="1" x14ac:dyDescent="0.2">
      <c r="B243" s="89"/>
      <c r="C243"/>
      <c r="D243"/>
      <c r="E243" s="69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</row>
    <row r="244" spans="2:27" s="25" customFormat="1" ht="15.75" customHeight="1" x14ac:dyDescent="0.2">
      <c r="B244" s="89"/>
      <c r="C244"/>
      <c r="D244"/>
      <c r="E244" s="69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</row>
    <row r="245" spans="2:27" s="25" customFormat="1" ht="15.75" customHeight="1" x14ac:dyDescent="0.2">
      <c r="B245" s="89"/>
      <c r="C245"/>
      <c r="D245"/>
      <c r="E245" s="69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</row>
    <row r="246" spans="2:27" s="25" customFormat="1" ht="15.75" customHeight="1" x14ac:dyDescent="0.2">
      <c r="B246" s="89"/>
      <c r="C246"/>
      <c r="D246"/>
      <c r="E246" s="69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</row>
    <row r="247" spans="2:27" s="25" customFormat="1" ht="15.75" customHeight="1" x14ac:dyDescent="0.2">
      <c r="B247" s="89"/>
      <c r="C247"/>
      <c r="D247"/>
      <c r="E247" s="69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</row>
    <row r="248" spans="2:27" s="25" customFormat="1" ht="15.75" customHeight="1" x14ac:dyDescent="0.2">
      <c r="B248" s="89"/>
      <c r="C248"/>
      <c r="D248"/>
      <c r="E248" s="69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</row>
    <row r="249" spans="2:27" s="25" customFormat="1" ht="15.75" customHeight="1" x14ac:dyDescent="0.2">
      <c r="B249" s="89"/>
      <c r="C249"/>
      <c r="D249"/>
      <c r="E249" s="6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</row>
    <row r="250" spans="2:27" s="25" customFormat="1" ht="15.75" customHeight="1" x14ac:dyDescent="0.2">
      <c r="B250" s="89"/>
      <c r="C250"/>
      <c r="D250"/>
      <c r="E250" s="69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</row>
    <row r="251" spans="2:27" s="25" customFormat="1" ht="15.75" customHeight="1" x14ac:dyDescent="0.2">
      <c r="B251" s="89"/>
      <c r="C251"/>
      <c r="D251"/>
      <c r="E251" s="69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</row>
    <row r="252" spans="2:27" s="25" customFormat="1" ht="15.75" customHeight="1" x14ac:dyDescent="0.2">
      <c r="B252" s="89"/>
      <c r="C252"/>
      <c r="D252"/>
      <c r="E252" s="69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</row>
    <row r="253" spans="2:27" s="25" customFormat="1" ht="15.75" customHeight="1" x14ac:dyDescent="0.2">
      <c r="B253" s="89"/>
      <c r="C253"/>
      <c r="D253"/>
      <c r="E253" s="69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</row>
    <row r="254" spans="2:27" s="25" customFormat="1" ht="15.75" customHeight="1" x14ac:dyDescent="0.2">
      <c r="B254" s="89"/>
      <c r="C254"/>
      <c r="D254"/>
      <c r="E254" s="69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</row>
    <row r="255" spans="2:27" s="25" customFormat="1" ht="15.75" customHeight="1" x14ac:dyDescent="0.2">
      <c r="B255" s="89"/>
      <c r="C255"/>
      <c r="D255"/>
      <c r="E255" s="69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</row>
    <row r="256" spans="2:27" s="25" customFormat="1" ht="15.75" customHeight="1" x14ac:dyDescent="0.2">
      <c r="B256" s="89"/>
      <c r="C256"/>
      <c r="D256"/>
      <c r="E256" s="69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</row>
    <row r="257" spans="2:27" s="25" customFormat="1" ht="15.75" customHeight="1" x14ac:dyDescent="0.2">
      <c r="B257" s="89"/>
      <c r="C257"/>
      <c r="D257"/>
      <c r="E257" s="69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</row>
    <row r="258" spans="2:27" s="25" customFormat="1" ht="15.75" customHeight="1" x14ac:dyDescent="0.2">
      <c r="B258" s="89"/>
      <c r="C258"/>
      <c r="D258"/>
      <c r="E258" s="69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</row>
    <row r="259" spans="2:27" s="25" customFormat="1" ht="15.75" customHeight="1" x14ac:dyDescent="0.2">
      <c r="B259" s="89"/>
      <c r="C259"/>
      <c r="D259"/>
      <c r="E259" s="6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</row>
    <row r="260" spans="2:27" s="25" customFormat="1" ht="15.75" customHeight="1" x14ac:dyDescent="0.2">
      <c r="B260" s="89"/>
      <c r="C260"/>
      <c r="D260"/>
      <c r="E260" s="69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</row>
    <row r="261" spans="2:27" s="25" customFormat="1" ht="15.75" customHeight="1" x14ac:dyDescent="0.2">
      <c r="B261" s="89"/>
      <c r="C261"/>
      <c r="D261"/>
      <c r="E261" s="69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</row>
    <row r="262" spans="2:27" s="25" customFormat="1" ht="15.75" customHeight="1" x14ac:dyDescent="0.2">
      <c r="B262" s="89"/>
      <c r="C262"/>
      <c r="D262"/>
      <c r="E262" s="69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</row>
    <row r="263" spans="2:27" s="25" customFormat="1" ht="15.75" customHeight="1" x14ac:dyDescent="0.2">
      <c r="B263" s="89"/>
      <c r="C263"/>
      <c r="D263"/>
      <c r="E263" s="69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</row>
    <row r="264" spans="2:27" s="25" customFormat="1" ht="15.75" customHeight="1" x14ac:dyDescent="0.2">
      <c r="B264" s="89"/>
      <c r="C264"/>
      <c r="D264"/>
      <c r="E264" s="69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</row>
    <row r="265" spans="2:27" s="25" customFormat="1" ht="15.75" customHeight="1" x14ac:dyDescent="0.2">
      <c r="B265" s="89"/>
      <c r="C265"/>
      <c r="D265"/>
      <c r="E265" s="69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</row>
    <row r="266" spans="2:27" s="25" customFormat="1" ht="15.75" customHeight="1" x14ac:dyDescent="0.2">
      <c r="B266" s="89"/>
      <c r="C266"/>
      <c r="D266"/>
      <c r="E266" s="69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</row>
    <row r="267" spans="2:27" s="25" customFormat="1" ht="15.75" customHeight="1" x14ac:dyDescent="0.2">
      <c r="B267" s="89"/>
      <c r="C267"/>
      <c r="D267"/>
      <c r="E267" s="69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</row>
    <row r="268" spans="2:27" s="25" customFormat="1" ht="15.75" customHeight="1" x14ac:dyDescent="0.2">
      <c r="B268" s="89"/>
      <c r="C268"/>
      <c r="D268"/>
      <c r="E268" s="69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</row>
    <row r="269" spans="2:27" s="25" customFormat="1" ht="15.75" customHeight="1" x14ac:dyDescent="0.2">
      <c r="B269" s="89"/>
      <c r="C269"/>
      <c r="D269"/>
      <c r="E269" s="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</row>
    <row r="270" spans="2:27" s="25" customFormat="1" ht="15.75" customHeight="1" x14ac:dyDescent="0.2">
      <c r="B270" s="89"/>
      <c r="C270"/>
      <c r="D270"/>
      <c r="E270" s="69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</row>
    <row r="271" spans="2:27" s="25" customFormat="1" ht="15.75" customHeight="1" x14ac:dyDescent="0.2">
      <c r="B271" s="89"/>
      <c r="C271"/>
      <c r="D271"/>
      <c r="E271" s="69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</row>
    <row r="272" spans="2:27" s="25" customFormat="1" ht="15.75" customHeight="1" x14ac:dyDescent="0.2">
      <c r="B272" s="89"/>
      <c r="C272"/>
      <c r="D272"/>
      <c r="E272" s="69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</row>
    <row r="273" spans="2:27" s="25" customFormat="1" ht="15.75" customHeight="1" x14ac:dyDescent="0.2">
      <c r="B273" s="89"/>
      <c r="C273"/>
      <c r="D273"/>
      <c r="E273" s="69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</row>
    <row r="274" spans="2:27" s="25" customFormat="1" ht="15.75" customHeight="1" x14ac:dyDescent="0.2">
      <c r="B274" s="89"/>
      <c r="C274"/>
      <c r="D274"/>
      <c r="E274" s="69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</row>
    <row r="275" spans="2:27" s="25" customFormat="1" ht="15.75" customHeight="1" x14ac:dyDescent="0.2">
      <c r="B275" s="89"/>
      <c r="C275"/>
      <c r="D275"/>
      <c r="E275" s="69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</row>
    <row r="276" spans="2:27" s="25" customFormat="1" ht="15.75" customHeight="1" x14ac:dyDescent="0.2">
      <c r="B276" s="89"/>
      <c r="C276"/>
      <c r="D276"/>
      <c r="E276" s="69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</row>
    <row r="277" spans="2:27" s="25" customFormat="1" ht="15.75" customHeight="1" x14ac:dyDescent="0.2">
      <c r="B277" s="89"/>
      <c r="C277"/>
      <c r="D277"/>
      <c r="E277" s="69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</row>
    <row r="278" spans="2:27" s="25" customFormat="1" ht="15.75" customHeight="1" x14ac:dyDescent="0.2">
      <c r="B278" s="89"/>
      <c r="C278"/>
      <c r="D278"/>
      <c r="E278" s="69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</row>
    <row r="279" spans="2:27" s="25" customFormat="1" ht="15.75" customHeight="1" x14ac:dyDescent="0.2">
      <c r="B279" s="89"/>
      <c r="C279"/>
      <c r="D279"/>
      <c r="E279" s="6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</row>
    <row r="280" spans="2:27" s="25" customFormat="1" ht="15.75" customHeight="1" x14ac:dyDescent="0.2">
      <c r="B280" s="89"/>
      <c r="C280"/>
      <c r="D280"/>
      <c r="E280" s="69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</row>
    <row r="281" spans="2:27" s="25" customFormat="1" ht="15.75" customHeight="1" x14ac:dyDescent="0.2">
      <c r="B281" s="89"/>
      <c r="C281"/>
      <c r="D281"/>
      <c r="E281" s="69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</row>
    <row r="282" spans="2:27" s="25" customFormat="1" ht="15.75" customHeight="1" x14ac:dyDescent="0.2">
      <c r="B282" s="89"/>
      <c r="C282"/>
      <c r="D282"/>
      <c r="E282" s="69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</row>
    <row r="283" spans="2:27" s="25" customFormat="1" ht="15.75" customHeight="1" x14ac:dyDescent="0.2">
      <c r="B283" s="89"/>
      <c r="C283"/>
      <c r="D283"/>
      <c r="E283" s="69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</row>
    <row r="284" spans="2:27" s="25" customFormat="1" ht="15.75" customHeight="1" x14ac:dyDescent="0.2">
      <c r="B284" s="89"/>
      <c r="C284"/>
      <c r="D284"/>
      <c r="E284" s="69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</row>
    <row r="285" spans="2:27" s="25" customFormat="1" ht="15.75" customHeight="1" x14ac:dyDescent="0.2">
      <c r="B285" s="89"/>
      <c r="C285"/>
      <c r="D285"/>
      <c r="E285" s="69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</row>
    <row r="286" spans="2:27" s="25" customFormat="1" ht="15.75" customHeight="1" x14ac:dyDescent="0.2">
      <c r="B286" s="89"/>
      <c r="C286"/>
      <c r="D286"/>
      <c r="E286" s="69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</row>
    <row r="287" spans="2:27" s="25" customFormat="1" ht="15.75" customHeight="1" x14ac:dyDescent="0.2">
      <c r="B287" s="89"/>
      <c r="C287"/>
      <c r="D287"/>
      <c r="E287" s="69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</row>
    <row r="288" spans="2:27" s="25" customFormat="1" ht="15.75" customHeight="1" x14ac:dyDescent="0.2">
      <c r="B288" s="89"/>
      <c r="C288"/>
      <c r="D288"/>
      <c r="E288" s="69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</row>
    <row r="289" spans="2:27" s="25" customFormat="1" ht="15.75" customHeight="1" x14ac:dyDescent="0.2">
      <c r="B289" s="89"/>
      <c r="C289"/>
      <c r="D289"/>
      <c r="E289" s="6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</row>
    <row r="290" spans="2:27" s="25" customFormat="1" ht="15.75" customHeight="1" x14ac:dyDescent="0.2">
      <c r="B290" s="89"/>
      <c r="C290"/>
      <c r="D290"/>
      <c r="E290" s="69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</row>
    <row r="291" spans="2:27" s="25" customFormat="1" ht="15.75" customHeight="1" x14ac:dyDescent="0.2">
      <c r="B291" s="89"/>
      <c r="C291"/>
      <c r="D291"/>
      <c r="E291" s="69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</row>
    <row r="292" spans="2:27" s="25" customFormat="1" ht="15.75" customHeight="1" x14ac:dyDescent="0.2">
      <c r="B292" s="89"/>
      <c r="C292"/>
      <c r="D292"/>
      <c r="E292" s="69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</row>
    <row r="293" spans="2:27" s="25" customFormat="1" ht="15.75" customHeight="1" x14ac:dyDescent="0.2">
      <c r="B293" s="89"/>
      <c r="C293"/>
      <c r="D293"/>
      <c r="E293" s="69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</row>
    <row r="294" spans="2:27" s="25" customFormat="1" ht="15.75" customHeight="1" x14ac:dyDescent="0.2">
      <c r="B294" s="89"/>
      <c r="C294"/>
      <c r="D294"/>
      <c r="E294" s="69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</row>
    <row r="295" spans="2:27" s="25" customFormat="1" ht="15.75" customHeight="1" x14ac:dyDescent="0.2">
      <c r="B295" s="89"/>
      <c r="C295"/>
      <c r="D295"/>
      <c r="E295" s="69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</row>
    <row r="296" spans="2:27" s="25" customFormat="1" ht="15.75" customHeight="1" x14ac:dyDescent="0.2">
      <c r="B296" s="89"/>
      <c r="C296"/>
      <c r="D296"/>
      <c r="E296" s="69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</row>
    <row r="297" spans="2:27" s="25" customFormat="1" ht="15.75" customHeight="1" x14ac:dyDescent="0.2">
      <c r="B297" s="89"/>
      <c r="C297"/>
      <c r="D297"/>
      <c r="E297" s="69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</row>
    <row r="298" spans="2:27" s="25" customFormat="1" ht="15.75" customHeight="1" x14ac:dyDescent="0.2">
      <c r="B298" s="89"/>
      <c r="C298"/>
      <c r="D298"/>
      <c r="E298" s="69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</row>
    <row r="299" spans="2:27" s="25" customFormat="1" ht="15.75" customHeight="1" x14ac:dyDescent="0.2">
      <c r="B299" s="89"/>
      <c r="C299"/>
      <c r="D299"/>
      <c r="E299" s="6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</row>
    <row r="300" spans="2:27" s="25" customFormat="1" ht="15.75" customHeight="1" x14ac:dyDescent="0.2">
      <c r="B300" s="89"/>
      <c r="C300"/>
      <c r="D300"/>
      <c r="E300" s="69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</row>
    <row r="301" spans="2:27" s="25" customFormat="1" ht="15.75" customHeight="1" x14ac:dyDescent="0.2">
      <c r="B301" s="89"/>
      <c r="C301"/>
      <c r="D301"/>
      <c r="E301" s="69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</row>
    <row r="302" spans="2:27" s="25" customFormat="1" ht="15.75" customHeight="1" x14ac:dyDescent="0.2">
      <c r="B302" s="89"/>
      <c r="C302"/>
      <c r="D302"/>
      <c r="E302" s="69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</row>
    <row r="303" spans="2:27" s="25" customFormat="1" ht="15.75" customHeight="1" x14ac:dyDescent="0.2">
      <c r="B303" s="89"/>
      <c r="C303"/>
      <c r="D303"/>
      <c r="E303" s="69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</row>
    <row r="304" spans="2:27" s="25" customFormat="1" ht="15.75" customHeight="1" x14ac:dyDescent="0.2">
      <c r="B304" s="89"/>
      <c r="C304"/>
      <c r="D304"/>
      <c r="E304" s="69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</row>
    <row r="305" spans="2:27" s="25" customFormat="1" ht="15.75" customHeight="1" x14ac:dyDescent="0.2">
      <c r="B305" s="89"/>
      <c r="C305"/>
      <c r="D305"/>
      <c r="E305" s="69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</row>
    <row r="306" spans="2:27" s="25" customFormat="1" ht="15.75" customHeight="1" x14ac:dyDescent="0.2">
      <c r="B306" s="89"/>
      <c r="C306"/>
      <c r="D306"/>
      <c r="E306" s="69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</row>
    <row r="307" spans="2:27" s="25" customFormat="1" ht="15.75" customHeight="1" x14ac:dyDescent="0.2">
      <c r="B307" s="89"/>
      <c r="C307"/>
      <c r="D307"/>
      <c r="E307" s="69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</row>
    <row r="308" spans="2:27" s="25" customFormat="1" ht="15.75" customHeight="1" x14ac:dyDescent="0.2">
      <c r="B308" s="89"/>
      <c r="C308"/>
      <c r="D308"/>
      <c r="E308" s="69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</row>
    <row r="309" spans="2:27" s="25" customFormat="1" ht="15.75" customHeight="1" x14ac:dyDescent="0.2">
      <c r="B309" s="89"/>
      <c r="C309"/>
      <c r="D309"/>
      <c r="E309" s="6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</row>
    <row r="310" spans="2:27" s="25" customFormat="1" ht="15.75" customHeight="1" x14ac:dyDescent="0.2">
      <c r="B310" s="89"/>
      <c r="C310"/>
      <c r="D310"/>
      <c r="E310" s="69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</row>
    <row r="311" spans="2:27" s="25" customFormat="1" ht="15.75" customHeight="1" x14ac:dyDescent="0.2">
      <c r="B311" s="89"/>
      <c r="C311"/>
      <c r="D311"/>
      <c r="E311" s="69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</row>
    <row r="312" spans="2:27" s="25" customFormat="1" ht="15.75" customHeight="1" x14ac:dyDescent="0.2">
      <c r="B312" s="89"/>
      <c r="C312"/>
      <c r="D312"/>
      <c r="E312" s="69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</row>
    <row r="313" spans="2:27" s="25" customFormat="1" ht="15.75" customHeight="1" x14ac:dyDescent="0.2">
      <c r="B313" s="89"/>
      <c r="C313"/>
      <c r="D313"/>
      <c r="E313" s="69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</row>
    <row r="314" spans="2:27" s="25" customFormat="1" ht="15.75" customHeight="1" x14ac:dyDescent="0.2">
      <c r="B314" s="89"/>
      <c r="C314"/>
      <c r="D314"/>
      <c r="E314" s="69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</row>
    <row r="315" spans="2:27" s="25" customFormat="1" ht="15.75" customHeight="1" x14ac:dyDescent="0.2">
      <c r="B315" s="89"/>
      <c r="C315"/>
      <c r="D315"/>
      <c r="E315" s="69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</row>
    <row r="316" spans="2:27" s="25" customFormat="1" ht="15.75" customHeight="1" x14ac:dyDescent="0.2">
      <c r="B316" s="89"/>
      <c r="C316"/>
      <c r="D316"/>
      <c r="E316" s="69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</row>
    <row r="317" spans="2:27" s="25" customFormat="1" ht="15.75" customHeight="1" x14ac:dyDescent="0.2">
      <c r="B317" s="89"/>
      <c r="C317"/>
      <c r="D317"/>
      <c r="E317" s="69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</row>
    <row r="318" spans="2:27" s="25" customFormat="1" ht="15.75" customHeight="1" x14ac:dyDescent="0.2">
      <c r="B318" s="89"/>
      <c r="C318"/>
      <c r="D318"/>
      <c r="E318" s="69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</row>
    <row r="319" spans="2:27" s="25" customFormat="1" ht="15.75" customHeight="1" x14ac:dyDescent="0.2">
      <c r="B319" s="89"/>
      <c r="C319"/>
      <c r="D319"/>
      <c r="E319" s="6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</row>
    <row r="320" spans="2:27" s="25" customFormat="1" ht="15.75" customHeight="1" x14ac:dyDescent="0.2">
      <c r="B320" s="89"/>
      <c r="C320"/>
      <c r="D320"/>
      <c r="E320" s="69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</row>
    <row r="321" spans="2:27" s="25" customFormat="1" ht="15.75" customHeight="1" x14ac:dyDescent="0.2">
      <c r="B321" s="89"/>
      <c r="C321"/>
      <c r="D321"/>
      <c r="E321" s="69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</row>
    <row r="322" spans="2:27" s="25" customFormat="1" ht="15.75" customHeight="1" x14ac:dyDescent="0.2">
      <c r="B322" s="89"/>
      <c r="C322"/>
      <c r="D322"/>
      <c r="E322" s="69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</row>
    <row r="323" spans="2:27" s="25" customFormat="1" ht="15.75" customHeight="1" x14ac:dyDescent="0.2">
      <c r="B323" s="89"/>
      <c r="C323"/>
      <c r="D323"/>
      <c r="E323" s="69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</row>
    <row r="324" spans="2:27" s="25" customFormat="1" ht="15.75" customHeight="1" x14ac:dyDescent="0.2">
      <c r="B324" s="89"/>
      <c r="C324"/>
      <c r="D324"/>
      <c r="E324" s="69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</row>
    <row r="325" spans="2:27" s="25" customFormat="1" ht="15.75" customHeight="1" x14ac:dyDescent="0.2">
      <c r="B325" s="89"/>
      <c r="C325"/>
      <c r="D325"/>
      <c r="E325" s="69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</row>
    <row r="326" spans="2:27" s="25" customFormat="1" ht="15.75" customHeight="1" x14ac:dyDescent="0.2">
      <c r="B326" s="89"/>
      <c r="C326"/>
      <c r="D326"/>
      <c r="E326" s="69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</row>
    <row r="327" spans="2:27" s="25" customFormat="1" ht="15.75" customHeight="1" x14ac:dyDescent="0.2">
      <c r="B327" s="89"/>
      <c r="C327"/>
      <c r="D327"/>
      <c r="E327" s="69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</row>
    <row r="328" spans="2:27" s="25" customFormat="1" ht="15.75" customHeight="1" x14ac:dyDescent="0.2">
      <c r="B328" s="89"/>
      <c r="C328"/>
      <c r="D328"/>
      <c r="E328" s="69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</row>
    <row r="329" spans="2:27" s="25" customFormat="1" ht="15.75" customHeight="1" x14ac:dyDescent="0.2">
      <c r="B329" s="89"/>
      <c r="C329"/>
      <c r="D329"/>
      <c r="E329" s="6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</row>
    <row r="330" spans="2:27" s="25" customFormat="1" ht="15.75" customHeight="1" x14ac:dyDescent="0.2">
      <c r="B330" s="89"/>
      <c r="C330"/>
      <c r="D330"/>
      <c r="E330" s="69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</row>
    <row r="331" spans="2:27" s="25" customFormat="1" ht="15.75" customHeight="1" x14ac:dyDescent="0.2">
      <c r="B331" s="89"/>
      <c r="C331"/>
      <c r="D331"/>
      <c r="E331" s="69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</row>
    <row r="332" spans="2:27" s="25" customFormat="1" ht="15.75" customHeight="1" x14ac:dyDescent="0.2">
      <c r="B332" s="89"/>
      <c r="C332"/>
      <c r="D332"/>
      <c r="E332" s="69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</row>
    <row r="333" spans="2:27" s="25" customFormat="1" ht="15.75" customHeight="1" x14ac:dyDescent="0.2">
      <c r="B333" s="89"/>
      <c r="C333"/>
      <c r="D333"/>
      <c r="E333" s="69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</row>
    <row r="334" spans="2:27" s="25" customFormat="1" ht="15.75" customHeight="1" x14ac:dyDescent="0.2">
      <c r="B334" s="89"/>
      <c r="C334"/>
      <c r="D334"/>
      <c r="E334" s="69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</row>
    <row r="335" spans="2:27" s="25" customFormat="1" ht="15.75" customHeight="1" x14ac:dyDescent="0.2">
      <c r="B335" s="89"/>
      <c r="C335"/>
      <c r="D335"/>
      <c r="E335" s="69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</row>
    <row r="336" spans="2:27" s="25" customFormat="1" ht="15.75" customHeight="1" x14ac:dyDescent="0.2">
      <c r="B336" s="89"/>
      <c r="C336"/>
      <c r="D336"/>
      <c r="E336" s="69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</row>
    <row r="337" spans="2:27" s="25" customFormat="1" ht="15.75" customHeight="1" x14ac:dyDescent="0.2">
      <c r="B337" s="89"/>
      <c r="C337"/>
      <c r="D337"/>
      <c r="E337" s="69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</row>
    <row r="338" spans="2:27" s="25" customFormat="1" ht="15.75" customHeight="1" x14ac:dyDescent="0.2">
      <c r="B338" s="89"/>
      <c r="C338"/>
      <c r="D338"/>
      <c r="E338" s="69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</row>
    <row r="339" spans="2:27" s="25" customFormat="1" ht="15.75" customHeight="1" x14ac:dyDescent="0.2">
      <c r="B339" s="89"/>
      <c r="C339"/>
      <c r="D339"/>
      <c r="E339" s="6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</row>
    <row r="340" spans="2:27" s="25" customFormat="1" ht="15.75" customHeight="1" x14ac:dyDescent="0.2">
      <c r="B340" s="89"/>
      <c r="C340"/>
      <c r="D340"/>
      <c r="E340" s="69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</row>
    <row r="341" spans="2:27" s="25" customFormat="1" ht="15.75" customHeight="1" x14ac:dyDescent="0.2">
      <c r="B341" s="89"/>
      <c r="C341"/>
      <c r="D341"/>
      <c r="E341" s="69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</row>
    <row r="342" spans="2:27" s="25" customFormat="1" ht="15.75" customHeight="1" x14ac:dyDescent="0.2">
      <c r="B342" s="89"/>
      <c r="C342"/>
      <c r="D342"/>
      <c r="E342" s="69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</row>
    <row r="343" spans="2:27" s="25" customFormat="1" ht="15.75" customHeight="1" x14ac:dyDescent="0.2">
      <c r="B343" s="89"/>
      <c r="C343"/>
      <c r="D343"/>
      <c r="E343" s="69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</row>
    <row r="344" spans="2:27" s="25" customFormat="1" ht="15.75" customHeight="1" x14ac:dyDescent="0.2">
      <c r="B344" s="89"/>
      <c r="C344"/>
      <c r="D344"/>
      <c r="E344" s="69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</row>
    <row r="345" spans="2:27" s="25" customFormat="1" ht="15.75" customHeight="1" x14ac:dyDescent="0.2">
      <c r="B345" s="89"/>
      <c r="C345"/>
      <c r="D345"/>
      <c r="E345" s="69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</row>
    <row r="346" spans="2:27" s="25" customFormat="1" ht="15.75" customHeight="1" x14ac:dyDescent="0.2">
      <c r="B346" s="89"/>
      <c r="C346"/>
      <c r="D346"/>
      <c r="E346" s="69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</row>
    <row r="347" spans="2:27" s="25" customFormat="1" ht="15.75" customHeight="1" x14ac:dyDescent="0.2">
      <c r="B347" s="89"/>
      <c r="C347"/>
      <c r="D347"/>
      <c r="E347" s="69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</row>
    <row r="348" spans="2:27" s="25" customFormat="1" ht="15.75" customHeight="1" x14ac:dyDescent="0.2">
      <c r="B348" s="89"/>
      <c r="C348"/>
      <c r="D348"/>
      <c r="E348" s="69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</row>
    <row r="349" spans="2:27" s="25" customFormat="1" ht="15.75" customHeight="1" x14ac:dyDescent="0.2">
      <c r="B349" s="89"/>
      <c r="C349"/>
      <c r="D349"/>
      <c r="E349" s="6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</row>
    <row r="350" spans="2:27" s="25" customFormat="1" ht="15.75" customHeight="1" x14ac:dyDescent="0.2">
      <c r="B350" s="89"/>
      <c r="C350"/>
      <c r="D350"/>
      <c r="E350" s="69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</row>
    <row r="351" spans="2:27" s="25" customFormat="1" ht="15.75" customHeight="1" x14ac:dyDescent="0.2">
      <c r="B351" s="89"/>
      <c r="C351"/>
      <c r="D351"/>
      <c r="E351" s="69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</row>
    <row r="352" spans="2:27" s="25" customFormat="1" ht="15.75" customHeight="1" x14ac:dyDescent="0.2">
      <c r="B352" s="89"/>
      <c r="C352"/>
      <c r="D352"/>
      <c r="E352" s="69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</row>
    <row r="353" spans="2:27" s="25" customFormat="1" ht="15.75" customHeight="1" x14ac:dyDescent="0.2">
      <c r="B353" s="89"/>
      <c r="C353"/>
      <c r="D353"/>
      <c r="E353" s="69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</row>
    <row r="354" spans="2:27" s="25" customFormat="1" ht="15.75" customHeight="1" x14ac:dyDescent="0.2">
      <c r="B354" s="89"/>
      <c r="C354"/>
      <c r="D354"/>
      <c r="E354" s="69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  <c r="AA354"/>
    </row>
    <row r="355" spans="2:27" s="25" customFormat="1" ht="15.75" customHeight="1" x14ac:dyDescent="0.2">
      <c r="B355" s="89"/>
      <c r="C355"/>
      <c r="D355"/>
      <c r="E355" s="69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</row>
    <row r="356" spans="2:27" s="25" customFormat="1" ht="15.75" customHeight="1" x14ac:dyDescent="0.2">
      <c r="B356" s="89"/>
      <c r="C356"/>
      <c r="D356"/>
      <c r="E356" s="69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</row>
    <row r="357" spans="2:27" s="25" customFormat="1" ht="15.75" customHeight="1" x14ac:dyDescent="0.2">
      <c r="B357" s="89"/>
      <c r="C357"/>
      <c r="D357"/>
      <c r="E357" s="69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</row>
    <row r="358" spans="2:27" s="25" customFormat="1" ht="15.75" customHeight="1" x14ac:dyDescent="0.2">
      <c r="B358" s="89"/>
      <c r="C358"/>
      <c r="D358"/>
      <c r="E358" s="69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</row>
    <row r="359" spans="2:27" s="25" customFormat="1" ht="15.75" customHeight="1" x14ac:dyDescent="0.2">
      <c r="B359" s="89"/>
      <c r="C359"/>
      <c r="D359"/>
      <c r="E359" s="6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</row>
    <row r="360" spans="2:27" s="25" customFormat="1" ht="15.75" customHeight="1" x14ac:dyDescent="0.2">
      <c r="B360" s="89"/>
      <c r="C360"/>
      <c r="D360"/>
      <c r="E360" s="69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</row>
    <row r="361" spans="2:27" s="25" customFormat="1" ht="15.75" customHeight="1" x14ac:dyDescent="0.2">
      <c r="B361" s="89"/>
      <c r="C361"/>
      <c r="D361"/>
      <c r="E361" s="69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</row>
    <row r="362" spans="2:27" s="25" customFormat="1" ht="15.75" customHeight="1" x14ac:dyDescent="0.2">
      <c r="B362" s="89"/>
      <c r="C362"/>
      <c r="D362"/>
      <c r="E362" s="69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</row>
    <row r="363" spans="2:27" s="25" customFormat="1" ht="15.75" customHeight="1" x14ac:dyDescent="0.2">
      <c r="B363" s="89"/>
      <c r="C363"/>
      <c r="D363"/>
      <c r="E363" s="69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</row>
    <row r="364" spans="2:27" s="25" customFormat="1" ht="15.75" customHeight="1" x14ac:dyDescent="0.2">
      <c r="B364" s="89"/>
      <c r="C364"/>
      <c r="D364"/>
      <c r="E364" s="69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</row>
    <row r="365" spans="2:27" s="25" customFormat="1" ht="15.75" customHeight="1" x14ac:dyDescent="0.2">
      <c r="B365" s="89"/>
      <c r="C365"/>
      <c r="D365"/>
      <c r="E365" s="69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</row>
    <row r="366" spans="2:27" s="25" customFormat="1" ht="15.75" customHeight="1" x14ac:dyDescent="0.2">
      <c r="B366" s="89"/>
      <c r="C366"/>
      <c r="D366"/>
      <c r="E366" s="69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</row>
    <row r="367" spans="2:27" s="25" customFormat="1" ht="15.75" customHeight="1" x14ac:dyDescent="0.2">
      <c r="B367" s="89"/>
      <c r="C367"/>
      <c r="D367"/>
      <c r="E367" s="69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</row>
    <row r="368" spans="2:27" s="25" customFormat="1" ht="15.75" customHeight="1" x14ac:dyDescent="0.2">
      <c r="B368" s="89"/>
      <c r="C368"/>
      <c r="D368"/>
      <c r="E368" s="69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</row>
    <row r="369" spans="2:27" s="25" customFormat="1" ht="15.75" customHeight="1" x14ac:dyDescent="0.2">
      <c r="B369" s="89"/>
      <c r="C369"/>
      <c r="D369"/>
      <c r="E369" s="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</row>
    <row r="370" spans="2:27" s="25" customFormat="1" ht="15.75" customHeight="1" x14ac:dyDescent="0.2">
      <c r="B370" s="89"/>
      <c r="C370"/>
      <c r="D370"/>
      <c r="E370" s="69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</row>
    <row r="371" spans="2:27" s="25" customFormat="1" ht="15.75" customHeight="1" x14ac:dyDescent="0.2">
      <c r="B371" s="89"/>
      <c r="C371"/>
      <c r="D371"/>
      <c r="E371" s="69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</row>
    <row r="372" spans="2:27" s="25" customFormat="1" ht="15.75" customHeight="1" x14ac:dyDescent="0.2">
      <c r="B372" s="89"/>
      <c r="C372"/>
      <c r="D372"/>
      <c r="E372" s="69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</row>
    <row r="373" spans="2:27" s="25" customFormat="1" ht="15.75" customHeight="1" x14ac:dyDescent="0.2">
      <c r="B373" s="89"/>
      <c r="C373"/>
      <c r="D373"/>
      <c r="E373" s="69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</row>
    <row r="374" spans="2:27" s="25" customFormat="1" ht="15.75" customHeight="1" x14ac:dyDescent="0.2">
      <c r="B374" s="89"/>
      <c r="C374"/>
      <c r="D374"/>
      <c r="E374" s="69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</row>
    <row r="375" spans="2:27" s="25" customFormat="1" ht="15.75" customHeight="1" x14ac:dyDescent="0.2">
      <c r="B375" s="89"/>
      <c r="C375"/>
      <c r="D375"/>
      <c r="E375" s="69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</row>
    <row r="376" spans="2:27" s="25" customFormat="1" ht="15.75" customHeight="1" x14ac:dyDescent="0.2">
      <c r="B376" s="89"/>
      <c r="C376"/>
      <c r="D376"/>
      <c r="E376" s="69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</row>
    <row r="377" spans="2:27" s="25" customFormat="1" ht="15.75" customHeight="1" x14ac:dyDescent="0.2">
      <c r="B377" s="89"/>
      <c r="C377"/>
      <c r="D377"/>
      <c r="E377" s="69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</row>
    <row r="378" spans="2:27" s="25" customFormat="1" ht="15.75" customHeight="1" x14ac:dyDescent="0.2">
      <c r="B378" s="89"/>
      <c r="C378"/>
      <c r="D378"/>
      <c r="E378" s="69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</row>
    <row r="379" spans="2:27" s="25" customFormat="1" ht="15.75" customHeight="1" x14ac:dyDescent="0.2">
      <c r="B379" s="89"/>
      <c r="C379"/>
      <c r="D379"/>
      <c r="E379" s="6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</row>
    <row r="380" spans="2:27" s="25" customFormat="1" ht="15.75" customHeight="1" x14ac:dyDescent="0.2">
      <c r="B380" s="89"/>
      <c r="C380"/>
      <c r="D380"/>
      <c r="E380" s="69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</row>
    <row r="381" spans="2:27" s="25" customFormat="1" ht="15.75" customHeight="1" x14ac:dyDescent="0.2">
      <c r="B381" s="89"/>
      <c r="C381"/>
      <c r="D381"/>
      <c r="E381" s="69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  <c r="AA381"/>
    </row>
    <row r="382" spans="2:27" s="25" customFormat="1" ht="15.75" customHeight="1" x14ac:dyDescent="0.2">
      <c r="B382" s="89"/>
      <c r="C382"/>
      <c r="D382"/>
      <c r="E382" s="69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  <c r="AA382"/>
    </row>
    <row r="383" spans="2:27" s="25" customFormat="1" ht="15.75" customHeight="1" x14ac:dyDescent="0.2">
      <c r="B383" s="89"/>
      <c r="C383"/>
      <c r="D383"/>
      <c r="E383" s="69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  <c r="AA383"/>
    </row>
    <row r="384" spans="2:27" s="25" customFormat="1" ht="15.75" customHeight="1" x14ac:dyDescent="0.2">
      <c r="B384" s="89"/>
      <c r="C384"/>
      <c r="D384"/>
      <c r="E384" s="69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</row>
    <row r="385" spans="2:27" s="25" customFormat="1" ht="15.75" customHeight="1" x14ac:dyDescent="0.2">
      <c r="B385" s="89"/>
      <c r="C385"/>
      <c r="D385"/>
      <c r="E385" s="69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  <c r="AA385"/>
    </row>
    <row r="386" spans="2:27" s="25" customFormat="1" ht="15.75" customHeight="1" x14ac:dyDescent="0.2">
      <c r="B386" s="89"/>
      <c r="C386"/>
      <c r="D386"/>
      <c r="E386" s="69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</row>
    <row r="387" spans="2:27" s="25" customFormat="1" ht="15.75" customHeight="1" x14ac:dyDescent="0.2">
      <c r="B387" s="89"/>
      <c r="C387"/>
      <c r="D387"/>
      <c r="E387" s="69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/>
    </row>
    <row r="388" spans="2:27" s="25" customFormat="1" ht="15.75" customHeight="1" x14ac:dyDescent="0.2">
      <c r="B388" s="89"/>
      <c r="C388"/>
      <c r="D388"/>
      <c r="E388" s="69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</row>
    <row r="389" spans="2:27" s="25" customFormat="1" ht="15.75" customHeight="1" x14ac:dyDescent="0.2">
      <c r="B389" s="89"/>
      <c r="C389"/>
      <c r="D389"/>
      <c r="E389" s="6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</row>
    <row r="390" spans="2:27" s="25" customFormat="1" ht="15.75" customHeight="1" x14ac:dyDescent="0.2">
      <c r="B390" s="89"/>
      <c r="C390"/>
      <c r="D390"/>
      <c r="E390" s="69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</row>
    <row r="391" spans="2:27" s="25" customFormat="1" ht="15.75" customHeight="1" x14ac:dyDescent="0.2">
      <c r="B391" s="89"/>
      <c r="C391"/>
      <c r="D391"/>
      <c r="E391" s="69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  <c r="AA391"/>
    </row>
    <row r="392" spans="2:27" s="25" customFormat="1" ht="15.75" customHeight="1" x14ac:dyDescent="0.2">
      <c r="B392" s="89"/>
      <c r="C392"/>
      <c r="D392"/>
      <c r="E392" s="69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</row>
    <row r="393" spans="2:27" s="25" customFormat="1" ht="15.75" customHeight="1" x14ac:dyDescent="0.2">
      <c r="B393" s="89"/>
      <c r="C393"/>
      <c r="D393"/>
      <c r="E393" s="69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  <c r="AA393"/>
    </row>
    <row r="394" spans="2:27" s="25" customFormat="1" ht="15.75" customHeight="1" x14ac:dyDescent="0.2">
      <c r="B394" s="89"/>
      <c r="C394"/>
      <c r="D394"/>
      <c r="E394" s="69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  <c r="AA394"/>
    </row>
    <row r="395" spans="2:27" s="25" customFormat="1" ht="15.75" customHeight="1" x14ac:dyDescent="0.2">
      <c r="B395" s="89"/>
      <c r="C395"/>
      <c r="D395"/>
      <c r="E395" s="69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  <c r="AA395"/>
    </row>
    <row r="396" spans="2:27" s="25" customFormat="1" ht="15.75" customHeight="1" x14ac:dyDescent="0.2">
      <c r="B396" s="89"/>
      <c r="C396"/>
      <c r="D396"/>
      <c r="E396" s="69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</row>
    <row r="397" spans="2:27" s="25" customFormat="1" ht="15.75" customHeight="1" x14ac:dyDescent="0.2">
      <c r="B397" s="89"/>
      <c r="C397"/>
      <c r="D397"/>
      <c r="E397" s="69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</row>
    <row r="398" spans="2:27" s="25" customFormat="1" ht="15.75" customHeight="1" x14ac:dyDescent="0.2">
      <c r="B398" s="89"/>
      <c r="C398"/>
      <c r="D398"/>
      <c r="E398" s="69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</row>
    <row r="399" spans="2:27" s="25" customFormat="1" ht="15.75" customHeight="1" x14ac:dyDescent="0.2">
      <c r="B399" s="89"/>
      <c r="C399"/>
      <c r="D399"/>
      <c r="E399" s="6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</row>
    <row r="400" spans="2:27" s="25" customFormat="1" ht="15.75" customHeight="1" x14ac:dyDescent="0.2">
      <c r="B400" s="89"/>
      <c r="C400"/>
      <c r="D400"/>
      <c r="E400" s="69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</row>
    <row r="401" spans="2:27" s="25" customFormat="1" ht="15.75" customHeight="1" x14ac:dyDescent="0.2">
      <c r="B401" s="89"/>
      <c r="C401"/>
      <c r="D401"/>
      <c r="E401" s="69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</row>
    <row r="402" spans="2:27" s="25" customFormat="1" ht="15.75" customHeight="1" x14ac:dyDescent="0.2">
      <c r="B402" s="89"/>
      <c r="C402"/>
      <c r="D402"/>
      <c r="E402" s="69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</row>
    <row r="403" spans="2:27" s="25" customFormat="1" ht="15.75" customHeight="1" x14ac:dyDescent="0.2">
      <c r="B403" s="89"/>
      <c r="C403"/>
      <c r="D403"/>
      <c r="E403" s="69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</row>
    <row r="404" spans="2:27" s="25" customFormat="1" ht="15.75" customHeight="1" x14ac:dyDescent="0.2">
      <c r="B404" s="89"/>
      <c r="C404"/>
      <c r="D404"/>
      <c r="E404" s="69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</row>
    <row r="405" spans="2:27" s="25" customFormat="1" ht="15.75" customHeight="1" x14ac:dyDescent="0.2">
      <c r="B405" s="89"/>
      <c r="C405"/>
      <c r="D405"/>
      <c r="E405" s="69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</row>
    <row r="406" spans="2:27" s="25" customFormat="1" ht="15.75" customHeight="1" x14ac:dyDescent="0.2">
      <c r="B406" s="89"/>
      <c r="C406"/>
      <c r="D406"/>
      <c r="E406" s="69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  <c r="AA406"/>
    </row>
    <row r="407" spans="2:27" s="25" customFormat="1" ht="15.75" customHeight="1" x14ac:dyDescent="0.2">
      <c r="B407" s="89"/>
      <c r="C407"/>
      <c r="D407"/>
      <c r="E407" s="69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  <c r="AA407"/>
    </row>
    <row r="408" spans="2:27" s="25" customFormat="1" ht="15.75" customHeight="1" x14ac:dyDescent="0.2">
      <c r="B408" s="89"/>
      <c r="C408"/>
      <c r="D408"/>
      <c r="E408" s="69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</row>
    <row r="409" spans="2:27" s="25" customFormat="1" ht="15.75" customHeight="1" x14ac:dyDescent="0.2">
      <c r="B409" s="89"/>
      <c r="C409"/>
      <c r="D409"/>
      <c r="E409" s="6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</row>
    <row r="410" spans="2:27" s="25" customFormat="1" ht="15.75" customHeight="1" x14ac:dyDescent="0.2">
      <c r="B410" s="89"/>
      <c r="C410"/>
      <c r="D410"/>
      <c r="E410" s="69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</row>
    <row r="411" spans="2:27" s="25" customFormat="1" ht="15.75" customHeight="1" x14ac:dyDescent="0.2">
      <c r="B411" s="89"/>
      <c r="C411"/>
      <c r="D411"/>
      <c r="E411" s="69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  <c r="AA411"/>
    </row>
    <row r="412" spans="2:27" s="25" customFormat="1" ht="15.75" customHeight="1" x14ac:dyDescent="0.2">
      <c r="B412" s="89"/>
      <c r="C412"/>
      <c r="D412"/>
      <c r="E412" s="69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</row>
    <row r="413" spans="2:27" s="25" customFormat="1" ht="15.75" customHeight="1" x14ac:dyDescent="0.2">
      <c r="B413" s="89"/>
      <c r="C413"/>
      <c r="D413"/>
      <c r="E413" s="69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/>
    </row>
    <row r="414" spans="2:27" s="25" customFormat="1" ht="15.75" customHeight="1" x14ac:dyDescent="0.2">
      <c r="B414" s="89"/>
      <c r="C414"/>
      <c r="D414"/>
      <c r="E414" s="69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  <c r="AA414"/>
    </row>
    <row r="415" spans="2:27" s="25" customFormat="1" ht="15.75" customHeight="1" x14ac:dyDescent="0.2">
      <c r="B415" s="89"/>
      <c r="C415"/>
      <c r="D415"/>
      <c r="E415" s="69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  <c r="Z415"/>
      <c r="AA415"/>
    </row>
    <row r="416" spans="2:27" s="25" customFormat="1" ht="15.75" customHeight="1" x14ac:dyDescent="0.2">
      <c r="B416" s="89"/>
      <c r="C416"/>
      <c r="D416"/>
      <c r="E416" s="69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  <c r="AA416"/>
    </row>
    <row r="417" spans="2:27" s="25" customFormat="1" ht="15.75" customHeight="1" x14ac:dyDescent="0.2">
      <c r="B417" s="89"/>
      <c r="C417"/>
      <c r="D417"/>
      <c r="E417" s="69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  <c r="AA417"/>
    </row>
    <row r="418" spans="2:27" s="25" customFormat="1" ht="15.75" customHeight="1" x14ac:dyDescent="0.2">
      <c r="B418" s="89"/>
      <c r="C418"/>
      <c r="D418"/>
      <c r="E418" s="69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  <c r="AA418"/>
    </row>
    <row r="419" spans="2:27" s="25" customFormat="1" ht="15.75" customHeight="1" x14ac:dyDescent="0.2">
      <c r="B419" s="89"/>
      <c r="C419"/>
      <c r="D419"/>
      <c r="E419" s="6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  <c r="AA419"/>
    </row>
    <row r="420" spans="2:27" s="25" customFormat="1" ht="15.75" customHeight="1" x14ac:dyDescent="0.2">
      <c r="B420" s="89"/>
      <c r="C420"/>
      <c r="D420"/>
      <c r="E420" s="69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</row>
    <row r="421" spans="2:27" s="25" customFormat="1" ht="15.75" customHeight="1" x14ac:dyDescent="0.2">
      <c r="B421" s="89"/>
      <c r="C421"/>
      <c r="D421"/>
      <c r="E421" s="69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/>
      <c r="W421"/>
      <c r="X421"/>
      <c r="Y421"/>
      <c r="Z421"/>
      <c r="AA421"/>
    </row>
    <row r="422" spans="2:27" s="25" customFormat="1" ht="15.75" customHeight="1" x14ac:dyDescent="0.2">
      <c r="B422" s="89"/>
      <c r="C422"/>
      <c r="D422"/>
      <c r="E422" s="69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  <c r="AA422"/>
    </row>
    <row r="423" spans="2:27" s="25" customFormat="1" ht="15.75" customHeight="1" x14ac:dyDescent="0.2">
      <c r="B423" s="89"/>
      <c r="C423"/>
      <c r="D423"/>
      <c r="E423" s="69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  <c r="AA423"/>
    </row>
    <row r="424" spans="2:27" s="25" customFormat="1" ht="15.75" customHeight="1" x14ac:dyDescent="0.2">
      <c r="B424" s="89"/>
      <c r="C424"/>
      <c r="D424"/>
      <c r="E424" s="69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  <c r="AA424"/>
    </row>
    <row r="425" spans="2:27" s="25" customFormat="1" ht="15.75" customHeight="1" x14ac:dyDescent="0.2">
      <c r="B425" s="89"/>
      <c r="C425"/>
      <c r="D425"/>
      <c r="E425" s="69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  <c r="AA425"/>
    </row>
    <row r="426" spans="2:27" s="25" customFormat="1" ht="15.75" customHeight="1" x14ac:dyDescent="0.2">
      <c r="B426" s="89"/>
      <c r="C426"/>
      <c r="D426"/>
      <c r="E426" s="69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  <c r="AA426"/>
    </row>
    <row r="427" spans="2:27" s="25" customFormat="1" ht="15.75" customHeight="1" x14ac:dyDescent="0.2">
      <c r="B427" s="89"/>
      <c r="C427"/>
      <c r="D427"/>
      <c r="E427" s="69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  <c r="AA427"/>
    </row>
    <row r="428" spans="2:27" s="25" customFormat="1" ht="15.75" customHeight="1" x14ac:dyDescent="0.2">
      <c r="B428" s="89"/>
      <c r="C428"/>
      <c r="D428"/>
      <c r="E428" s="69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</row>
    <row r="429" spans="2:27" s="25" customFormat="1" ht="15.75" customHeight="1" x14ac:dyDescent="0.2">
      <c r="B429" s="89"/>
      <c r="C429"/>
      <c r="D429"/>
      <c r="E429" s="6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  <c r="AA429"/>
    </row>
    <row r="430" spans="2:27" s="25" customFormat="1" ht="15.75" customHeight="1" x14ac:dyDescent="0.2">
      <c r="B430" s="89"/>
      <c r="C430"/>
      <c r="D430"/>
      <c r="E430" s="69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  <c r="W430"/>
      <c r="X430"/>
      <c r="Y430"/>
      <c r="Z430"/>
      <c r="AA430"/>
    </row>
    <row r="431" spans="2:27" s="25" customFormat="1" ht="15.75" customHeight="1" x14ac:dyDescent="0.2">
      <c r="B431" s="89"/>
      <c r="C431"/>
      <c r="D431"/>
      <c r="E431" s="69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  <c r="Y431"/>
      <c r="Z431"/>
      <c r="AA431"/>
    </row>
    <row r="432" spans="2:27" s="25" customFormat="1" ht="15.75" customHeight="1" x14ac:dyDescent="0.2">
      <c r="B432" s="89"/>
      <c r="C432"/>
      <c r="D432"/>
      <c r="E432" s="69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  <c r="AA432"/>
    </row>
    <row r="433" spans="2:27" s="25" customFormat="1" ht="15.75" customHeight="1" x14ac:dyDescent="0.2">
      <c r="B433" s="89"/>
      <c r="C433"/>
      <c r="D433"/>
      <c r="E433" s="69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  <c r="AA433"/>
    </row>
    <row r="434" spans="2:27" s="25" customFormat="1" ht="15.75" customHeight="1" x14ac:dyDescent="0.2">
      <c r="B434" s="89"/>
      <c r="C434"/>
      <c r="D434"/>
      <c r="E434" s="69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  <c r="AA434"/>
    </row>
    <row r="435" spans="2:27" s="25" customFormat="1" ht="15.75" customHeight="1" x14ac:dyDescent="0.2">
      <c r="B435" s="89"/>
      <c r="C435"/>
      <c r="D435"/>
      <c r="E435" s="69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  <c r="V435"/>
      <c r="W435"/>
      <c r="X435"/>
      <c r="Y435"/>
      <c r="Z435"/>
      <c r="AA435"/>
    </row>
    <row r="436" spans="2:27" s="25" customFormat="1" ht="15.75" customHeight="1" x14ac:dyDescent="0.2">
      <c r="B436" s="89"/>
      <c r="C436"/>
      <c r="D436"/>
      <c r="E436" s="69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</row>
    <row r="437" spans="2:27" s="25" customFormat="1" ht="15.75" customHeight="1" x14ac:dyDescent="0.2">
      <c r="B437" s="89"/>
      <c r="C437"/>
      <c r="D437"/>
      <c r="E437" s="69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  <c r="Y437"/>
      <c r="Z437"/>
      <c r="AA437"/>
    </row>
    <row r="438" spans="2:27" s="25" customFormat="1" ht="15.75" customHeight="1" x14ac:dyDescent="0.2">
      <c r="B438" s="89"/>
      <c r="C438"/>
      <c r="D438"/>
      <c r="E438" s="69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  <c r="W438"/>
      <c r="X438"/>
      <c r="Y438"/>
      <c r="Z438"/>
      <c r="AA438"/>
    </row>
    <row r="439" spans="2:27" s="25" customFormat="1" ht="15.75" customHeight="1" x14ac:dyDescent="0.2">
      <c r="B439" s="89"/>
      <c r="C439"/>
      <c r="D439"/>
      <c r="E439" s="6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  <c r="AA439"/>
    </row>
    <row r="440" spans="2:27" s="25" customFormat="1" ht="15.75" customHeight="1" x14ac:dyDescent="0.2">
      <c r="B440" s="89"/>
      <c r="C440"/>
      <c r="D440"/>
      <c r="E440" s="69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</row>
    <row r="441" spans="2:27" s="25" customFormat="1" ht="15.75" customHeight="1" x14ac:dyDescent="0.2">
      <c r="B441" s="89"/>
      <c r="C441"/>
      <c r="D441"/>
      <c r="E441" s="69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/>
      <c r="W441"/>
      <c r="X441"/>
      <c r="Y441"/>
      <c r="Z441"/>
      <c r="AA441"/>
    </row>
    <row r="442" spans="2:27" s="25" customFormat="1" ht="15.75" customHeight="1" x14ac:dyDescent="0.2">
      <c r="B442" s="89"/>
      <c r="C442"/>
      <c r="D442"/>
      <c r="E442" s="69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  <c r="AA442"/>
    </row>
    <row r="443" spans="2:27" s="25" customFormat="1" ht="15.75" customHeight="1" x14ac:dyDescent="0.2">
      <c r="B443" s="89"/>
      <c r="C443"/>
      <c r="D443"/>
      <c r="E443" s="69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  <c r="AA443"/>
    </row>
    <row r="444" spans="2:27" s="25" customFormat="1" ht="15.75" customHeight="1" x14ac:dyDescent="0.2">
      <c r="B444" s="89"/>
      <c r="C444"/>
      <c r="D444"/>
      <c r="E444" s="69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  <c r="AA444"/>
    </row>
    <row r="445" spans="2:27" s="25" customFormat="1" ht="15.75" customHeight="1" x14ac:dyDescent="0.2">
      <c r="B445" s="89"/>
      <c r="C445"/>
      <c r="D445"/>
      <c r="E445" s="69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  <c r="V445"/>
      <c r="W445"/>
      <c r="X445"/>
      <c r="Y445"/>
      <c r="Z445"/>
      <c r="AA445"/>
    </row>
    <row r="446" spans="2:27" s="25" customFormat="1" ht="15.75" customHeight="1" x14ac:dyDescent="0.2">
      <c r="B446" s="89"/>
      <c r="C446"/>
      <c r="D446"/>
      <c r="E446" s="69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  <c r="Y446"/>
      <c r="Z446"/>
      <c r="AA446"/>
    </row>
    <row r="447" spans="2:27" s="25" customFormat="1" ht="15.75" customHeight="1" x14ac:dyDescent="0.2">
      <c r="B447" s="89"/>
      <c r="C447"/>
      <c r="D447"/>
      <c r="E447" s="69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  <c r="W447"/>
      <c r="X447"/>
      <c r="Y447"/>
      <c r="Z447"/>
      <c r="AA447"/>
    </row>
    <row r="448" spans="2:27" s="25" customFormat="1" ht="15.75" customHeight="1" x14ac:dyDescent="0.2">
      <c r="B448" s="89"/>
      <c r="C448"/>
      <c r="D448"/>
      <c r="E448" s="69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</row>
    <row r="449" spans="2:27" s="25" customFormat="1" ht="15.75" customHeight="1" x14ac:dyDescent="0.2">
      <c r="B449" s="89"/>
      <c r="C449"/>
      <c r="D449"/>
      <c r="E449" s="6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  <c r="W449"/>
      <c r="X449"/>
      <c r="Y449"/>
      <c r="Z449"/>
      <c r="AA449"/>
    </row>
    <row r="450" spans="2:27" s="25" customFormat="1" ht="15.75" customHeight="1" x14ac:dyDescent="0.2">
      <c r="B450" s="89"/>
      <c r="C450"/>
      <c r="D450"/>
      <c r="E450" s="69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  <c r="AA450"/>
    </row>
    <row r="451" spans="2:27" s="25" customFormat="1" ht="15.75" customHeight="1" x14ac:dyDescent="0.2">
      <c r="B451" s="89"/>
      <c r="C451"/>
      <c r="D451"/>
      <c r="E451" s="69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  <c r="AA451"/>
    </row>
    <row r="452" spans="2:27" s="25" customFormat="1" ht="15.75" customHeight="1" x14ac:dyDescent="0.2">
      <c r="B452" s="89"/>
      <c r="C452"/>
      <c r="D452"/>
      <c r="E452" s="69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</row>
    <row r="453" spans="2:27" s="25" customFormat="1" ht="15.75" customHeight="1" x14ac:dyDescent="0.2">
      <c r="B453" s="89"/>
      <c r="C453"/>
      <c r="D453"/>
      <c r="E453" s="69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  <c r="AA453"/>
    </row>
    <row r="454" spans="2:27" s="25" customFormat="1" ht="15.75" customHeight="1" x14ac:dyDescent="0.2">
      <c r="B454" s="89"/>
      <c r="C454"/>
      <c r="D454"/>
      <c r="E454" s="69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  <c r="AA454"/>
    </row>
    <row r="455" spans="2:27" s="25" customFormat="1" ht="15.75" customHeight="1" x14ac:dyDescent="0.2">
      <c r="B455" s="89"/>
      <c r="C455"/>
      <c r="D455"/>
      <c r="E455" s="69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  <c r="AA455"/>
    </row>
    <row r="456" spans="2:27" s="25" customFormat="1" ht="15.75" customHeight="1" x14ac:dyDescent="0.2">
      <c r="B456" s="89"/>
      <c r="C456"/>
      <c r="D456"/>
      <c r="E456" s="69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  <c r="AA456"/>
    </row>
    <row r="457" spans="2:27" s="25" customFormat="1" ht="15.75" customHeight="1" x14ac:dyDescent="0.2">
      <c r="B457" s="89"/>
      <c r="C457"/>
      <c r="D457"/>
      <c r="E457" s="69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  <c r="AA457"/>
    </row>
    <row r="458" spans="2:27" s="25" customFormat="1" ht="15.75" customHeight="1" x14ac:dyDescent="0.2">
      <c r="B458" s="89"/>
      <c r="C458"/>
      <c r="D458"/>
      <c r="E458" s="69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  <c r="V458"/>
      <c r="W458"/>
      <c r="X458"/>
      <c r="Y458"/>
      <c r="Z458"/>
      <c r="AA458"/>
    </row>
    <row r="459" spans="2:27" s="25" customFormat="1" ht="15.75" customHeight="1" x14ac:dyDescent="0.2">
      <c r="B459" s="89"/>
      <c r="C459"/>
      <c r="D459"/>
      <c r="E459" s="6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  <c r="AA459"/>
    </row>
    <row r="460" spans="2:27" s="25" customFormat="1" ht="15.75" customHeight="1" x14ac:dyDescent="0.2">
      <c r="B460" s="89"/>
      <c r="C460"/>
      <c r="D460"/>
      <c r="E460" s="69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  <c r="AA460"/>
    </row>
    <row r="461" spans="2:27" s="25" customFormat="1" ht="15.75" customHeight="1" x14ac:dyDescent="0.2">
      <c r="B461" s="89"/>
      <c r="C461"/>
      <c r="D461"/>
      <c r="E461" s="69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  <c r="AA461"/>
    </row>
    <row r="462" spans="2:27" s="25" customFormat="1" ht="15.75" customHeight="1" x14ac:dyDescent="0.2">
      <c r="B462" s="89"/>
      <c r="C462"/>
      <c r="D462"/>
      <c r="E462" s="69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  <c r="AA462"/>
    </row>
    <row r="463" spans="2:27" s="25" customFormat="1" ht="15.75" customHeight="1" x14ac:dyDescent="0.2">
      <c r="B463" s="89"/>
      <c r="C463"/>
      <c r="D463"/>
      <c r="E463" s="69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  <c r="AA463"/>
    </row>
    <row r="464" spans="2:27" s="25" customFormat="1" ht="15.75" customHeight="1" x14ac:dyDescent="0.2">
      <c r="B464" s="89"/>
      <c r="C464"/>
      <c r="D464"/>
      <c r="E464" s="69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  <c r="AA464"/>
    </row>
    <row r="465" spans="2:27" s="25" customFormat="1" ht="15.75" customHeight="1" x14ac:dyDescent="0.2">
      <c r="B465" s="89"/>
      <c r="C465"/>
      <c r="D465"/>
      <c r="E465" s="69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  <c r="AA465"/>
    </row>
    <row r="466" spans="2:27" s="25" customFormat="1" ht="15.75" customHeight="1" x14ac:dyDescent="0.2">
      <c r="B466" s="89"/>
      <c r="C466"/>
      <c r="D466"/>
      <c r="E466" s="69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  <c r="AA466"/>
    </row>
    <row r="467" spans="2:27" s="25" customFormat="1" ht="15.75" customHeight="1" x14ac:dyDescent="0.2">
      <c r="B467" s="89"/>
      <c r="C467"/>
      <c r="D467"/>
      <c r="E467" s="69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  <c r="AA467"/>
    </row>
    <row r="468" spans="2:27" s="25" customFormat="1" ht="15.75" customHeight="1" x14ac:dyDescent="0.2">
      <c r="B468" s="89"/>
      <c r="C468"/>
      <c r="D468"/>
      <c r="E468" s="69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</row>
    <row r="469" spans="2:27" s="25" customFormat="1" ht="15.75" customHeight="1" x14ac:dyDescent="0.2">
      <c r="B469" s="89"/>
      <c r="C469"/>
      <c r="D469"/>
      <c r="E469" s="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  <c r="AA469"/>
    </row>
    <row r="470" spans="2:27" s="25" customFormat="1" ht="15.75" customHeight="1" x14ac:dyDescent="0.2">
      <c r="B470" s="89"/>
      <c r="C470"/>
      <c r="D470"/>
      <c r="E470" s="69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  <c r="AA470"/>
    </row>
    <row r="471" spans="2:27" s="25" customFormat="1" ht="15.75" customHeight="1" x14ac:dyDescent="0.2">
      <c r="B471" s="89"/>
      <c r="C471"/>
      <c r="D471"/>
      <c r="E471" s="69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  <c r="AA471"/>
    </row>
    <row r="472" spans="2:27" s="25" customFormat="1" ht="15.75" customHeight="1" x14ac:dyDescent="0.2">
      <c r="B472" s="89"/>
      <c r="C472"/>
      <c r="D472"/>
      <c r="E472" s="69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  <c r="AA472"/>
    </row>
    <row r="473" spans="2:27" s="25" customFormat="1" ht="15.75" customHeight="1" x14ac:dyDescent="0.2">
      <c r="B473" s="89"/>
      <c r="C473"/>
      <c r="D473"/>
      <c r="E473" s="69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  <c r="W473"/>
      <c r="X473"/>
      <c r="Y473"/>
      <c r="Z473"/>
      <c r="AA473"/>
    </row>
    <row r="474" spans="2:27" s="25" customFormat="1" ht="15.75" customHeight="1" x14ac:dyDescent="0.2">
      <c r="B474" s="89"/>
      <c r="C474"/>
      <c r="D474"/>
      <c r="E474" s="69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/>
      <c r="W474"/>
      <c r="X474"/>
      <c r="Y474"/>
      <c r="Z474"/>
      <c r="AA474"/>
    </row>
    <row r="475" spans="2:27" s="25" customFormat="1" ht="15.75" customHeight="1" x14ac:dyDescent="0.2">
      <c r="B475" s="89"/>
      <c r="C475"/>
      <c r="D475"/>
      <c r="E475" s="69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  <c r="W475"/>
      <c r="X475"/>
      <c r="Y475"/>
      <c r="Z475"/>
      <c r="AA475"/>
    </row>
    <row r="476" spans="2:27" s="25" customFormat="1" ht="15.75" customHeight="1" x14ac:dyDescent="0.2">
      <c r="B476" s="89"/>
      <c r="C476"/>
      <c r="D476"/>
      <c r="E476" s="69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  <c r="W476"/>
      <c r="X476"/>
      <c r="Y476"/>
      <c r="Z476"/>
      <c r="AA476"/>
    </row>
    <row r="477" spans="2:27" s="25" customFormat="1" ht="15.75" customHeight="1" x14ac:dyDescent="0.2">
      <c r="B477" s="89"/>
      <c r="C477"/>
      <c r="D477"/>
      <c r="E477" s="69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  <c r="W477"/>
      <c r="X477"/>
      <c r="Y477"/>
      <c r="Z477"/>
      <c r="AA477"/>
    </row>
    <row r="478" spans="2:27" s="25" customFormat="1" ht="15.75" customHeight="1" x14ac:dyDescent="0.2">
      <c r="B478" s="89"/>
      <c r="C478"/>
      <c r="D478"/>
      <c r="E478" s="69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  <c r="W478"/>
      <c r="X478"/>
      <c r="Y478"/>
      <c r="Z478"/>
      <c r="AA478"/>
    </row>
    <row r="479" spans="2:27" s="25" customFormat="1" ht="15.75" customHeight="1" x14ac:dyDescent="0.2">
      <c r="B479" s="89"/>
      <c r="C479"/>
      <c r="D479"/>
      <c r="E479" s="6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  <c r="W479"/>
      <c r="X479"/>
      <c r="Y479"/>
      <c r="Z479"/>
      <c r="AA479"/>
    </row>
    <row r="480" spans="2:27" s="25" customFormat="1" ht="15.75" customHeight="1" x14ac:dyDescent="0.2">
      <c r="B480" s="89"/>
      <c r="C480"/>
      <c r="D480"/>
      <c r="E480" s="69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  <c r="AA480"/>
    </row>
    <row r="481" spans="2:27" s="25" customFormat="1" ht="15.75" customHeight="1" x14ac:dyDescent="0.2">
      <c r="B481" s="89"/>
      <c r="C481"/>
      <c r="D481"/>
      <c r="E481" s="69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  <c r="V481"/>
      <c r="W481"/>
      <c r="X481"/>
      <c r="Y481"/>
      <c r="Z481"/>
      <c r="AA481"/>
    </row>
    <row r="482" spans="2:27" s="25" customFormat="1" ht="15.75" customHeight="1" x14ac:dyDescent="0.2">
      <c r="B482" s="89"/>
      <c r="C482"/>
      <c r="D482"/>
      <c r="E482" s="69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  <c r="W482"/>
      <c r="X482"/>
      <c r="Y482"/>
      <c r="Z482"/>
      <c r="AA482"/>
    </row>
    <row r="483" spans="2:27" s="25" customFormat="1" ht="15.75" customHeight="1" x14ac:dyDescent="0.2">
      <c r="B483" s="89"/>
      <c r="C483"/>
      <c r="D483"/>
      <c r="E483" s="69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  <c r="W483"/>
      <c r="X483"/>
      <c r="Y483"/>
      <c r="Z483"/>
      <c r="AA483"/>
    </row>
    <row r="484" spans="2:27" s="25" customFormat="1" ht="15.75" customHeight="1" x14ac:dyDescent="0.2">
      <c r="B484" s="89"/>
      <c r="C484"/>
      <c r="D484"/>
      <c r="E484" s="69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  <c r="AA484"/>
    </row>
    <row r="485" spans="2:27" s="25" customFormat="1" ht="15.75" customHeight="1" x14ac:dyDescent="0.2">
      <c r="B485" s="89"/>
      <c r="C485"/>
      <c r="D485"/>
      <c r="E485" s="69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  <c r="W485"/>
      <c r="X485"/>
      <c r="Y485"/>
      <c r="Z485"/>
      <c r="AA485"/>
    </row>
    <row r="486" spans="2:27" s="25" customFormat="1" ht="15.75" customHeight="1" x14ac:dyDescent="0.2">
      <c r="B486" s="89"/>
      <c r="C486"/>
      <c r="D486"/>
      <c r="E486" s="69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  <c r="V486"/>
      <c r="W486"/>
      <c r="X486"/>
      <c r="Y486"/>
      <c r="Z486"/>
      <c r="AA486"/>
    </row>
    <row r="487" spans="2:27" s="25" customFormat="1" ht="15.75" customHeight="1" x14ac:dyDescent="0.2">
      <c r="B487" s="89"/>
      <c r="C487"/>
      <c r="D487"/>
      <c r="E487" s="69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  <c r="V487"/>
      <c r="W487"/>
      <c r="X487"/>
      <c r="Y487"/>
      <c r="Z487"/>
      <c r="AA487"/>
    </row>
    <row r="488" spans="2:27" s="25" customFormat="1" ht="15.75" customHeight="1" x14ac:dyDescent="0.2">
      <c r="B488" s="89"/>
      <c r="C488"/>
      <c r="D488"/>
      <c r="E488" s="69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  <c r="AA488"/>
    </row>
    <row r="489" spans="2:27" s="25" customFormat="1" ht="15.75" customHeight="1" x14ac:dyDescent="0.2">
      <c r="B489" s="89"/>
      <c r="C489"/>
      <c r="D489"/>
      <c r="E489" s="6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  <c r="W489"/>
      <c r="X489"/>
      <c r="Y489"/>
      <c r="Z489"/>
      <c r="AA489"/>
    </row>
    <row r="490" spans="2:27" s="25" customFormat="1" ht="15.75" customHeight="1" x14ac:dyDescent="0.2">
      <c r="B490" s="89"/>
      <c r="C490"/>
      <c r="D490"/>
      <c r="E490" s="69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  <c r="V490"/>
      <c r="W490"/>
      <c r="X490"/>
      <c r="Y490"/>
      <c r="Z490"/>
      <c r="AA490"/>
    </row>
    <row r="491" spans="2:27" s="25" customFormat="1" ht="15.75" customHeight="1" x14ac:dyDescent="0.2">
      <c r="B491" s="89"/>
      <c r="C491"/>
      <c r="D491"/>
      <c r="E491" s="69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  <c r="V491"/>
      <c r="W491"/>
      <c r="X491"/>
      <c r="Y491"/>
      <c r="Z491"/>
      <c r="AA491"/>
    </row>
    <row r="492" spans="2:27" s="25" customFormat="1" ht="15.75" customHeight="1" x14ac:dyDescent="0.2">
      <c r="B492" s="89"/>
      <c r="C492"/>
      <c r="D492"/>
      <c r="E492" s="69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  <c r="AA492"/>
    </row>
    <row r="493" spans="2:27" s="25" customFormat="1" ht="15.75" customHeight="1" x14ac:dyDescent="0.2">
      <c r="B493" s="89"/>
      <c r="C493"/>
      <c r="D493"/>
      <c r="E493" s="69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  <c r="W493"/>
      <c r="X493"/>
      <c r="Y493"/>
      <c r="Z493"/>
      <c r="AA493"/>
    </row>
    <row r="494" spans="2:27" s="25" customFormat="1" ht="15.75" customHeight="1" x14ac:dyDescent="0.2">
      <c r="B494" s="89"/>
      <c r="C494"/>
      <c r="D494"/>
      <c r="E494" s="69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  <c r="W494"/>
      <c r="X494"/>
      <c r="Y494"/>
      <c r="Z494"/>
      <c r="AA494"/>
    </row>
    <row r="495" spans="2:27" s="25" customFormat="1" ht="15.75" customHeight="1" x14ac:dyDescent="0.2">
      <c r="B495" s="89"/>
      <c r="C495"/>
      <c r="D495"/>
      <c r="E495" s="69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  <c r="V495"/>
      <c r="W495"/>
      <c r="X495"/>
      <c r="Y495"/>
      <c r="Z495"/>
      <c r="AA495"/>
    </row>
    <row r="496" spans="2:27" s="25" customFormat="1" ht="15.75" customHeight="1" x14ac:dyDescent="0.2">
      <c r="B496" s="89"/>
      <c r="C496"/>
      <c r="D496"/>
      <c r="E496" s="69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  <c r="W496"/>
      <c r="X496"/>
      <c r="Y496"/>
      <c r="Z496"/>
      <c r="AA496"/>
    </row>
    <row r="497" spans="2:27" s="25" customFormat="1" ht="15.75" customHeight="1" x14ac:dyDescent="0.2">
      <c r="B497" s="89"/>
      <c r="C497"/>
      <c r="D497"/>
      <c r="E497" s="69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  <c r="W497"/>
      <c r="X497"/>
      <c r="Y497"/>
      <c r="Z497"/>
      <c r="AA497"/>
    </row>
    <row r="498" spans="2:27" s="25" customFormat="1" ht="15.75" customHeight="1" x14ac:dyDescent="0.2">
      <c r="B498" s="89"/>
      <c r="C498"/>
      <c r="D498"/>
      <c r="E498" s="69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  <c r="W498"/>
      <c r="X498"/>
      <c r="Y498"/>
      <c r="Z498"/>
      <c r="AA498"/>
    </row>
    <row r="499" spans="2:27" s="25" customFormat="1" ht="15.75" customHeight="1" x14ac:dyDescent="0.2">
      <c r="B499" s="89"/>
      <c r="C499"/>
      <c r="D499"/>
      <c r="E499" s="6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  <c r="W499"/>
      <c r="X499"/>
      <c r="Y499"/>
      <c r="Z499"/>
      <c r="AA499"/>
    </row>
    <row r="500" spans="2:27" s="25" customFormat="1" ht="15.75" customHeight="1" x14ac:dyDescent="0.2">
      <c r="B500" s="89"/>
      <c r="C500"/>
      <c r="D500"/>
      <c r="E500" s="69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  <c r="AA500"/>
    </row>
    <row r="501" spans="2:27" s="25" customFormat="1" ht="15.75" customHeight="1" x14ac:dyDescent="0.2">
      <c r="B501" s="89"/>
      <c r="C501"/>
      <c r="D501"/>
      <c r="E501" s="69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/>
      <c r="W501"/>
      <c r="X501"/>
      <c r="Y501"/>
      <c r="Z501"/>
      <c r="AA501"/>
    </row>
    <row r="502" spans="2:27" s="25" customFormat="1" ht="15.75" customHeight="1" x14ac:dyDescent="0.2">
      <c r="B502" s="89"/>
      <c r="C502"/>
      <c r="D502"/>
      <c r="E502" s="69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  <c r="W502"/>
      <c r="X502"/>
      <c r="Y502"/>
      <c r="Z502"/>
      <c r="AA502"/>
    </row>
    <row r="503" spans="2:27" s="25" customFormat="1" ht="15.75" customHeight="1" x14ac:dyDescent="0.2">
      <c r="B503" s="89"/>
      <c r="C503"/>
      <c r="D503"/>
      <c r="E503" s="69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  <c r="AA503"/>
    </row>
    <row r="504" spans="2:27" s="25" customFormat="1" ht="15.75" customHeight="1" x14ac:dyDescent="0.2">
      <c r="B504" s="89"/>
      <c r="C504"/>
      <c r="D504"/>
      <c r="E504" s="69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  <c r="V504"/>
      <c r="W504"/>
      <c r="X504"/>
      <c r="Y504"/>
      <c r="Z504"/>
      <c r="AA504"/>
    </row>
    <row r="505" spans="2:27" s="25" customFormat="1" ht="15.75" customHeight="1" x14ac:dyDescent="0.2">
      <c r="B505" s="89"/>
      <c r="C505"/>
      <c r="D505"/>
      <c r="E505" s="69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  <c r="V505"/>
      <c r="W505"/>
      <c r="X505"/>
      <c r="Y505"/>
      <c r="Z505"/>
      <c r="AA505"/>
    </row>
    <row r="506" spans="2:27" s="25" customFormat="1" ht="15.75" customHeight="1" x14ac:dyDescent="0.2">
      <c r="B506" s="89"/>
      <c r="C506"/>
      <c r="D506"/>
      <c r="E506" s="69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  <c r="V506"/>
      <c r="W506"/>
      <c r="X506"/>
      <c r="Y506"/>
      <c r="Z506"/>
      <c r="AA506"/>
    </row>
    <row r="507" spans="2:27" s="25" customFormat="1" ht="15.75" customHeight="1" x14ac:dyDescent="0.2">
      <c r="B507" s="89"/>
      <c r="C507"/>
      <c r="D507"/>
      <c r="E507" s="69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  <c r="V507"/>
      <c r="W507"/>
      <c r="X507"/>
      <c r="Y507"/>
      <c r="Z507"/>
      <c r="AA507"/>
    </row>
    <row r="508" spans="2:27" s="25" customFormat="1" ht="15.75" customHeight="1" x14ac:dyDescent="0.2">
      <c r="B508" s="89"/>
      <c r="C508"/>
      <c r="D508"/>
      <c r="E508" s="69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  <c r="V508"/>
      <c r="W508"/>
      <c r="X508"/>
      <c r="Y508"/>
      <c r="Z508"/>
      <c r="AA508"/>
    </row>
    <row r="509" spans="2:27" s="25" customFormat="1" ht="15.75" customHeight="1" x14ac:dyDescent="0.2">
      <c r="B509" s="89"/>
      <c r="C509"/>
      <c r="D509"/>
      <c r="E509" s="6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  <c r="V509"/>
      <c r="W509"/>
      <c r="X509"/>
      <c r="Y509"/>
      <c r="Z509"/>
      <c r="AA509"/>
    </row>
    <row r="510" spans="2:27" s="25" customFormat="1" ht="15.75" customHeight="1" x14ac:dyDescent="0.2">
      <c r="B510" s="89"/>
      <c r="C510"/>
      <c r="D510"/>
      <c r="E510" s="69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  <c r="V510"/>
      <c r="W510"/>
      <c r="X510"/>
      <c r="Y510"/>
      <c r="Z510"/>
      <c r="AA510"/>
    </row>
    <row r="511" spans="2:27" s="25" customFormat="1" ht="15.75" customHeight="1" x14ac:dyDescent="0.2">
      <c r="B511" s="89"/>
      <c r="C511"/>
      <c r="D511"/>
      <c r="E511" s="69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  <c r="V511"/>
      <c r="W511"/>
      <c r="X511"/>
      <c r="Y511"/>
      <c r="Z511"/>
      <c r="AA511"/>
    </row>
    <row r="512" spans="2:27" s="25" customFormat="1" ht="15.75" customHeight="1" x14ac:dyDescent="0.2">
      <c r="B512" s="89"/>
      <c r="C512"/>
      <c r="D512"/>
      <c r="E512" s="69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  <c r="V512"/>
      <c r="W512"/>
      <c r="X512"/>
      <c r="Y512"/>
      <c r="Z512"/>
      <c r="AA512"/>
    </row>
    <row r="513" spans="2:27" s="25" customFormat="1" ht="15.75" customHeight="1" x14ac:dyDescent="0.2">
      <c r="B513" s="89"/>
      <c r="C513"/>
      <c r="D513"/>
      <c r="E513" s="69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  <c r="V513"/>
      <c r="W513"/>
      <c r="X513"/>
      <c r="Y513"/>
      <c r="Z513"/>
      <c r="AA513"/>
    </row>
    <row r="514" spans="2:27" s="25" customFormat="1" ht="15.75" customHeight="1" x14ac:dyDescent="0.2">
      <c r="B514" s="89"/>
      <c r="C514"/>
      <c r="D514"/>
      <c r="E514" s="69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  <c r="V514"/>
      <c r="W514"/>
      <c r="X514"/>
      <c r="Y514"/>
      <c r="Z514"/>
      <c r="AA514"/>
    </row>
    <row r="515" spans="2:27" s="25" customFormat="1" ht="15.75" customHeight="1" x14ac:dyDescent="0.2">
      <c r="B515" s="89"/>
      <c r="C515"/>
      <c r="D515"/>
      <c r="E515" s="69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  <c r="V515"/>
      <c r="W515"/>
      <c r="X515"/>
      <c r="Y515"/>
      <c r="Z515"/>
      <c r="AA515"/>
    </row>
    <row r="516" spans="2:27" s="25" customFormat="1" ht="15.75" customHeight="1" x14ac:dyDescent="0.2">
      <c r="B516" s="89"/>
      <c r="C516"/>
      <c r="D516"/>
      <c r="E516" s="69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  <c r="V516"/>
      <c r="W516"/>
      <c r="X516"/>
      <c r="Y516"/>
      <c r="Z516"/>
      <c r="AA516"/>
    </row>
    <row r="517" spans="2:27" s="25" customFormat="1" ht="15.75" customHeight="1" x14ac:dyDescent="0.2">
      <c r="B517" s="89"/>
      <c r="C517"/>
      <c r="D517"/>
      <c r="E517" s="69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  <c r="V517"/>
      <c r="W517"/>
      <c r="X517"/>
      <c r="Y517"/>
      <c r="Z517"/>
      <c r="AA517"/>
    </row>
    <row r="518" spans="2:27" s="25" customFormat="1" ht="15.75" customHeight="1" x14ac:dyDescent="0.2">
      <c r="B518" s="89"/>
      <c r="C518"/>
      <c r="D518"/>
      <c r="E518" s="69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  <c r="V518"/>
      <c r="W518"/>
      <c r="X518"/>
      <c r="Y518"/>
      <c r="Z518"/>
      <c r="AA518"/>
    </row>
    <row r="519" spans="2:27" s="25" customFormat="1" ht="15.75" customHeight="1" x14ac:dyDescent="0.2">
      <c r="B519" s="89"/>
      <c r="C519"/>
      <c r="D519"/>
      <c r="E519" s="6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  <c r="V519"/>
      <c r="W519"/>
      <c r="X519"/>
      <c r="Y519"/>
      <c r="Z519"/>
      <c r="AA519"/>
    </row>
    <row r="520" spans="2:27" s="25" customFormat="1" ht="15.75" customHeight="1" x14ac:dyDescent="0.2">
      <c r="B520" s="89"/>
      <c r="C520"/>
      <c r="D520"/>
      <c r="E520" s="69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  <c r="V520"/>
      <c r="W520"/>
      <c r="X520"/>
      <c r="Y520"/>
      <c r="Z520"/>
      <c r="AA520"/>
    </row>
    <row r="521" spans="2:27" s="25" customFormat="1" ht="15.75" customHeight="1" x14ac:dyDescent="0.2">
      <c r="B521" s="89"/>
      <c r="C521"/>
      <c r="D521"/>
      <c r="E521" s="69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  <c r="V521"/>
      <c r="W521"/>
      <c r="X521"/>
      <c r="Y521"/>
      <c r="Z521"/>
      <c r="AA521"/>
    </row>
    <row r="522" spans="2:27" s="25" customFormat="1" ht="15.75" customHeight="1" x14ac:dyDescent="0.2">
      <c r="B522" s="89"/>
      <c r="C522"/>
      <c r="D522"/>
      <c r="E522" s="69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  <c r="V522"/>
      <c r="W522"/>
      <c r="X522"/>
      <c r="Y522"/>
      <c r="Z522"/>
      <c r="AA522"/>
    </row>
    <row r="523" spans="2:27" s="25" customFormat="1" ht="15.75" customHeight="1" x14ac:dyDescent="0.2">
      <c r="B523" s="89"/>
      <c r="C523"/>
      <c r="D523"/>
      <c r="E523" s="69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  <c r="V523"/>
      <c r="W523"/>
      <c r="X523"/>
      <c r="Y523"/>
      <c r="Z523"/>
      <c r="AA523"/>
    </row>
    <row r="524" spans="2:27" s="25" customFormat="1" ht="15.75" customHeight="1" x14ac:dyDescent="0.2">
      <c r="B524" s="89"/>
      <c r="C524"/>
      <c r="D524"/>
      <c r="E524" s="69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  <c r="V524"/>
      <c r="W524"/>
      <c r="X524"/>
      <c r="Y524"/>
      <c r="Z524"/>
      <c r="AA524"/>
    </row>
    <row r="525" spans="2:27" s="25" customFormat="1" ht="15.75" customHeight="1" x14ac:dyDescent="0.2">
      <c r="B525" s="89"/>
      <c r="C525"/>
      <c r="D525"/>
      <c r="E525" s="69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  <c r="V525"/>
      <c r="W525"/>
      <c r="X525"/>
      <c r="Y525"/>
      <c r="Z525"/>
      <c r="AA525"/>
    </row>
    <row r="526" spans="2:27" s="25" customFormat="1" ht="15.75" customHeight="1" x14ac:dyDescent="0.2">
      <c r="B526" s="89"/>
      <c r="C526"/>
      <c r="D526"/>
      <c r="E526" s="69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  <c r="V526"/>
      <c r="W526"/>
      <c r="X526"/>
      <c r="Y526"/>
      <c r="Z526"/>
      <c r="AA526"/>
    </row>
    <row r="527" spans="2:27" s="25" customFormat="1" ht="15.75" customHeight="1" x14ac:dyDescent="0.2">
      <c r="B527" s="89"/>
      <c r="C527"/>
      <c r="D527"/>
      <c r="E527" s="69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  <c r="V527"/>
      <c r="W527"/>
      <c r="X527"/>
      <c r="Y527"/>
      <c r="Z527"/>
      <c r="AA527"/>
    </row>
    <row r="528" spans="2:27" s="25" customFormat="1" ht="15.75" customHeight="1" x14ac:dyDescent="0.2">
      <c r="B528" s="89"/>
      <c r="C528"/>
      <c r="D528"/>
      <c r="E528" s="69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  <c r="V528"/>
      <c r="W528"/>
      <c r="X528"/>
      <c r="Y528"/>
      <c r="Z528"/>
      <c r="AA528"/>
    </row>
    <row r="529" spans="2:27" s="25" customFormat="1" ht="15.75" customHeight="1" x14ac:dyDescent="0.2">
      <c r="B529" s="89"/>
      <c r="C529"/>
      <c r="D529"/>
      <c r="E529" s="6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  <c r="V529"/>
      <c r="W529"/>
      <c r="X529"/>
      <c r="Y529"/>
      <c r="Z529"/>
      <c r="AA529"/>
    </row>
    <row r="530" spans="2:27" s="25" customFormat="1" ht="15.75" customHeight="1" x14ac:dyDescent="0.2">
      <c r="B530" s="89"/>
      <c r="C530"/>
      <c r="D530"/>
      <c r="E530" s="69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  <c r="V530"/>
      <c r="W530"/>
      <c r="X530"/>
      <c r="Y530"/>
      <c r="Z530"/>
      <c r="AA530"/>
    </row>
    <row r="531" spans="2:27" s="25" customFormat="1" ht="15.75" customHeight="1" x14ac:dyDescent="0.2">
      <c r="B531" s="89"/>
      <c r="C531"/>
      <c r="D531"/>
      <c r="E531" s="69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  <c r="V531"/>
      <c r="W531"/>
      <c r="X531"/>
      <c r="Y531"/>
      <c r="Z531"/>
      <c r="AA531"/>
    </row>
    <row r="532" spans="2:27" s="25" customFormat="1" ht="15.75" customHeight="1" x14ac:dyDescent="0.2">
      <c r="B532" s="89"/>
      <c r="C532"/>
      <c r="D532"/>
      <c r="E532" s="69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  <c r="V532"/>
      <c r="W532"/>
      <c r="X532"/>
      <c r="Y532"/>
      <c r="Z532"/>
      <c r="AA532"/>
    </row>
    <row r="533" spans="2:27" s="25" customFormat="1" ht="15.75" customHeight="1" x14ac:dyDescent="0.2">
      <c r="B533" s="89"/>
      <c r="C533"/>
      <c r="D533"/>
      <c r="E533" s="69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  <c r="V533"/>
      <c r="W533"/>
      <c r="X533"/>
      <c r="Y533"/>
      <c r="Z533"/>
      <c r="AA533"/>
    </row>
    <row r="534" spans="2:27" s="25" customFormat="1" ht="15.75" customHeight="1" x14ac:dyDescent="0.2">
      <c r="B534" s="89"/>
      <c r="C534"/>
      <c r="D534"/>
      <c r="E534" s="69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  <c r="V534"/>
      <c r="W534"/>
      <c r="X534"/>
      <c r="Y534"/>
      <c r="Z534"/>
      <c r="AA534"/>
    </row>
    <row r="535" spans="2:27" s="25" customFormat="1" ht="15.75" customHeight="1" x14ac:dyDescent="0.2">
      <c r="B535" s="89"/>
      <c r="C535"/>
      <c r="D535"/>
      <c r="E535" s="69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  <c r="V535"/>
      <c r="W535"/>
      <c r="X535"/>
      <c r="Y535"/>
      <c r="Z535"/>
      <c r="AA535"/>
    </row>
    <row r="536" spans="2:27" s="25" customFormat="1" ht="15.75" customHeight="1" x14ac:dyDescent="0.2">
      <c r="B536" s="89"/>
      <c r="C536"/>
      <c r="D536"/>
      <c r="E536" s="69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  <c r="V536"/>
      <c r="W536"/>
      <c r="X536"/>
      <c r="Y536"/>
      <c r="Z536"/>
      <c r="AA536"/>
    </row>
    <row r="537" spans="2:27" s="25" customFormat="1" ht="15.75" customHeight="1" x14ac:dyDescent="0.2">
      <c r="B537" s="89"/>
      <c r="C537"/>
      <c r="D537"/>
      <c r="E537" s="69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  <c r="V537"/>
      <c r="W537"/>
      <c r="X537"/>
      <c r="Y537"/>
      <c r="Z537"/>
      <c r="AA537"/>
    </row>
    <row r="538" spans="2:27" s="25" customFormat="1" ht="15.75" customHeight="1" x14ac:dyDescent="0.2">
      <c r="B538" s="89"/>
      <c r="C538"/>
      <c r="D538"/>
      <c r="E538" s="69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  <c r="V538"/>
      <c r="W538"/>
      <c r="X538"/>
      <c r="Y538"/>
      <c r="Z538"/>
      <c r="AA538"/>
    </row>
    <row r="539" spans="2:27" s="25" customFormat="1" ht="15.75" customHeight="1" x14ac:dyDescent="0.2">
      <c r="B539" s="89"/>
      <c r="C539"/>
      <c r="D539"/>
      <c r="E539" s="6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  <c r="V539"/>
      <c r="W539"/>
      <c r="X539"/>
      <c r="Y539"/>
      <c r="Z539"/>
      <c r="AA539"/>
    </row>
    <row r="540" spans="2:27" s="25" customFormat="1" ht="15.75" customHeight="1" x14ac:dyDescent="0.2">
      <c r="B540" s="89"/>
      <c r="C540"/>
      <c r="D540"/>
      <c r="E540" s="69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  <c r="V540"/>
      <c r="W540"/>
      <c r="X540"/>
      <c r="Y540"/>
      <c r="Z540"/>
      <c r="AA540"/>
    </row>
    <row r="541" spans="2:27" s="25" customFormat="1" ht="15.75" customHeight="1" x14ac:dyDescent="0.2">
      <c r="B541" s="89"/>
      <c r="C541"/>
      <c r="D541"/>
      <c r="E541" s="69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  <c r="V541"/>
      <c r="W541"/>
      <c r="X541"/>
      <c r="Y541"/>
      <c r="Z541"/>
      <c r="AA541"/>
    </row>
    <row r="542" spans="2:27" s="25" customFormat="1" ht="15.75" customHeight="1" x14ac:dyDescent="0.2">
      <c r="B542" s="89"/>
      <c r="C542"/>
      <c r="D542"/>
      <c r="E542" s="69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  <c r="V542"/>
      <c r="W542"/>
      <c r="X542"/>
      <c r="Y542"/>
      <c r="Z542"/>
      <c r="AA542"/>
    </row>
    <row r="543" spans="2:27" s="25" customFormat="1" ht="15.75" customHeight="1" x14ac:dyDescent="0.2">
      <c r="B543" s="89"/>
      <c r="C543"/>
      <c r="D543"/>
      <c r="E543" s="69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  <c r="V543"/>
      <c r="W543"/>
      <c r="X543"/>
      <c r="Y543"/>
      <c r="Z543"/>
      <c r="AA543"/>
    </row>
    <row r="544" spans="2:27" s="25" customFormat="1" ht="15.75" customHeight="1" x14ac:dyDescent="0.2">
      <c r="B544" s="89"/>
      <c r="C544"/>
      <c r="D544"/>
      <c r="E544" s="69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  <c r="V544"/>
      <c r="W544"/>
      <c r="X544"/>
      <c r="Y544"/>
      <c r="Z544"/>
      <c r="AA544"/>
    </row>
    <row r="545" spans="2:27" s="25" customFormat="1" ht="15.75" customHeight="1" x14ac:dyDescent="0.2">
      <c r="B545" s="89"/>
      <c r="C545"/>
      <c r="D545"/>
      <c r="E545" s="69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  <c r="V545"/>
      <c r="W545"/>
      <c r="X545"/>
      <c r="Y545"/>
      <c r="Z545"/>
      <c r="AA545"/>
    </row>
    <row r="546" spans="2:27" s="25" customFormat="1" ht="15.75" customHeight="1" x14ac:dyDescent="0.2">
      <c r="B546" s="89"/>
      <c r="C546"/>
      <c r="D546"/>
      <c r="E546" s="69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  <c r="V546"/>
      <c r="W546"/>
      <c r="X546"/>
      <c r="Y546"/>
      <c r="Z546"/>
      <c r="AA546"/>
    </row>
    <row r="547" spans="2:27" s="25" customFormat="1" ht="15.75" customHeight="1" x14ac:dyDescent="0.2">
      <c r="B547" s="89"/>
      <c r="C547"/>
      <c r="D547"/>
      <c r="E547" s="69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  <c r="V547"/>
      <c r="W547"/>
      <c r="X547"/>
      <c r="Y547"/>
      <c r="Z547"/>
      <c r="AA547"/>
    </row>
    <row r="548" spans="2:27" s="25" customFormat="1" ht="15.75" customHeight="1" x14ac:dyDescent="0.2">
      <c r="B548" s="89"/>
      <c r="C548"/>
      <c r="D548"/>
      <c r="E548" s="69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  <c r="V548"/>
      <c r="W548"/>
      <c r="X548"/>
      <c r="Y548"/>
      <c r="Z548"/>
      <c r="AA548"/>
    </row>
    <row r="549" spans="2:27" s="25" customFormat="1" ht="15.75" customHeight="1" x14ac:dyDescent="0.2">
      <c r="B549" s="89"/>
      <c r="C549"/>
      <c r="D549"/>
      <c r="E549" s="6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  <c r="U549"/>
      <c r="V549"/>
      <c r="W549"/>
      <c r="X549"/>
      <c r="Y549"/>
      <c r="Z549"/>
      <c r="AA549"/>
    </row>
    <row r="550" spans="2:27" s="25" customFormat="1" ht="15.75" customHeight="1" x14ac:dyDescent="0.2">
      <c r="B550" s="89"/>
      <c r="C550"/>
      <c r="D550"/>
      <c r="E550" s="69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  <c r="V550"/>
      <c r="W550"/>
      <c r="X550"/>
      <c r="Y550"/>
      <c r="Z550"/>
      <c r="AA550"/>
    </row>
    <row r="551" spans="2:27" s="25" customFormat="1" ht="15.75" customHeight="1" x14ac:dyDescent="0.2">
      <c r="B551" s="89"/>
      <c r="C551"/>
      <c r="D551"/>
      <c r="E551" s="69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  <c r="V551"/>
      <c r="W551"/>
      <c r="X551"/>
      <c r="Y551"/>
      <c r="Z551"/>
      <c r="AA551"/>
    </row>
    <row r="552" spans="2:27" s="25" customFormat="1" ht="15.75" customHeight="1" x14ac:dyDescent="0.2">
      <c r="B552" s="89"/>
      <c r="C552"/>
      <c r="D552"/>
      <c r="E552" s="69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  <c r="V552"/>
      <c r="W552"/>
      <c r="X552"/>
      <c r="Y552"/>
      <c r="Z552"/>
      <c r="AA552"/>
    </row>
    <row r="553" spans="2:27" s="25" customFormat="1" ht="15.75" customHeight="1" x14ac:dyDescent="0.2">
      <c r="B553" s="89"/>
      <c r="C553"/>
      <c r="D553"/>
      <c r="E553" s="69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  <c r="V553"/>
      <c r="W553"/>
      <c r="X553"/>
      <c r="Y553"/>
      <c r="Z553"/>
      <c r="AA553"/>
    </row>
    <row r="554" spans="2:27" s="25" customFormat="1" ht="15.75" customHeight="1" x14ac:dyDescent="0.2">
      <c r="B554" s="89"/>
      <c r="C554"/>
      <c r="D554"/>
      <c r="E554" s="69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  <c r="V554"/>
      <c r="W554"/>
      <c r="X554"/>
      <c r="Y554"/>
      <c r="Z554"/>
      <c r="AA554"/>
    </row>
    <row r="555" spans="2:27" s="25" customFormat="1" ht="15.75" customHeight="1" x14ac:dyDescent="0.2">
      <c r="B555" s="89"/>
      <c r="C555"/>
      <c r="D555"/>
      <c r="E555" s="69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  <c r="V555"/>
      <c r="W555"/>
      <c r="X555"/>
      <c r="Y555"/>
      <c r="Z555"/>
      <c r="AA555"/>
    </row>
    <row r="556" spans="2:27" s="25" customFormat="1" ht="15.75" customHeight="1" x14ac:dyDescent="0.2">
      <c r="B556" s="89"/>
      <c r="C556"/>
      <c r="D556"/>
      <c r="E556" s="69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  <c r="V556"/>
      <c r="W556"/>
      <c r="X556"/>
      <c r="Y556"/>
      <c r="Z556"/>
      <c r="AA556"/>
    </row>
    <row r="557" spans="2:27" s="25" customFormat="1" ht="15.75" customHeight="1" x14ac:dyDescent="0.2">
      <c r="B557" s="89"/>
      <c r="C557"/>
      <c r="D557"/>
      <c r="E557" s="69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  <c r="V557"/>
      <c r="W557"/>
      <c r="X557"/>
      <c r="Y557"/>
      <c r="Z557"/>
      <c r="AA557"/>
    </row>
    <row r="558" spans="2:27" s="25" customFormat="1" ht="15.75" customHeight="1" x14ac:dyDescent="0.2">
      <c r="B558" s="89"/>
      <c r="C558"/>
      <c r="D558"/>
      <c r="E558" s="69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  <c r="V558"/>
      <c r="W558"/>
      <c r="X558"/>
      <c r="Y558"/>
      <c r="Z558"/>
      <c r="AA558"/>
    </row>
    <row r="559" spans="2:27" s="25" customFormat="1" ht="15.75" customHeight="1" x14ac:dyDescent="0.2">
      <c r="B559" s="89"/>
      <c r="C559"/>
      <c r="D559"/>
      <c r="E559" s="6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  <c r="V559"/>
      <c r="W559"/>
      <c r="X559"/>
      <c r="Y559"/>
      <c r="Z559"/>
      <c r="AA559"/>
    </row>
    <row r="560" spans="2:27" s="25" customFormat="1" ht="15.75" customHeight="1" x14ac:dyDescent="0.2">
      <c r="B560" s="89"/>
      <c r="C560"/>
      <c r="D560"/>
      <c r="E560" s="69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  <c r="V560"/>
      <c r="W560"/>
      <c r="X560"/>
      <c r="Y560"/>
      <c r="Z560"/>
      <c r="AA560"/>
    </row>
    <row r="561" spans="2:27" s="25" customFormat="1" ht="15.75" customHeight="1" x14ac:dyDescent="0.2">
      <c r="B561" s="89"/>
      <c r="C561"/>
      <c r="D561"/>
      <c r="E561" s="69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  <c r="V561"/>
      <c r="W561"/>
      <c r="X561"/>
      <c r="Y561"/>
      <c r="Z561"/>
      <c r="AA561"/>
    </row>
    <row r="562" spans="2:27" s="25" customFormat="1" ht="15.75" customHeight="1" x14ac:dyDescent="0.2">
      <c r="B562" s="89"/>
      <c r="C562"/>
      <c r="D562"/>
      <c r="E562" s="69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  <c r="V562"/>
      <c r="W562"/>
      <c r="X562"/>
      <c r="Y562"/>
      <c r="Z562"/>
      <c r="AA562"/>
    </row>
    <row r="563" spans="2:27" s="25" customFormat="1" ht="15.75" customHeight="1" x14ac:dyDescent="0.2">
      <c r="B563" s="89"/>
      <c r="C563"/>
      <c r="D563"/>
      <c r="E563" s="69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  <c r="V563"/>
      <c r="W563"/>
      <c r="X563"/>
      <c r="Y563"/>
      <c r="Z563"/>
      <c r="AA563"/>
    </row>
    <row r="564" spans="2:27" s="25" customFormat="1" ht="15.75" customHeight="1" x14ac:dyDescent="0.2">
      <c r="B564" s="89"/>
      <c r="C564"/>
      <c r="D564"/>
      <c r="E564" s="69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  <c r="V564"/>
      <c r="W564"/>
      <c r="X564"/>
      <c r="Y564"/>
      <c r="Z564"/>
      <c r="AA564"/>
    </row>
    <row r="565" spans="2:27" s="25" customFormat="1" ht="15.75" customHeight="1" x14ac:dyDescent="0.2">
      <c r="B565" s="89"/>
      <c r="C565"/>
      <c r="D565"/>
      <c r="E565" s="69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  <c r="V565"/>
      <c r="W565"/>
      <c r="X565"/>
      <c r="Y565"/>
      <c r="Z565"/>
      <c r="AA565"/>
    </row>
    <row r="566" spans="2:27" s="25" customFormat="1" ht="15.75" customHeight="1" x14ac:dyDescent="0.2">
      <c r="B566" s="89"/>
      <c r="C566"/>
      <c r="D566"/>
      <c r="E566" s="69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  <c r="V566"/>
      <c r="W566"/>
      <c r="X566"/>
      <c r="Y566"/>
      <c r="Z566"/>
      <c r="AA566"/>
    </row>
    <row r="567" spans="2:27" s="25" customFormat="1" ht="15.75" customHeight="1" x14ac:dyDescent="0.2">
      <c r="B567" s="89"/>
      <c r="C567"/>
      <c r="D567"/>
      <c r="E567" s="69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  <c r="V567"/>
      <c r="W567"/>
      <c r="X567"/>
      <c r="Y567"/>
      <c r="Z567"/>
      <c r="AA567"/>
    </row>
    <row r="568" spans="2:27" s="25" customFormat="1" ht="15.75" customHeight="1" x14ac:dyDescent="0.2">
      <c r="B568" s="89"/>
      <c r="C568"/>
      <c r="D568"/>
      <c r="E568" s="69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  <c r="V568"/>
      <c r="W568"/>
      <c r="X568"/>
      <c r="Y568"/>
      <c r="Z568"/>
      <c r="AA568"/>
    </row>
    <row r="569" spans="2:27" s="25" customFormat="1" ht="15.75" customHeight="1" x14ac:dyDescent="0.2">
      <c r="B569" s="89"/>
      <c r="C569"/>
      <c r="D569"/>
      <c r="E569" s="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  <c r="V569"/>
      <c r="W569"/>
      <c r="X569"/>
      <c r="Y569"/>
      <c r="Z569"/>
      <c r="AA569"/>
    </row>
    <row r="570" spans="2:27" s="25" customFormat="1" ht="15.75" customHeight="1" x14ac:dyDescent="0.2">
      <c r="B570" s="89"/>
      <c r="C570"/>
      <c r="D570"/>
      <c r="E570" s="69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  <c r="V570"/>
      <c r="W570"/>
      <c r="X570"/>
      <c r="Y570"/>
      <c r="Z570"/>
      <c r="AA570"/>
    </row>
    <row r="571" spans="2:27" s="25" customFormat="1" ht="15.75" customHeight="1" x14ac:dyDescent="0.2">
      <c r="B571" s="89"/>
      <c r="C571"/>
      <c r="D571"/>
      <c r="E571" s="69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  <c r="V571"/>
      <c r="W571"/>
      <c r="X571"/>
      <c r="Y571"/>
      <c r="Z571"/>
      <c r="AA571"/>
    </row>
    <row r="572" spans="2:27" s="25" customFormat="1" ht="15.75" customHeight="1" x14ac:dyDescent="0.2">
      <c r="B572" s="89"/>
      <c r="C572"/>
      <c r="D572"/>
      <c r="E572" s="69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  <c r="V572"/>
      <c r="W572"/>
      <c r="X572"/>
      <c r="Y572"/>
      <c r="Z572"/>
      <c r="AA572"/>
    </row>
    <row r="573" spans="2:27" s="25" customFormat="1" ht="15.75" customHeight="1" x14ac:dyDescent="0.2">
      <c r="B573" s="89"/>
      <c r="C573"/>
      <c r="D573"/>
      <c r="E573" s="69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  <c r="V573"/>
      <c r="W573"/>
      <c r="X573"/>
      <c r="Y573"/>
      <c r="Z573"/>
      <c r="AA573"/>
    </row>
    <row r="574" spans="2:27" s="25" customFormat="1" ht="15.75" customHeight="1" x14ac:dyDescent="0.2">
      <c r="B574" s="89"/>
      <c r="C574"/>
      <c r="D574"/>
      <c r="E574" s="69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  <c r="V574"/>
      <c r="W574"/>
      <c r="X574"/>
      <c r="Y574"/>
      <c r="Z574"/>
      <c r="AA574"/>
    </row>
    <row r="575" spans="2:27" s="25" customFormat="1" ht="15.75" customHeight="1" x14ac:dyDescent="0.2">
      <c r="B575" s="89"/>
      <c r="C575"/>
      <c r="D575"/>
      <c r="E575" s="69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  <c r="V575"/>
      <c r="W575"/>
      <c r="X575"/>
      <c r="Y575"/>
      <c r="Z575"/>
      <c r="AA575"/>
    </row>
    <row r="576" spans="2:27" s="25" customFormat="1" ht="15.75" customHeight="1" x14ac:dyDescent="0.2">
      <c r="B576" s="89"/>
      <c r="C576"/>
      <c r="D576"/>
      <c r="E576" s="69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  <c r="V576"/>
      <c r="W576"/>
      <c r="X576"/>
      <c r="Y576"/>
      <c r="Z576"/>
      <c r="AA576"/>
    </row>
    <row r="577" spans="2:27" s="25" customFormat="1" ht="15.75" customHeight="1" x14ac:dyDescent="0.2">
      <c r="B577" s="89"/>
      <c r="C577"/>
      <c r="D577"/>
      <c r="E577" s="69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  <c r="V577"/>
      <c r="W577"/>
      <c r="X577"/>
      <c r="Y577"/>
      <c r="Z577"/>
      <c r="AA577"/>
    </row>
    <row r="578" spans="2:27" s="25" customFormat="1" ht="15.75" customHeight="1" x14ac:dyDescent="0.2">
      <c r="B578" s="89"/>
      <c r="C578"/>
      <c r="D578"/>
      <c r="E578" s="69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  <c r="V578"/>
      <c r="W578"/>
      <c r="X578"/>
      <c r="Y578"/>
      <c r="Z578"/>
      <c r="AA578"/>
    </row>
    <row r="579" spans="2:27" s="25" customFormat="1" ht="15.75" customHeight="1" x14ac:dyDescent="0.2">
      <c r="B579" s="89"/>
      <c r="C579"/>
      <c r="D579"/>
      <c r="E579" s="6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  <c r="V579"/>
      <c r="W579"/>
      <c r="X579"/>
      <c r="Y579"/>
      <c r="Z579"/>
      <c r="AA579"/>
    </row>
    <row r="580" spans="2:27" s="25" customFormat="1" ht="15.75" customHeight="1" x14ac:dyDescent="0.2">
      <c r="B580" s="89"/>
      <c r="C580"/>
      <c r="D580"/>
      <c r="E580" s="69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  <c r="V580"/>
      <c r="W580"/>
      <c r="X580"/>
      <c r="Y580"/>
      <c r="Z580"/>
      <c r="AA580"/>
    </row>
    <row r="581" spans="2:27" s="25" customFormat="1" ht="15.75" customHeight="1" x14ac:dyDescent="0.2">
      <c r="B581" s="89"/>
      <c r="C581"/>
      <c r="D581"/>
      <c r="E581" s="69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  <c r="V581"/>
      <c r="W581"/>
      <c r="X581"/>
      <c r="Y581"/>
      <c r="Z581"/>
      <c r="AA581"/>
    </row>
    <row r="582" spans="2:27" s="25" customFormat="1" ht="15.75" customHeight="1" x14ac:dyDescent="0.2">
      <c r="B582" s="89"/>
      <c r="C582"/>
      <c r="D582"/>
      <c r="E582" s="69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  <c r="V582"/>
      <c r="W582"/>
      <c r="X582"/>
      <c r="Y582"/>
      <c r="Z582"/>
      <c r="AA582"/>
    </row>
    <row r="583" spans="2:27" s="25" customFormat="1" ht="15.75" customHeight="1" x14ac:dyDescent="0.2">
      <c r="B583" s="89"/>
      <c r="C583"/>
      <c r="D583"/>
      <c r="E583" s="69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  <c r="U583"/>
      <c r="V583"/>
      <c r="W583"/>
      <c r="X583"/>
      <c r="Y583"/>
      <c r="Z583"/>
      <c r="AA583"/>
    </row>
    <row r="584" spans="2:27" s="25" customFormat="1" ht="15.75" customHeight="1" x14ac:dyDescent="0.2">
      <c r="B584" s="89"/>
      <c r="C584"/>
      <c r="D584"/>
      <c r="E584" s="69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  <c r="V584"/>
      <c r="W584"/>
      <c r="X584"/>
      <c r="Y584"/>
      <c r="Z584"/>
      <c r="AA584"/>
    </row>
    <row r="585" spans="2:27" s="25" customFormat="1" ht="15.75" customHeight="1" x14ac:dyDescent="0.2">
      <c r="B585" s="89"/>
      <c r="C585"/>
      <c r="D585"/>
      <c r="E585" s="69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  <c r="V585"/>
      <c r="W585"/>
      <c r="X585"/>
      <c r="Y585"/>
      <c r="Z585"/>
      <c r="AA585"/>
    </row>
    <row r="586" spans="2:27" s="25" customFormat="1" ht="15.75" customHeight="1" x14ac:dyDescent="0.2">
      <c r="B586" s="89"/>
      <c r="C586"/>
      <c r="D586"/>
      <c r="E586" s="69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  <c r="V586"/>
      <c r="W586"/>
      <c r="X586"/>
      <c r="Y586"/>
      <c r="Z586"/>
      <c r="AA586"/>
    </row>
    <row r="587" spans="2:27" s="25" customFormat="1" ht="15.75" customHeight="1" x14ac:dyDescent="0.2">
      <c r="B587" s="89"/>
      <c r="C587"/>
      <c r="D587"/>
      <c r="E587" s="69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  <c r="V587"/>
      <c r="W587"/>
      <c r="X587"/>
      <c r="Y587"/>
      <c r="Z587"/>
      <c r="AA587"/>
    </row>
    <row r="588" spans="2:27" s="25" customFormat="1" ht="15.75" customHeight="1" x14ac:dyDescent="0.2">
      <c r="B588" s="89"/>
      <c r="C588"/>
      <c r="D588"/>
      <c r="E588" s="69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  <c r="V588"/>
      <c r="W588"/>
      <c r="X588"/>
      <c r="Y588"/>
      <c r="Z588"/>
      <c r="AA588"/>
    </row>
    <row r="589" spans="2:27" s="25" customFormat="1" ht="15.75" customHeight="1" x14ac:dyDescent="0.2">
      <c r="B589" s="89"/>
      <c r="C589"/>
      <c r="D589"/>
      <c r="E589" s="6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  <c r="V589"/>
      <c r="W589"/>
      <c r="X589"/>
      <c r="Y589"/>
      <c r="Z589"/>
      <c r="AA589"/>
    </row>
    <row r="590" spans="2:27" s="25" customFormat="1" ht="15.75" customHeight="1" x14ac:dyDescent="0.2">
      <c r="B590" s="89"/>
      <c r="C590"/>
      <c r="D590"/>
      <c r="E590" s="69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  <c r="V590"/>
      <c r="W590"/>
      <c r="X590"/>
      <c r="Y590"/>
      <c r="Z590"/>
      <c r="AA590"/>
    </row>
    <row r="591" spans="2:27" s="25" customFormat="1" ht="15.75" customHeight="1" x14ac:dyDescent="0.2">
      <c r="B591" s="89"/>
      <c r="C591"/>
      <c r="D591"/>
      <c r="E591" s="69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  <c r="U591"/>
      <c r="V591"/>
      <c r="W591"/>
      <c r="X591"/>
      <c r="Y591"/>
      <c r="Z591"/>
      <c r="AA591"/>
    </row>
    <row r="592" spans="2:27" s="25" customFormat="1" ht="15.75" customHeight="1" x14ac:dyDescent="0.2">
      <c r="B592" s="89"/>
      <c r="C592"/>
      <c r="D592"/>
      <c r="E592" s="69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  <c r="V592"/>
      <c r="W592"/>
      <c r="X592"/>
      <c r="Y592"/>
      <c r="Z592"/>
      <c r="AA592"/>
    </row>
    <row r="593" spans="2:27" s="25" customFormat="1" ht="15.75" customHeight="1" x14ac:dyDescent="0.2">
      <c r="B593" s="89"/>
      <c r="C593"/>
      <c r="D593"/>
      <c r="E593" s="69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  <c r="V593"/>
      <c r="W593"/>
      <c r="X593"/>
      <c r="Y593"/>
      <c r="Z593"/>
      <c r="AA593"/>
    </row>
    <row r="594" spans="2:27" s="25" customFormat="1" ht="15.75" customHeight="1" x14ac:dyDescent="0.2">
      <c r="B594" s="89"/>
      <c r="C594"/>
      <c r="D594"/>
      <c r="E594" s="69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  <c r="V594"/>
      <c r="W594"/>
      <c r="X594"/>
      <c r="Y594"/>
      <c r="Z594"/>
      <c r="AA594"/>
    </row>
    <row r="595" spans="2:27" s="25" customFormat="1" ht="15.75" customHeight="1" x14ac:dyDescent="0.2">
      <c r="B595" s="89"/>
      <c r="C595"/>
      <c r="D595"/>
      <c r="E595" s="69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  <c r="V595"/>
      <c r="W595"/>
      <c r="X595"/>
      <c r="Y595"/>
      <c r="Z595"/>
      <c r="AA595"/>
    </row>
    <row r="596" spans="2:27" s="25" customFormat="1" ht="15.75" customHeight="1" x14ac:dyDescent="0.2">
      <c r="B596" s="89"/>
      <c r="C596"/>
      <c r="D596"/>
      <c r="E596" s="69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  <c r="V596"/>
      <c r="W596"/>
      <c r="X596"/>
      <c r="Y596"/>
      <c r="Z596"/>
      <c r="AA596"/>
    </row>
    <row r="597" spans="2:27" s="25" customFormat="1" ht="15.75" customHeight="1" x14ac:dyDescent="0.2">
      <c r="B597" s="89"/>
      <c r="C597"/>
      <c r="D597"/>
      <c r="E597" s="69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  <c r="V597"/>
      <c r="W597"/>
      <c r="X597"/>
      <c r="Y597"/>
      <c r="Z597"/>
      <c r="AA597"/>
    </row>
    <row r="598" spans="2:27" s="25" customFormat="1" ht="15.75" customHeight="1" x14ac:dyDescent="0.2">
      <c r="B598" s="89"/>
      <c r="C598"/>
      <c r="D598"/>
      <c r="E598" s="69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  <c r="V598"/>
      <c r="W598"/>
      <c r="X598"/>
      <c r="Y598"/>
      <c r="Z598"/>
      <c r="AA598"/>
    </row>
    <row r="599" spans="2:27" s="25" customFormat="1" ht="15.75" customHeight="1" x14ac:dyDescent="0.2">
      <c r="B599" s="89"/>
      <c r="C599"/>
      <c r="D599"/>
      <c r="E599" s="6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  <c r="V599"/>
      <c r="W599"/>
      <c r="X599"/>
      <c r="Y599"/>
      <c r="Z599"/>
      <c r="AA599"/>
    </row>
    <row r="600" spans="2:27" s="25" customFormat="1" ht="15.75" customHeight="1" x14ac:dyDescent="0.2">
      <c r="B600" s="89"/>
      <c r="C600"/>
      <c r="D600"/>
      <c r="E600" s="69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  <c r="V600"/>
      <c r="W600"/>
      <c r="X600"/>
      <c r="Y600"/>
      <c r="Z600"/>
      <c r="AA600"/>
    </row>
    <row r="601" spans="2:27" s="25" customFormat="1" ht="15.75" customHeight="1" x14ac:dyDescent="0.2">
      <c r="B601" s="89"/>
      <c r="C601"/>
      <c r="D601"/>
      <c r="E601" s="69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  <c r="V601"/>
      <c r="W601"/>
      <c r="X601"/>
      <c r="Y601"/>
      <c r="Z601"/>
      <c r="AA601"/>
    </row>
    <row r="602" spans="2:27" s="25" customFormat="1" ht="15.75" customHeight="1" x14ac:dyDescent="0.2">
      <c r="B602" s="89"/>
      <c r="C602"/>
      <c r="D602"/>
      <c r="E602" s="69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  <c r="V602"/>
      <c r="W602"/>
      <c r="X602"/>
      <c r="Y602"/>
      <c r="Z602"/>
      <c r="AA602"/>
    </row>
    <row r="603" spans="2:27" s="25" customFormat="1" ht="15.75" customHeight="1" x14ac:dyDescent="0.2">
      <c r="B603" s="89"/>
      <c r="C603"/>
      <c r="D603"/>
      <c r="E603" s="69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  <c r="V603"/>
      <c r="W603"/>
      <c r="X603"/>
      <c r="Y603"/>
      <c r="Z603"/>
      <c r="AA603"/>
    </row>
    <row r="604" spans="2:27" s="25" customFormat="1" ht="15.75" customHeight="1" x14ac:dyDescent="0.2">
      <c r="B604" s="89"/>
      <c r="C604"/>
      <c r="D604"/>
      <c r="E604" s="69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  <c r="V604"/>
      <c r="W604"/>
      <c r="X604"/>
      <c r="Y604"/>
      <c r="Z604"/>
      <c r="AA604"/>
    </row>
    <row r="605" spans="2:27" s="25" customFormat="1" ht="15.75" customHeight="1" x14ac:dyDescent="0.2">
      <c r="B605" s="89"/>
      <c r="C605"/>
      <c r="D605"/>
      <c r="E605" s="69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  <c r="V605"/>
      <c r="W605"/>
      <c r="X605"/>
      <c r="Y605"/>
      <c r="Z605"/>
      <c r="AA605"/>
    </row>
    <row r="606" spans="2:27" s="25" customFormat="1" ht="15.75" customHeight="1" x14ac:dyDescent="0.2">
      <c r="B606" s="89"/>
      <c r="C606"/>
      <c r="D606"/>
      <c r="E606" s="69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  <c r="U606"/>
      <c r="V606"/>
      <c r="W606"/>
      <c r="X606"/>
      <c r="Y606"/>
      <c r="Z606"/>
      <c r="AA606"/>
    </row>
    <row r="607" spans="2:27" s="25" customFormat="1" ht="15.75" customHeight="1" x14ac:dyDescent="0.2">
      <c r="B607" s="89"/>
      <c r="C607"/>
      <c r="D607"/>
      <c r="E607" s="69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  <c r="U607"/>
      <c r="V607"/>
      <c r="W607"/>
      <c r="X607"/>
      <c r="Y607"/>
      <c r="Z607"/>
      <c r="AA607"/>
    </row>
    <row r="608" spans="2:27" s="25" customFormat="1" ht="15.75" customHeight="1" x14ac:dyDescent="0.2">
      <c r="B608" s="89"/>
      <c r="C608"/>
      <c r="D608"/>
      <c r="E608" s="69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  <c r="V608"/>
      <c r="W608"/>
      <c r="X608"/>
      <c r="Y608"/>
      <c r="Z608"/>
      <c r="AA608"/>
    </row>
    <row r="609" spans="2:27" s="25" customFormat="1" ht="15.75" customHeight="1" x14ac:dyDescent="0.2">
      <c r="B609" s="89"/>
      <c r="C609"/>
      <c r="D609"/>
      <c r="E609" s="6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  <c r="V609"/>
      <c r="W609"/>
      <c r="X609"/>
      <c r="Y609"/>
      <c r="Z609"/>
      <c r="AA609"/>
    </row>
    <row r="610" spans="2:27" s="25" customFormat="1" ht="15.75" customHeight="1" x14ac:dyDescent="0.2">
      <c r="B610" s="89"/>
      <c r="C610"/>
      <c r="D610"/>
      <c r="E610" s="69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  <c r="V610"/>
      <c r="W610"/>
      <c r="X610"/>
      <c r="Y610"/>
      <c r="Z610"/>
      <c r="AA610"/>
    </row>
    <row r="611" spans="2:27" s="25" customFormat="1" ht="15.75" customHeight="1" x14ac:dyDescent="0.2">
      <c r="B611" s="89"/>
      <c r="C611"/>
      <c r="D611"/>
      <c r="E611" s="69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  <c r="V611"/>
      <c r="W611"/>
      <c r="X611"/>
      <c r="Y611"/>
      <c r="Z611"/>
      <c r="AA611"/>
    </row>
    <row r="612" spans="2:27" s="25" customFormat="1" ht="15.75" customHeight="1" x14ac:dyDescent="0.2">
      <c r="B612" s="89"/>
      <c r="C612"/>
      <c r="D612"/>
      <c r="E612" s="69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  <c r="V612"/>
      <c r="W612"/>
      <c r="X612"/>
      <c r="Y612"/>
      <c r="Z612"/>
      <c r="AA612"/>
    </row>
    <row r="613" spans="2:27" s="25" customFormat="1" ht="15.75" customHeight="1" x14ac:dyDescent="0.2">
      <c r="B613" s="89"/>
      <c r="C613"/>
      <c r="D613"/>
      <c r="E613" s="69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  <c r="V613"/>
      <c r="W613"/>
      <c r="X613"/>
      <c r="Y613"/>
      <c r="Z613"/>
      <c r="AA613"/>
    </row>
    <row r="614" spans="2:27" s="25" customFormat="1" ht="15.75" customHeight="1" x14ac:dyDescent="0.2">
      <c r="B614" s="89"/>
      <c r="C614"/>
      <c r="D614"/>
      <c r="E614" s="69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  <c r="V614"/>
      <c r="W614"/>
      <c r="X614"/>
      <c r="Y614"/>
      <c r="Z614"/>
      <c r="AA614"/>
    </row>
    <row r="615" spans="2:27" s="25" customFormat="1" ht="15.75" customHeight="1" x14ac:dyDescent="0.2">
      <c r="B615" s="89"/>
      <c r="C615"/>
      <c r="D615"/>
      <c r="E615" s="69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  <c r="V615"/>
      <c r="W615"/>
      <c r="X615"/>
      <c r="Y615"/>
      <c r="Z615"/>
      <c r="AA615"/>
    </row>
    <row r="616" spans="2:27" s="25" customFormat="1" ht="15.75" customHeight="1" x14ac:dyDescent="0.2">
      <c r="B616" s="89"/>
      <c r="C616"/>
      <c r="D616"/>
      <c r="E616" s="69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  <c r="V616"/>
      <c r="W616"/>
      <c r="X616"/>
      <c r="Y616"/>
      <c r="Z616"/>
      <c r="AA616"/>
    </row>
    <row r="617" spans="2:27" s="25" customFormat="1" ht="15.75" customHeight="1" x14ac:dyDescent="0.2">
      <c r="B617" s="89"/>
      <c r="C617"/>
      <c r="D617"/>
      <c r="E617" s="69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  <c r="V617"/>
      <c r="W617"/>
      <c r="X617"/>
      <c r="Y617"/>
      <c r="Z617"/>
      <c r="AA617"/>
    </row>
    <row r="618" spans="2:27" s="25" customFormat="1" ht="15.75" customHeight="1" x14ac:dyDescent="0.2">
      <c r="B618" s="89"/>
      <c r="C618"/>
      <c r="D618"/>
      <c r="E618" s="69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  <c r="V618"/>
      <c r="W618"/>
      <c r="X618"/>
      <c r="Y618"/>
      <c r="Z618"/>
      <c r="AA618"/>
    </row>
    <row r="619" spans="2:27" s="25" customFormat="1" ht="15.75" customHeight="1" x14ac:dyDescent="0.2">
      <c r="B619" s="89"/>
      <c r="C619"/>
      <c r="D619"/>
      <c r="E619" s="6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  <c r="V619"/>
      <c r="W619"/>
      <c r="X619"/>
      <c r="Y619"/>
      <c r="Z619"/>
      <c r="AA619"/>
    </row>
    <row r="620" spans="2:27" s="25" customFormat="1" ht="15.75" customHeight="1" x14ac:dyDescent="0.2">
      <c r="B620" s="89"/>
      <c r="C620"/>
      <c r="D620"/>
      <c r="E620" s="69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  <c r="V620"/>
      <c r="W620"/>
      <c r="X620"/>
      <c r="Y620"/>
      <c r="Z620"/>
      <c r="AA620"/>
    </row>
    <row r="621" spans="2:27" s="25" customFormat="1" ht="15.75" customHeight="1" x14ac:dyDescent="0.2">
      <c r="B621" s="89"/>
      <c r="C621"/>
      <c r="D621"/>
      <c r="E621" s="69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  <c r="V621"/>
      <c r="W621"/>
      <c r="X621"/>
      <c r="Y621"/>
      <c r="Z621"/>
      <c r="AA621"/>
    </row>
    <row r="622" spans="2:27" s="25" customFormat="1" ht="15.75" customHeight="1" x14ac:dyDescent="0.2">
      <c r="B622" s="89"/>
      <c r="C622"/>
      <c r="D622"/>
      <c r="E622" s="69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  <c r="V622"/>
      <c r="W622"/>
      <c r="X622"/>
      <c r="Y622"/>
      <c r="Z622"/>
      <c r="AA622"/>
    </row>
    <row r="623" spans="2:27" s="25" customFormat="1" ht="15.75" customHeight="1" x14ac:dyDescent="0.2">
      <c r="B623" s="89"/>
      <c r="C623"/>
      <c r="D623"/>
      <c r="E623" s="69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  <c r="V623"/>
      <c r="W623"/>
      <c r="X623"/>
      <c r="Y623"/>
      <c r="Z623"/>
      <c r="AA623"/>
    </row>
    <row r="624" spans="2:27" s="25" customFormat="1" ht="15.75" customHeight="1" x14ac:dyDescent="0.2">
      <c r="B624" s="89"/>
      <c r="C624"/>
      <c r="D624"/>
      <c r="E624" s="69"/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  <c r="T624"/>
      <c r="U624"/>
      <c r="V624"/>
      <c r="W624"/>
      <c r="X624"/>
      <c r="Y624"/>
      <c r="Z624"/>
      <c r="AA624"/>
    </row>
    <row r="625" spans="2:27" s="25" customFormat="1" ht="15.75" customHeight="1" x14ac:dyDescent="0.2">
      <c r="B625" s="89"/>
      <c r="C625"/>
      <c r="D625"/>
      <c r="E625" s="69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  <c r="V625"/>
      <c r="W625"/>
      <c r="X625"/>
      <c r="Y625"/>
      <c r="Z625"/>
      <c r="AA625"/>
    </row>
    <row r="626" spans="2:27" s="25" customFormat="1" ht="15.75" customHeight="1" x14ac:dyDescent="0.2">
      <c r="B626" s="89"/>
      <c r="C626"/>
      <c r="D626"/>
      <c r="E626" s="69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  <c r="V626"/>
      <c r="W626"/>
      <c r="X626"/>
      <c r="Y626"/>
      <c r="Z626"/>
      <c r="AA626"/>
    </row>
    <row r="627" spans="2:27" s="25" customFormat="1" ht="15.75" customHeight="1" x14ac:dyDescent="0.2">
      <c r="B627" s="89"/>
      <c r="C627"/>
      <c r="D627"/>
      <c r="E627" s="69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  <c r="V627"/>
      <c r="W627"/>
      <c r="X627"/>
      <c r="Y627"/>
      <c r="Z627"/>
      <c r="AA627"/>
    </row>
    <row r="628" spans="2:27" s="25" customFormat="1" ht="15.75" customHeight="1" x14ac:dyDescent="0.2">
      <c r="B628" s="89"/>
      <c r="C628"/>
      <c r="D628"/>
      <c r="E628" s="69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  <c r="V628"/>
      <c r="W628"/>
      <c r="X628"/>
      <c r="Y628"/>
      <c r="Z628"/>
      <c r="AA628"/>
    </row>
    <row r="629" spans="2:27" s="25" customFormat="1" ht="15.75" customHeight="1" x14ac:dyDescent="0.2">
      <c r="B629" s="89"/>
      <c r="C629"/>
      <c r="D629"/>
      <c r="E629" s="6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  <c r="V629"/>
      <c r="W629"/>
      <c r="X629"/>
      <c r="Y629"/>
      <c r="Z629"/>
      <c r="AA629"/>
    </row>
    <row r="630" spans="2:27" s="25" customFormat="1" ht="15.75" customHeight="1" x14ac:dyDescent="0.2">
      <c r="B630" s="89"/>
      <c r="C630"/>
      <c r="D630"/>
      <c r="E630" s="69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  <c r="V630"/>
      <c r="W630"/>
      <c r="X630"/>
      <c r="Y630"/>
      <c r="Z630"/>
      <c r="AA630"/>
    </row>
    <row r="631" spans="2:27" s="25" customFormat="1" ht="15.75" customHeight="1" x14ac:dyDescent="0.2">
      <c r="B631" s="89"/>
      <c r="C631"/>
      <c r="D631"/>
      <c r="E631" s="69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  <c r="V631"/>
      <c r="W631"/>
      <c r="X631"/>
      <c r="Y631"/>
      <c r="Z631"/>
      <c r="AA631"/>
    </row>
    <row r="632" spans="2:27" s="25" customFormat="1" ht="15.75" customHeight="1" x14ac:dyDescent="0.2">
      <c r="B632" s="89"/>
      <c r="C632"/>
      <c r="D632"/>
      <c r="E632" s="69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  <c r="V632"/>
      <c r="W632"/>
      <c r="X632"/>
      <c r="Y632"/>
      <c r="Z632"/>
      <c r="AA632"/>
    </row>
    <row r="633" spans="2:27" s="25" customFormat="1" ht="15.75" customHeight="1" x14ac:dyDescent="0.2">
      <c r="B633" s="89"/>
      <c r="C633"/>
      <c r="D633"/>
      <c r="E633" s="69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  <c r="V633"/>
      <c r="W633"/>
      <c r="X633"/>
      <c r="Y633"/>
      <c r="Z633"/>
      <c r="AA633"/>
    </row>
    <row r="634" spans="2:27" s="25" customFormat="1" ht="15.75" customHeight="1" x14ac:dyDescent="0.2">
      <c r="B634" s="89"/>
      <c r="C634"/>
      <c r="D634"/>
      <c r="E634" s="69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  <c r="V634"/>
      <c r="W634"/>
      <c r="X634"/>
      <c r="Y634"/>
      <c r="Z634"/>
      <c r="AA634"/>
    </row>
    <row r="635" spans="2:27" s="25" customFormat="1" ht="15.75" customHeight="1" x14ac:dyDescent="0.2">
      <c r="B635" s="89"/>
      <c r="C635"/>
      <c r="D635"/>
      <c r="E635" s="69"/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  <c r="V635"/>
      <c r="W635"/>
      <c r="X635"/>
      <c r="Y635"/>
      <c r="Z635"/>
      <c r="AA635"/>
    </row>
    <row r="636" spans="2:27" s="25" customFormat="1" ht="15.75" customHeight="1" x14ac:dyDescent="0.2">
      <c r="B636" s="89"/>
      <c r="C636"/>
      <c r="D636"/>
      <c r="E636" s="69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  <c r="V636"/>
      <c r="W636"/>
      <c r="X636"/>
      <c r="Y636"/>
      <c r="Z636"/>
      <c r="AA636"/>
    </row>
    <row r="637" spans="2:27" s="25" customFormat="1" ht="15.75" customHeight="1" x14ac:dyDescent="0.2">
      <c r="B637" s="89"/>
      <c r="C637"/>
      <c r="D637"/>
      <c r="E637" s="69"/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  <c r="V637"/>
      <c r="W637"/>
      <c r="X637"/>
      <c r="Y637"/>
      <c r="Z637"/>
      <c r="AA637"/>
    </row>
    <row r="638" spans="2:27" s="25" customFormat="1" ht="15.75" customHeight="1" x14ac:dyDescent="0.2">
      <c r="B638" s="89"/>
      <c r="C638"/>
      <c r="D638"/>
      <c r="E638" s="69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  <c r="V638"/>
      <c r="W638"/>
      <c r="X638"/>
      <c r="Y638"/>
      <c r="Z638"/>
      <c r="AA638"/>
    </row>
    <row r="639" spans="2:27" s="25" customFormat="1" ht="15.75" customHeight="1" x14ac:dyDescent="0.2">
      <c r="B639" s="89"/>
      <c r="C639"/>
      <c r="D639"/>
      <c r="E639" s="69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  <c r="U639"/>
      <c r="V639"/>
      <c r="W639"/>
      <c r="X639"/>
      <c r="Y639"/>
      <c r="Z639"/>
      <c r="AA639"/>
    </row>
    <row r="640" spans="2:27" s="25" customFormat="1" ht="15.75" customHeight="1" x14ac:dyDescent="0.2">
      <c r="B640" s="89"/>
      <c r="C640"/>
      <c r="D640"/>
      <c r="E640" s="69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  <c r="V640"/>
      <c r="W640"/>
      <c r="X640"/>
      <c r="Y640"/>
      <c r="Z640"/>
      <c r="AA640"/>
    </row>
    <row r="641" spans="2:27" s="25" customFormat="1" ht="15.75" customHeight="1" x14ac:dyDescent="0.2">
      <c r="B641" s="89"/>
      <c r="C641"/>
      <c r="D641"/>
      <c r="E641" s="69"/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/>
      <c r="U641"/>
      <c r="V641"/>
      <c r="W641"/>
      <c r="X641"/>
      <c r="Y641"/>
      <c r="Z641"/>
      <c r="AA641"/>
    </row>
    <row r="642" spans="2:27" s="25" customFormat="1" ht="15.75" customHeight="1" x14ac:dyDescent="0.2">
      <c r="B642" s="89"/>
      <c r="C642"/>
      <c r="D642"/>
      <c r="E642" s="69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  <c r="V642"/>
      <c r="W642"/>
      <c r="X642"/>
      <c r="Y642"/>
      <c r="Z642"/>
      <c r="AA642"/>
    </row>
    <row r="643" spans="2:27" s="25" customFormat="1" ht="15.75" customHeight="1" x14ac:dyDescent="0.2">
      <c r="B643" s="89"/>
      <c r="C643"/>
      <c r="D643"/>
      <c r="E643" s="69"/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  <c r="T643"/>
      <c r="U643"/>
      <c r="V643"/>
      <c r="W643"/>
      <c r="X643"/>
      <c r="Y643"/>
      <c r="Z643"/>
      <c r="AA643"/>
    </row>
    <row r="644" spans="2:27" s="25" customFormat="1" ht="15.75" customHeight="1" x14ac:dyDescent="0.2">
      <c r="B644" s="89"/>
      <c r="C644"/>
      <c r="D644"/>
      <c r="E644" s="69"/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  <c r="U644"/>
      <c r="V644"/>
      <c r="W644"/>
      <c r="X644"/>
      <c r="Y644"/>
      <c r="Z644"/>
      <c r="AA644"/>
    </row>
    <row r="645" spans="2:27" s="25" customFormat="1" ht="15.75" customHeight="1" x14ac:dyDescent="0.2">
      <c r="B645" s="89"/>
      <c r="C645"/>
      <c r="D645"/>
      <c r="E645" s="69"/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  <c r="T645"/>
      <c r="U645"/>
      <c r="V645"/>
      <c r="W645"/>
      <c r="X645"/>
      <c r="Y645"/>
      <c r="Z645"/>
      <c r="AA645"/>
    </row>
    <row r="646" spans="2:27" s="25" customFormat="1" ht="15.75" customHeight="1" x14ac:dyDescent="0.2">
      <c r="B646" s="89"/>
      <c r="C646"/>
      <c r="D646"/>
      <c r="E646" s="69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  <c r="U646"/>
      <c r="V646"/>
      <c r="W646"/>
      <c r="X646"/>
      <c r="Y646"/>
      <c r="Z646"/>
      <c r="AA646"/>
    </row>
    <row r="647" spans="2:27" s="25" customFormat="1" ht="15.75" customHeight="1" x14ac:dyDescent="0.2">
      <c r="B647" s="89"/>
      <c r="C647"/>
      <c r="D647"/>
      <c r="E647" s="69"/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  <c r="V647"/>
      <c r="W647"/>
      <c r="X647"/>
      <c r="Y647"/>
      <c r="Z647"/>
      <c r="AA647"/>
    </row>
    <row r="648" spans="2:27" s="25" customFormat="1" ht="15.75" customHeight="1" x14ac:dyDescent="0.2">
      <c r="B648" s="89"/>
      <c r="C648"/>
      <c r="D648"/>
      <c r="E648" s="69"/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  <c r="U648"/>
      <c r="V648"/>
      <c r="W648"/>
      <c r="X648"/>
      <c r="Y648"/>
      <c r="Z648"/>
      <c r="AA648"/>
    </row>
    <row r="649" spans="2:27" s="25" customFormat="1" ht="15.75" customHeight="1" x14ac:dyDescent="0.2">
      <c r="B649" s="89"/>
      <c r="C649"/>
      <c r="D649"/>
      <c r="E649" s="69"/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  <c r="T649"/>
      <c r="U649"/>
      <c r="V649"/>
      <c r="W649"/>
      <c r="X649"/>
      <c r="Y649"/>
      <c r="Z649"/>
      <c r="AA649"/>
    </row>
    <row r="650" spans="2:27" s="25" customFormat="1" ht="15.75" customHeight="1" x14ac:dyDescent="0.2">
      <c r="B650" s="89"/>
      <c r="C650"/>
      <c r="D650"/>
      <c r="E650" s="69"/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  <c r="T650"/>
      <c r="U650"/>
      <c r="V650"/>
      <c r="W650"/>
      <c r="X650"/>
      <c r="Y650"/>
      <c r="Z650"/>
      <c r="AA650"/>
    </row>
    <row r="651" spans="2:27" s="25" customFormat="1" ht="15.75" customHeight="1" x14ac:dyDescent="0.2">
      <c r="B651" s="89"/>
      <c r="C651"/>
      <c r="D651"/>
      <c r="E651" s="69"/>
      <c r="F651"/>
      <c r="G651"/>
      <c r="H651"/>
      <c r="I651"/>
      <c r="J651"/>
      <c r="K651"/>
      <c r="L651"/>
      <c r="M651"/>
      <c r="N651"/>
      <c r="O651"/>
      <c r="P651"/>
      <c r="Q651"/>
      <c r="R651"/>
      <c r="S651"/>
      <c r="T651"/>
      <c r="U651"/>
      <c r="V651"/>
      <c r="W651"/>
      <c r="X651"/>
      <c r="Y651"/>
      <c r="Z651"/>
      <c r="AA651"/>
    </row>
    <row r="652" spans="2:27" s="25" customFormat="1" ht="15.75" customHeight="1" x14ac:dyDescent="0.2">
      <c r="B652" s="89"/>
      <c r="C652"/>
      <c r="D652"/>
      <c r="E652" s="69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  <c r="V652"/>
      <c r="W652"/>
      <c r="X652"/>
      <c r="Y652"/>
      <c r="Z652"/>
      <c r="AA652"/>
    </row>
    <row r="653" spans="2:27" s="25" customFormat="1" ht="15.75" customHeight="1" x14ac:dyDescent="0.2">
      <c r="B653" s="89"/>
      <c r="C653"/>
      <c r="D653"/>
      <c r="E653" s="69"/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  <c r="T653"/>
      <c r="U653"/>
      <c r="V653"/>
      <c r="W653"/>
      <c r="X653"/>
      <c r="Y653"/>
      <c r="Z653"/>
      <c r="AA653"/>
    </row>
    <row r="654" spans="2:27" s="25" customFormat="1" ht="15.75" customHeight="1" x14ac:dyDescent="0.2">
      <c r="B654" s="89"/>
      <c r="C654"/>
      <c r="D654"/>
      <c r="E654" s="69"/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  <c r="T654"/>
      <c r="U654"/>
      <c r="V654"/>
      <c r="W654"/>
      <c r="X654"/>
      <c r="Y654"/>
      <c r="Z654"/>
      <c r="AA654"/>
    </row>
    <row r="655" spans="2:27" s="25" customFormat="1" ht="15.75" customHeight="1" x14ac:dyDescent="0.2">
      <c r="B655" s="89"/>
      <c r="C655"/>
      <c r="D655"/>
      <c r="E655" s="69"/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  <c r="V655"/>
      <c r="W655"/>
      <c r="X655"/>
      <c r="Y655"/>
      <c r="Z655"/>
      <c r="AA655"/>
    </row>
    <row r="656" spans="2:27" s="25" customFormat="1" ht="15.75" customHeight="1" x14ac:dyDescent="0.2">
      <c r="B656" s="89"/>
      <c r="C656"/>
      <c r="D656"/>
      <c r="E656" s="69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/>
      <c r="U656"/>
      <c r="V656"/>
      <c r="W656"/>
      <c r="X656"/>
      <c r="Y656"/>
      <c r="Z656"/>
      <c r="AA656"/>
    </row>
    <row r="657" spans="2:27" s="25" customFormat="1" ht="15.75" customHeight="1" x14ac:dyDescent="0.2">
      <c r="B657" s="89"/>
      <c r="C657"/>
      <c r="D657"/>
      <c r="E657" s="69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  <c r="V657"/>
      <c r="W657"/>
      <c r="X657"/>
      <c r="Y657"/>
      <c r="Z657"/>
      <c r="AA657"/>
    </row>
    <row r="658" spans="2:27" s="25" customFormat="1" ht="15.75" customHeight="1" x14ac:dyDescent="0.2">
      <c r="B658" s="89"/>
      <c r="C658"/>
      <c r="D658"/>
      <c r="E658" s="69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  <c r="U658"/>
      <c r="V658"/>
      <c r="W658"/>
      <c r="X658"/>
      <c r="Y658"/>
      <c r="Z658"/>
      <c r="AA658"/>
    </row>
    <row r="659" spans="2:27" s="25" customFormat="1" ht="15.75" customHeight="1" x14ac:dyDescent="0.2">
      <c r="B659" s="89"/>
      <c r="C659"/>
      <c r="D659"/>
      <c r="E659" s="69"/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  <c r="V659"/>
      <c r="W659"/>
      <c r="X659"/>
      <c r="Y659"/>
      <c r="Z659"/>
      <c r="AA659"/>
    </row>
    <row r="660" spans="2:27" s="25" customFormat="1" ht="15.75" customHeight="1" x14ac:dyDescent="0.2">
      <c r="B660" s="89"/>
      <c r="C660"/>
      <c r="D660"/>
      <c r="E660" s="69"/>
      <c r="F660"/>
      <c r="G660"/>
      <c r="H660"/>
      <c r="I660"/>
      <c r="J660"/>
      <c r="K660"/>
      <c r="L660"/>
      <c r="M660"/>
      <c r="N660"/>
      <c r="O660"/>
      <c r="P660"/>
      <c r="Q660"/>
      <c r="R660"/>
      <c r="S660"/>
      <c r="T660"/>
      <c r="U660"/>
      <c r="V660"/>
      <c r="W660"/>
      <c r="X660"/>
      <c r="Y660"/>
      <c r="Z660"/>
      <c r="AA660"/>
    </row>
    <row r="661" spans="2:27" s="25" customFormat="1" ht="15.75" customHeight="1" x14ac:dyDescent="0.2">
      <c r="B661" s="89"/>
      <c r="C661"/>
      <c r="D661"/>
      <c r="E661" s="69"/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  <c r="V661"/>
      <c r="W661"/>
      <c r="X661"/>
      <c r="Y661"/>
      <c r="Z661"/>
      <c r="AA661"/>
    </row>
    <row r="662" spans="2:27" s="25" customFormat="1" ht="15.75" customHeight="1" x14ac:dyDescent="0.2">
      <c r="B662" s="89"/>
      <c r="C662"/>
      <c r="D662"/>
      <c r="E662" s="69"/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  <c r="T662"/>
      <c r="U662"/>
      <c r="V662"/>
      <c r="W662"/>
      <c r="X662"/>
      <c r="Y662"/>
      <c r="Z662"/>
      <c r="AA662"/>
    </row>
    <row r="663" spans="2:27" s="25" customFormat="1" ht="15.75" customHeight="1" x14ac:dyDescent="0.2">
      <c r="B663" s="89"/>
      <c r="C663"/>
      <c r="D663"/>
      <c r="E663" s="69"/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  <c r="T663"/>
      <c r="U663"/>
      <c r="V663"/>
      <c r="W663"/>
      <c r="X663"/>
      <c r="Y663"/>
      <c r="Z663"/>
      <c r="AA663"/>
    </row>
    <row r="664" spans="2:27" s="25" customFormat="1" ht="15.75" customHeight="1" x14ac:dyDescent="0.2">
      <c r="B664" s="89"/>
      <c r="C664"/>
      <c r="D664"/>
      <c r="E664" s="69"/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/>
      <c r="U664"/>
      <c r="V664"/>
      <c r="W664"/>
      <c r="X664"/>
      <c r="Y664"/>
      <c r="Z664"/>
      <c r="AA664"/>
    </row>
    <row r="665" spans="2:27" s="25" customFormat="1" ht="15.75" customHeight="1" x14ac:dyDescent="0.2">
      <c r="B665" s="89"/>
      <c r="C665"/>
      <c r="D665"/>
      <c r="E665" s="69"/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  <c r="T665"/>
      <c r="U665"/>
      <c r="V665"/>
      <c r="W665"/>
      <c r="X665"/>
      <c r="Y665"/>
      <c r="Z665"/>
      <c r="AA665"/>
    </row>
    <row r="666" spans="2:27" s="25" customFormat="1" ht="15.75" customHeight="1" x14ac:dyDescent="0.2">
      <c r="B666" s="89"/>
      <c r="C666"/>
      <c r="D666"/>
      <c r="E666" s="69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  <c r="V666"/>
      <c r="W666"/>
      <c r="X666"/>
      <c r="Y666"/>
      <c r="Z666"/>
      <c r="AA666"/>
    </row>
    <row r="667" spans="2:27" s="25" customFormat="1" ht="15.75" customHeight="1" x14ac:dyDescent="0.2">
      <c r="B667" s="89"/>
      <c r="C667"/>
      <c r="D667"/>
      <c r="E667" s="69"/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  <c r="T667"/>
      <c r="U667"/>
      <c r="V667"/>
      <c r="W667"/>
      <c r="X667"/>
      <c r="Y667"/>
      <c r="Z667"/>
      <c r="AA667"/>
    </row>
    <row r="668" spans="2:27" s="25" customFormat="1" ht="15.75" customHeight="1" x14ac:dyDescent="0.2">
      <c r="B668" s="89"/>
      <c r="C668"/>
      <c r="D668"/>
      <c r="E668" s="69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  <c r="V668"/>
      <c r="W668"/>
      <c r="X668"/>
      <c r="Y668"/>
      <c r="Z668"/>
      <c r="AA668"/>
    </row>
    <row r="669" spans="2:27" s="25" customFormat="1" ht="15.75" customHeight="1" x14ac:dyDescent="0.2">
      <c r="B669" s="89"/>
      <c r="C669"/>
      <c r="D669"/>
      <c r="E669" s="69"/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  <c r="V669"/>
      <c r="W669"/>
      <c r="X669"/>
      <c r="Y669"/>
      <c r="Z669"/>
      <c r="AA669"/>
    </row>
    <row r="670" spans="2:27" s="25" customFormat="1" ht="15.75" customHeight="1" x14ac:dyDescent="0.2">
      <c r="B670" s="89"/>
      <c r="C670"/>
      <c r="D670"/>
      <c r="E670" s="69"/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  <c r="U670"/>
      <c r="V670"/>
      <c r="W670"/>
      <c r="X670"/>
      <c r="Y670"/>
      <c r="Z670"/>
      <c r="AA670"/>
    </row>
    <row r="671" spans="2:27" s="25" customFormat="1" ht="15.75" customHeight="1" x14ac:dyDescent="0.2">
      <c r="B671" s="89"/>
      <c r="C671"/>
      <c r="D671"/>
      <c r="E671" s="69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  <c r="V671"/>
      <c r="W671"/>
      <c r="X671"/>
      <c r="Y671"/>
      <c r="Z671"/>
      <c r="AA671"/>
    </row>
    <row r="672" spans="2:27" s="25" customFormat="1" ht="15.75" customHeight="1" x14ac:dyDescent="0.2">
      <c r="B672" s="89"/>
      <c r="C672"/>
      <c r="D672"/>
      <c r="E672" s="69"/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  <c r="T672"/>
      <c r="U672"/>
      <c r="V672"/>
      <c r="W672"/>
      <c r="X672"/>
      <c r="Y672"/>
      <c r="Z672"/>
      <c r="AA672"/>
    </row>
    <row r="673" spans="2:27" s="25" customFormat="1" ht="15.75" customHeight="1" x14ac:dyDescent="0.2">
      <c r="B673" s="89"/>
      <c r="C673"/>
      <c r="D673"/>
      <c r="E673" s="69"/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  <c r="T673"/>
      <c r="U673"/>
      <c r="V673"/>
      <c r="W673"/>
      <c r="X673"/>
      <c r="Y673"/>
      <c r="Z673"/>
      <c r="AA673"/>
    </row>
    <row r="674" spans="2:27" s="25" customFormat="1" ht="15.75" customHeight="1" x14ac:dyDescent="0.2">
      <c r="B674" s="89"/>
      <c r="C674"/>
      <c r="D674"/>
      <c r="E674" s="69"/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  <c r="U674"/>
      <c r="V674"/>
      <c r="W674"/>
      <c r="X674"/>
      <c r="Y674"/>
      <c r="Z674"/>
      <c r="AA674"/>
    </row>
    <row r="675" spans="2:27" s="25" customFormat="1" ht="15.75" customHeight="1" x14ac:dyDescent="0.2">
      <c r="B675" s="89"/>
      <c r="C675"/>
      <c r="D675"/>
      <c r="E675" s="69"/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  <c r="U675"/>
      <c r="V675"/>
      <c r="W675"/>
      <c r="X675"/>
      <c r="Y675"/>
      <c r="Z675"/>
      <c r="AA675"/>
    </row>
    <row r="676" spans="2:27" s="25" customFormat="1" ht="15.75" customHeight="1" x14ac:dyDescent="0.2">
      <c r="B676" s="89"/>
      <c r="C676"/>
      <c r="D676"/>
      <c r="E676" s="69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  <c r="V676"/>
      <c r="W676"/>
      <c r="X676"/>
      <c r="Y676"/>
      <c r="Z676"/>
      <c r="AA676"/>
    </row>
    <row r="677" spans="2:27" s="25" customFormat="1" ht="15.75" customHeight="1" x14ac:dyDescent="0.2">
      <c r="B677" s="89"/>
      <c r="C677"/>
      <c r="D677"/>
      <c r="E677" s="69"/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  <c r="V677"/>
      <c r="W677"/>
      <c r="X677"/>
      <c r="Y677"/>
      <c r="Z677"/>
      <c r="AA677"/>
    </row>
    <row r="678" spans="2:27" s="25" customFormat="1" ht="15.75" customHeight="1" x14ac:dyDescent="0.2">
      <c r="B678" s="89"/>
      <c r="C678"/>
      <c r="D678"/>
      <c r="E678" s="69"/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  <c r="T678"/>
      <c r="U678"/>
      <c r="V678"/>
      <c r="W678"/>
      <c r="X678"/>
      <c r="Y678"/>
      <c r="Z678"/>
      <c r="AA678"/>
    </row>
    <row r="679" spans="2:27" s="25" customFormat="1" ht="15.75" customHeight="1" x14ac:dyDescent="0.2">
      <c r="B679" s="89"/>
      <c r="C679"/>
      <c r="D679"/>
      <c r="E679" s="69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  <c r="V679"/>
      <c r="W679"/>
      <c r="X679"/>
      <c r="Y679"/>
      <c r="Z679"/>
      <c r="AA679"/>
    </row>
    <row r="680" spans="2:27" s="25" customFormat="1" ht="15.75" customHeight="1" x14ac:dyDescent="0.2">
      <c r="B680" s="89"/>
      <c r="C680"/>
      <c r="D680"/>
      <c r="E680" s="69"/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  <c r="U680"/>
      <c r="V680"/>
      <c r="W680"/>
      <c r="X680"/>
      <c r="Y680"/>
      <c r="Z680"/>
      <c r="AA680"/>
    </row>
    <row r="681" spans="2:27" s="25" customFormat="1" ht="15.75" customHeight="1" x14ac:dyDescent="0.2">
      <c r="B681" s="89"/>
      <c r="C681"/>
      <c r="D681"/>
      <c r="E681" s="69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  <c r="U681"/>
      <c r="V681"/>
      <c r="W681"/>
      <c r="X681"/>
      <c r="Y681"/>
      <c r="Z681"/>
      <c r="AA681"/>
    </row>
    <row r="682" spans="2:27" s="25" customFormat="1" ht="15.75" customHeight="1" x14ac:dyDescent="0.2">
      <c r="B682" s="89"/>
      <c r="C682"/>
      <c r="D682"/>
      <c r="E682" s="69"/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  <c r="T682"/>
      <c r="U682"/>
      <c r="V682"/>
      <c r="W682"/>
      <c r="X682"/>
      <c r="Y682"/>
      <c r="Z682"/>
      <c r="AA682"/>
    </row>
    <row r="683" spans="2:27" s="25" customFormat="1" ht="15.75" customHeight="1" x14ac:dyDescent="0.2">
      <c r="B683" s="89"/>
      <c r="C683"/>
      <c r="D683"/>
      <c r="E683" s="69"/>
      <c r="F683"/>
      <c r="G683"/>
      <c r="H683"/>
      <c r="I683"/>
      <c r="J683"/>
      <c r="K683"/>
      <c r="L683"/>
      <c r="M683"/>
      <c r="N683"/>
      <c r="O683"/>
      <c r="P683"/>
      <c r="Q683"/>
      <c r="R683"/>
      <c r="S683"/>
      <c r="T683"/>
      <c r="U683"/>
      <c r="V683"/>
      <c r="W683"/>
      <c r="X683"/>
      <c r="Y683"/>
      <c r="Z683"/>
      <c r="AA683"/>
    </row>
    <row r="684" spans="2:27" s="25" customFormat="1" ht="15.75" customHeight="1" x14ac:dyDescent="0.2">
      <c r="B684" s="89"/>
      <c r="C684"/>
      <c r="D684"/>
      <c r="E684" s="69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  <c r="V684"/>
      <c r="W684"/>
      <c r="X684"/>
      <c r="Y684"/>
      <c r="Z684"/>
      <c r="AA684"/>
    </row>
    <row r="685" spans="2:27" s="25" customFormat="1" ht="15.75" customHeight="1" x14ac:dyDescent="0.2">
      <c r="B685" s="89"/>
      <c r="C685"/>
      <c r="D685"/>
      <c r="E685" s="69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  <c r="V685"/>
      <c r="W685"/>
      <c r="X685"/>
      <c r="Y685"/>
      <c r="Z685"/>
      <c r="AA685"/>
    </row>
    <row r="686" spans="2:27" s="25" customFormat="1" ht="15.75" customHeight="1" x14ac:dyDescent="0.2">
      <c r="B686" s="89"/>
      <c r="C686"/>
      <c r="D686"/>
      <c r="E686" s="69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  <c r="U686"/>
      <c r="V686"/>
      <c r="W686"/>
      <c r="X686"/>
      <c r="Y686"/>
      <c r="Z686"/>
      <c r="AA686"/>
    </row>
    <row r="687" spans="2:27" s="25" customFormat="1" ht="15.75" customHeight="1" x14ac:dyDescent="0.2">
      <c r="B687" s="89"/>
      <c r="C687"/>
      <c r="D687"/>
      <c r="E687" s="69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  <c r="V687"/>
      <c r="W687"/>
      <c r="X687"/>
      <c r="Y687"/>
      <c r="Z687"/>
      <c r="AA687"/>
    </row>
    <row r="688" spans="2:27" s="25" customFormat="1" ht="15.75" customHeight="1" x14ac:dyDescent="0.2">
      <c r="B688" s="89"/>
      <c r="C688"/>
      <c r="D688"/>
      <c r="E688" s="69"/>
      <c r="F688"/>
      <c r="G688"/>
      <c r="H688"/>
      <c r="I688"/>
      <c r="J688"/>
      <c r="K688"/>
      <c r="L688"/>
      <c r="M688"/>
      <c r="N688"/>
      <c r="O688"/>
      <c r="P688"/>
      <c r="Q688"/>
      <c r="R688"/>
      <c r="S688"/>
      <c r="T688"/>
      <c r="U688"/>
      <c r="V688"/>
      <c r="W688"/>
      <c r="X688"/>
      <c r="Y688"/>
      <c r="Z688"/>
      <c r="AA688"/>
    </row>
    <row r="689" spans="2:27" s="25" customFormat="1" ht="15.75" customHeight="1" x14ac:dyDescent="0.2">
      <c r="B689" s="89"/>
      <c r="C689"/>
      <c r="D689"/>
      <c r="E689" s="6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  <c r="V689"/>
      <c r="W689"/>
      <c r="X689"/>
      <c r="Y689"/>
      <c r="Z689"/>
      <c r="AA689"/>
    </row>
    <row r="690" spans="2:27" s="25" customFormat="1" ht="15.75" customHeight="1" x14ac:dyDescent="0.2">
      <c r="B690" s="89"/>
      <c r="C690"/>
      <c r="D690"/>
      <c r="E690" s="69"/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  <c r="T690"/>
      <c r="U690"/>
      <c r="V690"/>
      <c r="W690"/>
      <c r="X690"/>
      <c r="Y690"/>
      <c r="Z690"/>
      <c r="AA690"/>
    </row>
    <row r="691" spans="2:27" s="25" customFormat="1" ht="15.75" customHeight="1" x14ac:dyDescent="0.2">
      <c r="B691" s="89"/>
      <c r="C691"/>
      <c r="D691"/>
      <c r="E691" s="69"/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  <c r="U691"/>
      <c r="V691"/>
      <c r="W691"/>
      <c r="X691"/>
      <c r="Y691"/>
      <c r="Z691"/>
      <c r="AA691"/>
    </row>
    <row r="692" spans="2:27" s="25" customFormat="1" ht="15.75" customHeight="1" x14ac:dyDescent="0.2">
      <c r="B692" s="89"/>
      <c r="C692"/>
      <c r="D692"/>
      <c r="E692" s="69"/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  <c r="T692"/>
      <c r="U692"/>
      <c r="V692"/>
      <c r="W692"/>
      <c r="X692"/>
      <c r="Y692"/>
      <c r="Z692"/>
      <c r="AA692"/>
    </row>
    <row r="693" spans="2:27" s="25" customFormat="1" ht="15.75" customHeight="1" x14ac:dyDescent="0.2">
      <c r="B693" s="89"/>
      <c r="C693"/>
      <c r="D693"/>
      <c r="E693" s="69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  <c r="U693"/>
      <c r="V693"/>
      <c r="W693"/>
      <c r="X693"/>
      <c r="Y693"/>
      <c r="Z693"/>
      <c r="AA693"/>
    </row>
    <row r="694" spans="2:27" s="25" customFormat="1" ht="15.75" customHeight="1" x14ac:dyDescent="0.2">
      <c r="B694" s="89"/>
      <c r="C694"/>
      <c r="D694"/>
      <c r="E694" s="69"/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  <c r="V694"/>
      <c r="W694"/>
      <c r="X694"/>
      <c r="Y694"/>
      <c r="Z694"/>
      <c r="AA694"/>
    </row>
    <row r="695" spans="2:27" s="25" customFormat="1" ht="15.75" customHeight="1" x14ac:dyDescent="0.2">
      <c r="B695" s="89"/>
      <c r="C695"/>
      <c r="D695"/>
      <c r="E695" s="69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  <c r="V695"/>
      <c r="W695"/>
      <c r="X695"/>
      <c r="Y695"/>
      <c r="Z695"/>
      <c r="AA695"/>
    </row>
    <row r="696" spans="2:27" s="25" customFormat="1" ht="15.75" customHeight="1" x14ac:dyDescent="0.2">
      <c r="B696" s="89"/>
      <c r="C696"/>
      <c r="D696"/>
      <c r="E696" s="69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  <c r="U696"/>
      <c r="V696"/>
      <c r="W696"/>
      <c r="X696"/>
      <c r="Y696"/>
      <c r="Z696"/>
      <c r="AA696"/>
    </row>
    <row r="697" spans="2:27" s="25" customFormat="1" ht="15.75" customHeight="1" x14ac:dyDescent="0.2">
      <c r="B697" s="89"/>
      <c r="C697"/>
      <c r="D697"/>
      <c r="E697" s="69"/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  <c r="V697"/>
      <c r="W697"/>
      <c r="X697"/>
      <c r="Y697"/>
      <c r="Z697"/>
      <c r="AA697"/>
    </row>
    <row r="698" spans="2:27" s="25" customFormat="1" ht="15.75" customHeight="1" x14ac:dyDescent="0.2">
      <c r="B698" s="89"/>
      <c r="C698"/>
      <c r="D698"/>
      <c r="E698" s="69"/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  <c r="V698"/>
      <c r="W698"/>
      <c r="X698"/>
      <c r="Y698"/>
      <c r="Z698"/>
      <c r="AA698"/>
    </row>
    <row r="699" spans="2:27" s="25" customFormat="1" ht="15.75" customHeight="1" x14ac:dyDescent="0.2">
      <c r="B699" s="89"/>
      <c r="C699"/>
      <c r="D699"/>
      <c r="E699" s="69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  <c r="V699"/>
      <c r="W699"/>
      <c r="X699"/>
      <c r="Y699"/>
      <c r="Z699"/>
      <c r="AA699"/>
    </row>
    <row r="700" spans="2:27" s="25" customFormat="1" ht="15.75" customHeight="1" x14ac:dyDescent="0.2">
      <c r="B700" s="89"/>
      <c r="C700"/>
      <c r="D700"/>
      <c r="E700" s="69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  <c r="V700"/>
      <c r="W700"/>
      <c r="X700"/>
      <c r="Y700"/>
      <c r="Z700"/>
      <c r="AA700"/>
    </row>
    <row r="701" spans="2:27" s="25" customFormat="1" ht="15.75" customHeight="1" x14ac:dyDescent="0.2">
      <c r="B701" s="89"/>
      <c r="C701"/>
      <c r="D701"/>
      <c r="E701" s="69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  <c r="V701"/>
      <c r="W701"/>
      <c r="X701"/>
      <c r="Y701"/>
      <c r="Z701"/>
      <c r="AA701"/>
    </row>
    <row r="702" spans="2:27" s="25" customFormat="1" ht="15.75" customHeight="1" x14ac:dyDescent="0.2">
      <c r="B702" s="89"/>
      <c r="C702"/>
      <c r="D702"/>
      <c r="E702" s="69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  <c r="V702"/>
      <c r="W702"/>
      <c r="X702"/>
      <c r="Y702"/>
      <c r="Z702"/>
      <c r="AA702"/>
    </row>
    <row r="703" spans="2:27" s="25" customFormat="1" ht="15.75" customHeight="1" x14ac:dyDescent="0.2">
      <c r="B703" s="89"/>
      <c r="C703"/>
      <c r="D703"/>
      <c r="E703" s="69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  <c r="V703"/>
      <c r="W703"/>
      <c r="X703"/>
      <c r="Y703"/>
      <c r="Z703"/>
      <c r="AA703"/>
    </row>
    <row r="704" spans="2:27" s="25" customFormat="1" ht="15.75" customHeight="1" x14ac:dyDescent="0.2">
      <c r="B704" s="89"/>
      <c r="C704"/>
      <c r="D704"/>
      <c r="E704" s="69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  <c r="V704"/>
      <c r="W704"/>
      <c r="X704"/>
      <c r="Y704"/>
      <c r="Z704"/>
      <c r="AA704"/>
    </row>
    <row r="705" spans="2:27" s="25" customFormat="1" ht="15.75" customHeight="1" x14ac:dyDescent="0.2">
      <c r="B705" s="89"/>
      <c r="C705"/>
      <c r="D705"/>
      <c r="E705" s="69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  <c r="V705"/>
      <c r="W705"/>
      <c r="X705"/>
      <c r="Y705"/>
      <c r="Z705"/>
      <c r="AA705"/>
    </row>
    <row r="706" spans="2:27" s="25" customFormat="1" ht="15.75" customHeight="1" x14ac:dyDescent="0.2">
      <c r="B706" s="89"/>
      <c r="C706"/>
      <c r="D706"/>
      <c r="E706" s="69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  <c r="V706"/>
      <c r="W706"/>
      <c r="X706"/>
      <c r="Y706"/>
      <c r="Z706"/>
      <c r="AA706"/>
    </row>
    <row r="707" spans="2:27" s="25" customFormat="1" ht="15.75" customHeight="1" x14ac:dyDescent="0.2">
      <c r="B707" s="89"/>
      <c r="C707"/>
      <c r="D707"/>
      <c r="E707" s="69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  <c r="V707"/>
      <c r="W707"/>
      <c r="X707"/>
      <c r="Y707"/>
      <c r="Z707"/>
      <c r="AA707"/>
    </row>
    <row r="708" spans="2:27" s="25" customFormat="1" ht="15.75" customHeight="1" x14ac:dyDescent="0.2">
      <c r="B708" s="89"/>
      <c r="C708"/>
      <c r="D708"/>
      <c r="E708" s="69"/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  <c r="V708"/>
      <c r="W708"/>
      <c r="X708"/>
      <c r="Y708"/>
      <c r="Z708"/>
      <c r="AA708"/>
    </row>
    <row r="709" spans="2:27" s="25" customFormat="1" ht="15.75" customHeight="1" x14ac:dyDescent="0.2">
      <c r="B709" s="89"/>
      <c r="C709"/>
      <c r="D709"/>
      <c r="E709" s="69"/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  <c r="T709"/>
      <c r="U709"/>
      <c r="V709"/>
      <c r="W709"/>
      <c r="X709"/>
      <c r="Y709"/>
      <c r="Z709"/>
      <c r="AA709"/>
    </row>
    <row r="710" spans="2:27" s="25" customFormat="1" ht="15.75" customHeight="1" x14ac:dyDescent="0.2">
      <c r="B710" s="89"/>
      <c r="C710"/>
      <c r="D710"/>
      <c r="E710" s="69"/>
      <c r="F710"/>
      <c r="G710"/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  <c r="V710"/>
      <c r="W710"/>
      <c r="X710"/>
      <c r="Y710"/>
      <c r="Z710"/>
      <c r="AA710"/>
    </row>
    <row r="711" spans="2:27" s="25" customFormat="1" ht="15.75" customHeight="1" x14ac:dyDescent="0.2">
      <c r="B711" s="89"/>
      <c r="C711"/>
      <c r="D711"/>
      <c r="E711" s="69"/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  <c r="U711"/>
      <c r="V711"/>
      <c r="W711"/>
      <c r="X711"/>
      <c r="Y711"/>
      <c r="Z711"/>
      <c r="AA711"/>
    </row>
    <row r="712" spans="2:27" s="25" customFormat="1" ht="15.75" customHeight="1" x14ac:dyDescent="0.2">
      <c r="B712" s="89"/>
      <c r="C712"/>
      <c r="D712"/>
      <c r="E712" s="69"/>
      <c r="F712"/>
      <c r="G712"/>
      <c r="H712"/>
      <c r="I712"/>
      <c r="J712"/>
      <c r="K712"/>
      <c r="L712"/>
      <c r="M712"/>
      <c r="N712"/>
      <c r="O712"/>
      <c r="P712"/>
      <c r="Q712"/>
      <c r="R712"/>
      <c r="S712"/>
      <c r="T712"/>
      <c r="U712"/>
      <c r="V712"/>
      <c r="W712"/>
      <c r="X712"/>
      <c r="Y712"/>
      <c r="Z712"/>
      <c r="AA712"/>
    </row>
    <row r="713" spans="2:27" s="25" customFormat="1" ht="15.75" customHeight="1" x14ac:dyDescent="0.2">
      <c r="B713" s="89"/>
      <c r="C713"/>
      <c r="D713"/>
      <c r="E713" s="69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  <c r="V713"/>
      <c r="W713"/>
      <c r="X713"/>
      <c r="Y713"/>
      <c r="Z713"/>
      <c r="AA713"/>
    </row>
    <row r="714" spans="2:27" s="25" customFormat="1" ht="15.75" customHeight="1" x14ac:dyDescent="0.2">
      <c r="B714" s="89"/>
      <c r="C714"/>
      <c r="D714"/>
      <c r="E714" s="69"/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  <c r="U714"/>
      <c r="V714"/>
      <c r="W714"/>
      <c r="X714"/>
      <c r="Y714"/>
      <c r="Z714"/>
      <c r="AA714"/>
    </row>
    <row r="715" spans="2:27" s="25" customFormat="1" ht="15.75" customHeight="1" x14ac:dyDescent="0.2">
      <c r="B715" s="89"/>
      <c r="C715"/>
      <c r="D715"/>
      <c r="E715" s="69"/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  <c r="V715"/>
      <c r="W715"/>
      <c r="X715"/>
      <c r="Y715"/>
      <c r="Z715"/>
      <c r="AA715"/>
    </row>
    <row r="716" spans="2:27" s="25" customFormat="1" ht="15.75" customHeight="1" x14ac:dyDescent="0.2">
      <c r="B716" s="89"/>
      <c r="C716"/>
      <c r="D716"/>
      <c r="E716" s="69"/>
      <c r="F716"/>
      <c r="G716"/>
      <c r="H716"/>
      <c r="I716"/>
      <c r="J716"/>
      <c r="K716"/>
      <c r="L716"/>
      <c r="M716"/>
      <c r="N716"/>
      <c r="O716"/>
      <c r="P716"/>
      <c r="Q716"/>
      <c r="R716"/>
      <c r="S716"/>
      <c r="T716"/>
      <c r="U716"/>
      <c r="V716"/>
      <c r="W716"/>
      <c r="X716"/>
      <c r="Y716"/>
      <c r="Z716"/>
      <c r="AA716"/>
    </row>
    <row r="717" spans="2:27" s="25" customFormat="1" ht="15.75" customHeight="1" x14ac:dyDescent="0.2">
      <c r="B717" s="89"/>
      <c r="C717"/>
      <c r="D717"/>
      <c r="E717" s="69"/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  <c r="V717"/>
      <c r="W717"/>
      <c r="X717"/>
      <c r="Y717"/>
      <c r="Z717"/>
      <c r="AA717"/>
    </row>
    <row r="718" spans="2:27" s="25" customFormat="1" ht="15.75" customHeight="1" x14ac:dyDescent="0.2">
      <c r="B718" s="89"/>
      <c r="C718"/>
      <c r="D718"/>
      <c r="E718" s="69"/>
      <c r="F718"/>
      <c r="G718"/>
      <c r="H718"/>
      <c r="I718"/>
      <c r="J718"/>
      <c r="K718"/>
      <c r="L718"/>
      <c r="M718"/>
      <c r="N718"/>
      <c r="O718"/>
      <c r="P718"/>
      <c r="Q718"/>
      <c r="R718"/>
      <c r="S718"/>
      <c r="T718"/>
      <c r="U718"/>
      <c r="V718"/>
      <c r="W718"/>
      <c r="X718"/>
      <c r="Y718"/>
      <c r="Z718"/>
      <c r="AA718"/>
    </row>
    <row r="719" spans="2:27" s="25" customFormat="1" ht="15.75" customHeight="1" x14ac:dyDescent="0.2">
      <c r="B719" s="89"/>
      <c r="C719"/>
      <c r="D719"/>
      <c r="E719" s="69"/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  <c r="T719"/>
      <c r="U719"/>
      <c r="V719"/>
      <c r="W719"/>
      <c r="X719"/>
      <c r="Y719"/>
      <c r="Z719"/>
      <c r="AA719"/>
    </row>
    <row r="720" spans="2:27" s="25" customFormat="1" ht="15.75" customHeight="1" x14ac:dyDescent="0.2">
      <c r="B720" s="89"/>
      <c r="C720"/>
      <c r="D720"/>
      <c r="E720" s="69"/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  <c r="U720"/>
      <c r="V720"/>
      <c r="W720"/>
      <c r="X720"/>
      <c r="Y720"/>
      <c r="Z720"/>
      <c r="AA720"/>
    </row>
    <row r="721" spans="2:27" s="25" customFormat="1" ht="15.75" customHeight="1" x14ac:dyDescent="0.2">
      <c r="B721" s="89"/>
      <c r="C721"/>
      <c r="D721"/>
      <c r="E721" s="69"/>
      <c r="F721"/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  <c r="V721"/>
      <c r="W721"/>
      <c r="X721"/>
      <c r="Y721"/>
      <c r="Z721"/>
      <c r="AA721"/>
    </row>
    <row r="722" spans="2:27" s="25" customFormat="1" ht="15.75" customHeight="1" x14ac:dyDescent="0.2">
      <c r="B722" s="89"/>
      <c r="C722"/>
      <c r="D722"/>
      <c r="E722" s="69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  <c r="V722"/>
      <c r="W722"/>
      <c r="X722"/>
      <c r="Y722"/>
      <c r="Z722"/>
      <c r="AA722"/>
    </row>
    <row r="723" spans="2:27" s="25" customFormat="1" ht="15.75" customHeight="1" x14ac:dyDescent="0.2">
      <c r="B723" s="89"/>
      <c r="C723"/>
      <c r="D723"/>
      <c r="E723" s="69"/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  <c r="U723"/>
      <c r="V723"/>
      <c r="W723"/>
      <c r="X723"/>
      <c r="Y723"/>
      <c r="Z723"/>
      <c r="AA723"/>
    </row>
    <row r="724" spans="2:27" s="25" customFormat="1" ht="15.75" customHeight="1" x14ac:dyDescent="0.2">
      <c r="B724" s="89"/>
      <c r="C724"/>
      <c r="D724"/>
      <c r="E724" s="69"/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  <c r="U724"/>
      <c r="V724"/>
      <c r="W724"/>
      <c r="X724"/>
      <c r="Y724"/>
      <c r="Z724"/>
      <c r="AA724"/>
    </row>
    <row r="725" spans="2:27" s="25" customFormat="1" ht="15.75" customHeight="1" x14ac:dyDescent="0.2">
      <c r="B725" s="89"/>
      <c r="C725"/>
      <c r="D725"/>
      <c r="E725" s="69"/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/>
      <c r="U725"/>
      <c r="V725"/>
      <c r="W725"/>
      <c r="X725"/>
      <c r="Y725"/>
      <c r="Z725"/>
      <c r="AA725"/>
    </row>
    <row r="726" spans="2:27" s="25" customFormat="1" ht="15.75" customHeight="1" x14ac:dyDescent="0.2">
      <c r="B726" s="89"/>
      <c r="C726"/>
      <c r="D726"/>
      <c r="E726" s="69"/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  <c r="U726"/>
      <c r="V726"/>
      <c r="W726"/>
      <c r="X726"/>
      <c r="Y726"/>
      <c r="Z726"/>
      <c r="AA726"/>
    </row>
    <row r="727" spans="2:27" s="25" customFormat="1" ht="15.75" customHeight="1" x14ac:dyDescent="0.2">
      <c r="B727" s="89"/>
      <c r="C727"/>
      <c r="D727"/>
      <c r="E727" s="69"/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  <c r="V727"/>
      <c r="W727"/>
      <c r="X727"/>
      <c r="Y727"/>
      <c r="Z727"/>
      <c r="AA727"/>
    </row>
    <row r="728" spans="2:27" s="25" customFormat="1" ht="15.75" customHeight="1" x14ac:dyDescent="0.2">
      <c r="B728" s="89"/>
      <c r="C728"/>
      <c r="D728"/>
      <c r="E728" s="69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  <c r="V728"/>
      <c r="W728"/>
      <c r="X728"/>
      <c r="Y728"/>
      <c r="Z728"/>
      <c r="AA728"/>
    </row>
    <row r="729" spans="2:27" s="25" customFormat="1" ht="15.75" customHeight="1" x14ac:dyDescent="0.2">
      <c r="B729" s="89"/>
      <c r="C729"/>
      <c r="D729"/>
      <c r="E729" s="69"/>
      <c r="F729"/>
      <c r="G729"/>
      <c r="H729"/>
      <c r="I729"/>
      <c r="J729"/>
      <c r="K729"/>
      <c r="L729"/>
      <c r="M729"/>
      <c r="N729"/>
      <c r="O729"/>
      <c r="P729"/>
      <c r="Q729"/>
      <c r="R729"/>
      <c r="S729"/>
      <c r="T729"/>
      <c r="U729"/>
      <c r="V729"/>
      <c r="W729"/>
      <c r="X729"/>
      <c r="Y729"/>
      <c r="Z729"/>
      <c r="AA729"/>
    </row>
    <row r="730" spans="2:27" s="25" customFormat="1" ht="15.75" customHeight="1" x14ac:dyDescent="0.2">
      <c r="B730" s="89"/>
      <c r="C730"/>
      <c r="D730"/>
      <c r="E730" s="69"/>
      <c r="F730"/>
      <c r="G730"/>
      <c r="H730"/>
      <c r="I730"/>
      <c r="J730"/>
      <c r="K730"/>
      <c r="L730"/>
      <c r="M730"/>
      <c r="N730"/>
      <c r="O730"/>
      <c r="P730"/>
      <c r="Q730"/>
      <c r="R730"/>
      <c r="S730"/>
      <c r="T730"/>
      <c r="U730"/>
      <c r="V730"/>
      <c r="W730"/>
      <c r="X730"/>
      <c r="Y730"/>
      <c r="Z730"/>
      <c r="AA730"/>
    </row>
    <row r="731" spans="2:27" s="25" customFormat="1" ht="15.75" customHeight="1" x14ac:dyDescent="0.2">
      <c r="B731" s="89"/>
      <c r="C731"/>
      <c r="D731"/>
      <c r="E731" s="69"/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  <c r="V731"/>
      <c r="W731"/>
      <c r="X731"/>
      <c r="Y731"/>
      <c r="Z731"/>
      <c r="AA731"/>
    </row>
    <row r="732" spans="2:27" s="25" customFormat="1" ht="15.75" customHeight="1" x14ac:dyDescent="0.2">
      <c r="B732" s="89"/>
      <c r="C732"/>
      <c r="D732"/>
      <c r="E732" s="69"/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  <c r="U732"/>
      <c r="V732"/>
      <c r="W732"/>
      <c r="X732"/>
      <c r="Y732"/>
      <c r="Z732"/>
      <c r="AA732"/>
    </row>
    <row r="733" spans="2:27" s="25" customFormat="1" ht="15.75" customHeight="1" x14ac:dyDescent="0.2">
      <c r="B733" s="89"/>
      <c r="C733"/>
      <c r="D733"/>
      <c r="E733" s="69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  <c r="V733"/>
      <c r="W733"/>
      <c r="X733"/>
      <c r="Y733"/>
      <c r="Z733"/>
      <c r="AA733"/>
    </row>
    <row r="734" spans="2:27" s="25" customFormat="1" ht="15.75" customHeight="1" x14ac:dyDescent="0.2">
      <c r="B734" s="89"/>
      <c r="C734"/>
      <c r="D734"/>
      <c r="E734" s="69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  <c r="V734"/>
      <c r="W734"/>
      <c r="X734"/>
      <c r="Y734"/>
      <c r="Z734"/>
      <c r="AA734"/>
    </row>
    <row r="735" spans="2:27" s="25" customFormat="1" ht="15.75" customHeight="1" x14ac:dyDescent="0.2">
      <c r="B735" s="89"/>
      <c r="C735"/>
      <c r="D735"/>
      <c r="E735" s="69"/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  <c r="U735"/>
      <c r="V735"/>
      <c r="W735"/>
      <c r="X735"/>
      <c r="Y735"/>
      <c r="Z735"/>
      <c r="AA735"/>
    </row>
    <row r="736" spans="2:27" s="25" customFormat="1" ht="15.75" customHeight="1" x14ac:dyDescent="0.2">
      <c r="B736" s="89"/>
      <c r="C736"/>
      <c r="D736"/>
      <c r="E736" s="69"/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  <c r="U736"/>
      <c r="V736"/>
      <c r="W736"/>
      <c r="X736"/>
      <c r="Y736"/>
      <c r="Z736"/>
      <c r="AA736"/>
    </row>
    <row r="737" spans="2:27" s="25" customFormat="1" ht="15.75" customHeight="1" x14ac:dyDescent="0.2">
      <c r="B737" s="89"/>
      <c r="C737"/>
      <c r="D737"/>
      <c r="E737" s="69"/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  <c r="U737"/>
      <c r="V737"/>
      <c r="W737"/>
      <c r="X737"/>
      <c r="Y737"/>
      <c r="Z737"/>
      <c r="AA737"/>
    </row>
    <row r="738" spans="2:27" s="25" customFormat="1" ht="15.75" customHeight="1" x14ac:dyDescent="0.2">
      <c r="B738" s="89"/>
      <c r="C738"/>
      <c r="D738"/>
      <c r="E738" s="69"/>
      <c r="F738"/>
      <c r="G738"/>
      <c r="H738"/>
      <c r="I738"/>
      <c r="J738"/>
      <c r="K738"/>
      <c r="L738"/>
      <c r="M738"/>
      <c r="N738"/>
      <c r="O738"/>
      <c r="P738"/>
      <c r="Q738"/>
      <c r="R738"/>
      <c r="S738"/>
      <c r="T738"/>
      <c r="U738"/>
      <c r="V738"/>
      <c r="W738"/>
      <c r="X738"/>
      <c r="Y738"/>
      <c r="Z738"/>
      <c r="AA738"/>
    </row>
    <row r="739" spans="2:27" s="25" customFormat="1" ht="15.75" customHeight="1" x14ac:dyDescent="0.2">
      <c r="B739" s="89"/>
      <c r="C739"/>
      <c r="D739"/>
      <c r="E739" s="69"/>
      <c r="F739"/>
      <c r="G739"/>
      <c r="H739"/>
      <c r="I739"/>
      <c r="J739"/>
      <c r="K739"/>
      <c r="L739"/>
      <c r="M739"/>
      <c r="N739"/>
      <c r="O739"/>
      <c r="P739"/>
      <c r="Q739"/>
      <c r="R739"/>
      <c r="S739"/>
      <c r="T739"/>
      <c r="U739"/>
      <c r="V739"/>
      <c r="W739"/>
      <c r="X739"/>
      <c r="Y739"/>
      <c r="Z739"/>
      <c r="AA739"/>
    </row>
    <row r="740" spans="2:27" s="25" customFormat="1" ht="15.75" customHeight="1" x14ac:dyDescent="0.2">
      <c r="B740" s="89"/>
      <c r="C740"/>
      <c r="D740"/>
      <c r="E740" s="69"/>
      <c r="F740"/>
      <c r="G740"/>
      <c r="H740"/>
      <c r="I740"/>
      <c r="J740"/>
      <c r="K740"/>
      <c r="L740"/>
      <c r="M740"/>
      <c r="N740"/>
      <c r="O740"/>
      <c r="P740"/>
      <c r="Q740"/>
      <c r="R740"/>
      <c r="S740"/>
      <c r="T740"/>
      <c r="U740"/>
      <c r="V740"/>
      <c r="W740"/>
      <c r="X740"/>
      <c r="Y740"/>
      <c r="Z740"/>
      <c r="AA740"/>
    </row>
    <row r="741" spans="2:27" s="25" customFormat="1" ht="15.75" customHeight="1" x14ac:dyDescent="0.2">
      <c r="B741" s="89"/>
      <c r="C741"/>
      <c r="D741"/>
      <c r="E741" s="69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  <c r="V741"/>
      <c r="W741"/>
      <c r="X741"/>
      <c r="Y741"/>
      <c r="Z741"/>
      <c r="AA741"/>
    </row>
    <row r="742" spans="2:27" s="25" customFormat="1" ht="15.75" customHeight="1" x14ac:dyDescent="0.2">
      <c r="B742" s="89"/>
      <c r="C742"/>
      <c r="D742"/>
      <c r="E742" s="69"/>
      <c r="F742"/>
      <c r="G742"/>
      <c r="H742"/>
      <c r="I742"/>
      <c r="J742"/>
      <c r="K742"/>
      <c r="L742"/>
      <c r="M742"/>
      <c r="N742"/>
      <c r="O742"/>
      <c r="P742"/>
      <c r="Q742"/>
      <c r="R742"/>
      <c r="S742"/>
      <c r="T742"/>
      <c r="U742"/>
      <c r="V742"/>
      <c r="W742"/>
      <c r="X742"/>
      <c r="Y742"/>
      <c r="Z742"/>
      <c r="AA742"/>
    </row>
    <row r="743" spans="2:27" s="25" customFormat="1" ht="15.75" customHeight="1" x14ac:dyDescent="0.2">
      <c r="B743" s="89"/>
      <c r="C743"/>
      <c r="D743"/>
      <c r="E743" s="69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  <c r="V743"/>
      <c r="W743"/>
      <c r="X743"/>
      <c r="Y743"/>
      <c r="Z743"/>
      <c r="AA743"/>
    </row>
    <row r="744" spans="2:27" s="25" customFormat="1" ht="15.75" customHeight="1" x14ac:dyDescent="0.2">
      <c r="B744" s="89"/>
      <c r="C744"/>
      <c r="D744"/>
      <c r="E744" s="69"/>
      <c r="F744"/>
      <c r="G744"/>
      <c r="H744"/>
      <c r="I744"/>
      <c r="J744"/>
      <c r="K744"/>
      <c r="L744"/>
      <c r="M744"/>
      <c r="N744"/>
      <c r="O744"/>
      <c r="P744"/>
      <c r="Q744"/>
      <c r="R744"/>
      <c r="S744"/>
      <c r="T744"/>
      <c r="U744"/>
      <c r="V744"/>
      <c r="W744"/>
      <c r="X744"/>
      <c r="Y744"/>
      <c r="Z744"/>
      <c r="AA744"/>
    </row>
    <row r="745" spans="2:27" s="25" customFormat="1" ht="15.75" customHeight="1" x14ac:dyDescent="0.2">
      <c r="B745" s="89"/>
      <c r="C745"/>
      <c r="D745"/>
      <c r="E745" s="69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  <c r="V745"/>
      <c r="W745"/>
      <c r="X745"/>
      <c r="Y745"/>
      <c r="Z745"/>
      <c r="AA745"/>
    </row>
    <row r="746" spans="2:27" s="25" customFormat="1" ht="15.75" customHeight="1" x14ac:dyDescent="0.2">
      <c r="B746" s="89"/>
      <c r="C746"/>
      <c r="D746"/>
      <c r="E746" s="69"/>
      <c r="F746"/>
      <c r="G746"/>
      <c r="H746"/>
      <c r="I746"/>
      <c r="J746"/>
      <c r="K746"/>
      <c r="L746"/>
      <c r="M746"/>
      <c r="N746"/>
      <c r="O746"/>
      <c r="P746"/>
      <c r="Q746"/>
      <c r="R746"/>
      <c r="S746"/>
      <c r="T746"/>
      <c r="U746"/>
      <c r="V746"/>
      <c r="W746"/>
      <c r="X746"/>
      <c r="Y746"/>
      <c r="Z746"/>
      <c r="AA746"/>
    </row>
    <row r="747" spans="2:27" s="25" customFormat="1" ht="15.75" customHeight="1" x14ac:dyDescent="0.2">
      <c r="B747" s="89"/>
      <c r="C747"/>
      <c r="D747"/>
      <c r="E747" s="69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  <c r="U747"/>
      <c r="V747"/>
      <c r="W747"/>
      <c r="X747"/>
      <c r="Y747"/>
      <c r="Z747"/>
      <c r="AA747"/>
    </row>
    <row r="748" spans="2:27" s="25" customFormat="1" ht="15.75" customHeight="1" x14ac:dyDescent="0.2">
      <c r="B748" s="89"/>
      <c r="C748"/>
      <c r="D748"/>
      <c r="E748" s="69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  <c r="V748"/>
      <c r="W748"/>
      <c r="X748"/>
      <c r="Y748"/>
      <c r="Z748"/>
      <c r="AA748"/>
    </row>
    <row r="749" spans="2:27" s="25" customFormat="1" ht="15.75" customHeight="1" x14ac:dyDescent="0.2">
      <c r="B749" s="89"/>
      <c r="C749"/>
      <c r="D749"/>
      <c r="E749" s="69"/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  <c r="T749"/>
      <c r="U749"/>
      <c r="V749"/>
      <c r="W749"/>
      <c r="X749"/>
      <c r="Y749"/>
      <c r="Z749"/>
      <c r="AA749"/>
    </row>
    <row r="750" spans="2:27" s="25" customFormat="1" ht="15.75" customHeight="1" x14ac:dyDescent="0.2">
      <c r="B750" s="89"/>
      <c r="C750"/>
      <c r="D750"/>
      <c r="E750" s="69"/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  <c r="V750"/>
      <c r="W750"/>
      <c r="X750"/>
      <c r="Y750"/>
      <c r="Z750"/>
      <c r="AA750"/>
    </row>
    <row r="751" spans="2:27" s="25" customFormat="1" ht="15.75" customHeight="1" x14ac:dyDescent="0.2">
      <c r="B751" s="89"/>
      <c r="C751"/>
      <c r="D751"/>
      <c r="E751" s="69"/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  <c r="V751"/>
      <c r="W751"/>
      <c r="X751"/>
      <c r="Y751"/>
      <c r="Z751"/>
      <c r="AA751"/>
    </row>
    <row r="752" spans="2:27" s="25" customFormat="1" ht="15.75" customHeight="1" x14ac:dyDescent="0.2">
      <c r="B752" s="89"/>
      <c r="C752"/>
      <c r="D752"/>
      <c r="E752" s="69"/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  <c r="V752"/>
      <c r="W752"/>
      <c r="X752"/>
      <c r="Y752"/>
      <c r="Z752"/>
      <c r="AA752"/>
    </row>
    <row r="753" spans="2:27" s="25" customFormat="1" ht="15.75" customHeight="1" x14ac:dyDescent="0.2">
      <c r="B753" s="89"/>
      <c r="C753"/>
      <c r="D753"/>
      <c r="E753" s="69"/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  <c r="T753"/>
      <c r="U753"/>
      <c r="V753"/>
      <c r="W753"/>
      <c r="X753"/>
      <c r="Y753"/>
      <c r="Z753"/>
      <c r="AA753"/>
    </row>
    <row r="754" spans="2:27" s="25" customFormat="1" ht="15.75" customHeight="1" x14ac:dyDescent="0.2">
      <c r="B754" s="89"/>
      <c r="C754"/>
      <c r="D754"/>
      <c r="E754" s="69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  <c r="T754"/>
      <c r="U754"/>
      <c r="V754"/>
      <c r="W754"/>
      <c r="X754"/>
      <c r="Y754"/>
      <c r="Z754"/>
      <c r="AA754"/>
    </row>
    <row r="755" spans="2:27" s="25" customFormat="1" ht="15.75" customHeight="1" x14ac:dyDescent="0.2">
      <c r="B755" s="89"/>
      <c r="C755"/>
      <c r="D755"/>
      <c r="E755" s="69"/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  <c r="V755"/>
      <c r="W755"/>
      <c r="X755"/>
      <c r="Y755"/>
      <c r="Z755"/>
      <c r="AA755"/>
    </row>
    <row r="756" spans="2:27" s="25" customFormat="1" ht="15.75" customHeight="1" x14ac:dyDescent="0.2">
      <c r="B756" s="89"/>
      <c r="C756"/>
      <c r="D756"/>
      <c r="E756" s="69"/>
      <c r="F756"/>
      <c r="G756"/>
      <c r="H756"/>
      <c r="I756"/>
      <c r="J756"/>
      <c r="K756"/>
      <c r="L756"/>
      <c r="M756"/>
      <c r="N756"/>
      <c r="O756"/>
      <c r="P756"/>
      <c r="Q756"/>
      <c r="R756"/>
      <c r="S756"/>
      <c r="T756"/>
      <c r="U756"/>
      <c r="V756"/>
      <c r="W756"/>
      <c r="X756"/>
      <c r="Y756"/>
      <c r="Z756"/>
      <c r="AA756"/>
    </row>
    <row r="757" spans="2:27" s="25" customFormat="1" ht="15.75" customHeight="1" x14ac:dyDescent="0.2">
      <c r="B757" s="89"/>
      <c r="C757"/>
      <c r="D757"/>
      <c r="E757" s="69"/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  <c r="T757"/>
      <c r="U757"/>
      <c r="V757"/>
      <c r="W757"/>
      <c r="X757"/>
      <c r="Y757"/>
      <c r="Z757"/>
      <c r="AA757"/>
    </row>
    <row r="758" spans="2:27" s="25" customFormat="1" ht="15.75" customHeight="1" x14ac:dyDescent="0.2">
      <c r="B758" s="89"/>
      <c r="C758"/>
      <c r="D758"/>
      <c r="E758" s="69"/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  <c r="T758"/>
      <c r="U758"/>
      <c r="V758"/>
      <c r="W758"/>
      <c r="X758"/>
      <c r="Y758"/>
      <c r="Z758"/>
      <c r="AA758"/>
    </row>
    <row r="759" spans="2:27" s="25" customFormat="1" ht="15.75" customHeight="1" x14ac:dyDescent="0.2">
      <c r="B759" s="89"/>
      <c r="C759"/>
      <c r="D759"/>
      <c r="E759" s="69"/>
      <c r="F759"/>
      <c r="G759"/>
      <c r="H759"/>
      <c r="I759"/>
      <c r="J759"/>
      <c r="K759"/>
      <c r="L759"/>
      <c r="M759"/>
      <c r="N759"/>
      <c r="O759"/>
      <c r="P759"/>
      <c r="Q759"/>
      <c r="R759"/>
      <c r="S759"/>
      <c r="T759"/>
      <c r="U759"/>
      <c r="V759"/>
      <c r="W759"/>
      <c r="X759"/>
      <c r="Y759"/>
      <c r="Z759"/>
      <c r="AA759"/>
    </row>
    <row r="760" spans="2:27" s="25" customFormat="1" ht="15.75" customHeight="1" x14ac:dyDescent="0.2">
      <c r="B760" s="89"/>
      <c r="C760"/>
      <c r="D760"/>
      <c r="E760" s="69"/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  <c r="T760"/>
      <c r="U760"/>
      <c r="V760"/>
      <c r="W760"/>
      <c r="X760"/>
      <c r="Y760"/>
      <c r="Z760"/>
      <c r="AA760"/>
    </row>
    <row r="761" spans="2:27" s="25" customFormat="1" ht="15.75" customHeight="1" x14ac:dyDescent="0.2">
      <c r="B761" s="89"/>
      <c r="C761"/>
      <c r="D761"/>
      <c r="E761" s="69"/>
      <c r="F761"/>
      <c r="G761"/>
      <c r="H761"/>
      <c r="I761"/>
      <c r="J761"/>
      <c r="K761"/>
      <c r="L761"/>
      <c r="M761"/>
      <c r="N761"/>
      <c r="O761"/>
      <c r="P761"/>
      <c r="Q761"/>
      <c r="R761"/>
      <c r="S761"/>
      <c r="T761"/>
      <c r="U761"/>
      <c r="V761"/>
      <c r="W761"/>
      <c r="X761"/>
      <c r="Y761"/>
      <c r="Z761"/>
      <c r="AA761"/>
    </row>
    <row r="762" spans="2:27" s="25" customFormat="1" ht="15.75" customHeight="1" x14ac:dyDescent="0.2">
      <c r="B762" s="89"/>
      <c r="C762"/>
      <c r="D762"/>
      <c r="E762" s="69"/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  <c r="U762"/>
      <c r="V762"/>
      <c r="W762"/>
      <c r="X762"/>
      <c r="Y762"/>
      <c r="Z762"/>
      <c r="AA762"/>
    </row>
    <row r="763" spans="2:27" s="25" customFormat="1" ht="15.75" customHeight="1" x14ac:dyDescent="0.2">
      <c r="B763" s="89"/>
      <c r="C763"/>
      <c r="D763"/>
      <c r="E763" s="69"/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  <c r="V763"/>
      <c r="W763"/>
      <c r="X763"/>
      <c r="Y763"/>
      <c r="Z763"/>
      <c r="AA763"/>
    </row>
    <row r="764" spans="2:27" s="25" customFormat="1" ht="15.75" customHeight="1" x14ac:dyDescent="0.2">
      <c r="B764" s="89"/>
      <c r="C764"/>
      <c r="D764"/>
      <c r="E764" s="69"/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  <c r="V764"/>
      <c r="W764"/>
      <c r="X764"/>
      <c r="Y764"/>
      <c r="Z764"/>
      <c r="AA764"/>
    </row>
    <row r="765" spans="2:27" s="25" customFormat="1" ht="15.75" customHeight="1" x14ac:dyDescent="0.2">
      <c r="B765" s="89"/>
      <c r="C765"/>
      <c r="D765"/>
      <c r="E765" s="69"/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  <c r="U765"/>
      <c r="V765"/>
      <c r="W765"/>
      <c r="X765"/>
      <c r="Y765"/>
      <c r="Z765"/>
      <c r="AA765"/>
    </row>
    <row r="766" spans="2:27" s="25" customFormat="1" ht="15.75" customHeight="1" x14ac:dyDescent="0.2">
      <c r="B766" s="89"/>
      <c r="C766"/>
      <c r="D766"/>
      <c r="E766" s="69"/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  <c r="T766"/>
      <c r="U766"/>
      <c r="V766"/>
      <c r="W766"/>
      <c r="X766"/>
      <c r="Y766"/>
      <c r="Z766"/>
      <c r="AA766"/>
    </row>
    <row r="767" spans="2:27" s="25" customFormat="1" ht="15.75" customHeight="1" x14ac:dyDescent="0.2">
      <c r="B767" s="89"/>
      <c r="C767"/>
      <c r="D767"/>
      <c r="E767" s="69"/>
      <c r="F767"/>
      <c r="G767"/>
      <c r="H767"/>
      <c r="I767"/>
      <c r="J767"/>
      <c r="K767"/>
      <c r="L767"/>
      <c r="M767"/>
      <c r="N767"/>
      <c r="O767"/>
      <c r="P767"/>
      <c r="Q767"/>
      <c r="R767"/>
      <c r="S767"/>
      <c r="T767"/>
      <c r="U767"/>
      <c r="V767"/>
      <c r="W767"/>
      <c r="X767"/>
      <c r="Y767"/>
      <c r="Z767"/>
      <c r="AA767"/>
    </row>
    <row r="768" spans="2:27" s="25" customFormat="1" ht="15.75" customHeight="1" x14ac:dyDescent="0.2">
      <c r="B768" s="89"/>
      <c r="C768"/>
      <c r="D768"/>
      <c r="E768" s="69"/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  <c r="U768"/>
      <c r="V768"/>
      <c r="W768"/>
      <c r="X768"/>
      <c r="Y768"/>
      <c r="Z768"/>
      <c r="AA768"/>
    </row>
    <row r="769" spans="2:27" s="25" customFormat="1" ht="15.75" customHeight="1" x14ac:dyDescent="0.2">
      <c r="B769" s="89"/>
      <c r="C769"/>
      <c r="D769"/>
      <c r="E769" s="69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  <c r="V769"/>
      <c r="W769"/>
      <c r="X769"/>
      <c r="Y769"/>
      <c r="Z769"/>
      <c r="AA769"/>
    </row>
    <row r="770" spans="2:27" s="25" customFormat="1" ht="15.75" customHeight="1" x14ac:dyDescent="0.2">
      <c r="B770" s="89"/>
      <c r="C770"/>
      <c r="D770"/>
      <c r="E770" s="69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  <c r="V770"/>
      <c r="W770"/>
      <c r="X770"/>
      <c r="Y770"/>
      <c r="Z770"/>
      <c r="AA770"/>
    </row>
    <row r="771" spans="2:27" s="25" customFormat="1" ht="15.75" customHeight="1" x14ac:dyDescent="0.2">
      <c r="B771" s="89"/>
      <c r="C771"/>
      <c r="D771"/>
      <c r="E771" s="69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  <c r="V771"/>
      <c r="W771"/>
      <c r="X771"/>
      <c r="Y771"/>
      <c r="Z771"/>
      <c r="AA771"/>
    </row>
    <row r="772" spans="2:27" s="25" customFormat="1" ht="15.75" customHeight="1" x14ac:dyDescent="0.2">
      <c r="B772" s="89"/>
      <c r="C772"/>
      <c r="D772"/>
      <c r="E772" s="69"/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  <c r="V772"/>
      <c r="W772"/>
      <c r="X772"/>
      <c r="Y772"/>
      <c r="Z772"/>
      <c r="AA772"/>
    </row>
    <row r="773" spans="2:27" s="25" customFormat="1" ht="15.75" customHeight="1" x14ac:dyDescent="0.2">
      <c r="B773" s="89"/>
      <c r="C773"/>
      <c r="D773"/>
      <c r="E773" s="69"/>
      <c r="F773"/>
      <c r="G773"/>
      <c r="H773"/>
      <c r="I773"/>
      <c r="J773"/>
      <c r="K773"/>
      <c r="L773"/>
      <c r="M773"/>
      <c r="N773"/>
      <c r="O773"/>
      <c r="P773"/>
      <c r="Q773"/>
      <c r="R773"/>
      <c r="S773"/>
      <c r="T773"/>
      <c r="U773"/>
      <c r="V773"/>
      <c r="W773"/>
      <c r="X773"/>
      <c r="Y773"/>
      <c r="Z773"/>
      <c r="AA773"/>
    </row>
    <row r="774" spans="2:27" s="25" customFormat="1" ht="15.75" customHeight="1" x14ac:dyDescent="0.2">
      <c r="B774" s="89"/>
      <c r="C774"/>
      <c r="D774"/>
      <c r="E774" s="69"/>
      <c r="F774"/>
      <c r="G774"/>
      <c r="H774"/>
      <c r="I774"/>
      <c r="J774"/>
      <c r="K774"/>
      <c r="L774"/>
      <c r="M774"/>
      <c r="N774"/>
      <c r="O774"/>
      <c r="P774"/>
      <c r="Q774"/>
      <c r="R774"/>
      <c r="S774"/>
      <c r="T774"/>
      <c r="U774"/>
      <c r="V774"/>
      <c r="W774"/>
      <c r="X774"/>
      <c r="Y774"/>
      <c r="Z774"/>
      <c r="AA774"/>
    </row>
    <row r="775" spans="2:27" s="25" customFormat="1" ht="15.75" customHeight="1" x14ac:dyDescent="0.2">
      <c r="B775" s="89"/>
      <c r="C775"/>
      <c r="D775"/>
      <c r="E775" s="69"/>
      <c r="F775"/>
      <c r="G775"/>
      <c r="H775"/>
      <c r="I775"/>
      <c r="J775"/>
      <c r="K775"/>
      <c r="L775"/>
      <c r="M775"/>
      <c r="N775"/>
      <c r="O775"/>
      <c r="P775"/>
      <c r="Q775"/>
      <c r="R775"/>
      <c r="S775"/>
      <c r="T775"/>
      <c r="U775"/>
      <c r="V775"/>
      <c r="W775"/>
      <c r="X775"/>
      <c r="Y775"/>
      <c r="Z775"/>
      <c r="AA775"/>
    </row>
    <row r="776" spans="2:27" s="25" customFormat="1" ht="15.75" customHeight="1" x14ac:dyDescent="0.2">
      <c r="B776" s="89"/>
      <c r="C776"/>
      <c r="D776"/>
      <c r="E776" s="69"/>
      <c r="F776"/>
      <c r="G776"/>
      <c r="H776"/>
      <c r="I776"/>
      <c r="J776"/>
      <c r="K776"/>
      <c r="L776"/>
      <c r="M776"/>
      <c r="N776"/>
      <c r="O776"/>
      <c r="P776"/>
      <c r="Q776"/>
      <c r="R776"/>
      <c r="S776"/>
      <c r="T776"/>
      <c r="U776"/>
      <c r="V776"/>
      <c r="W776"/>
      <c r="X776"/>
      <c r="Y776"/>
      <c r="Z776"/>
      <c r="AA776"/>
    </row>
    <row r="777" spans="2:27" s="25" customFormat="1" ht="15.75" customHeight="1" x14ac:dyDescent="0.2">
      <c r="B777" s="89"/>
      <c r="C777"/>
      <c r="D777"/>
      <c r="E777" s="69"/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  <c r="V777"/>
      <c r="W777"/>
      <c r="X777"/>
      <c r="Y777"/>
      <c r="Z777"/>
      <c r="AA777"/>
    </row>
    <row r="778" spans="2:27" s="25" customFormat="1" ht="15.75" customHeight="1" x14ac:dyDescent="0.2">
      <c r="B778" s="89"/>
      <c r="C778"/>
      <c r="D778"/>
      <c r="E778" s="69"/>
      <c r="F778"/>
      <c r="G778"/>
      <c r="H778"/>
      <c r="I778"/>
      <c r="J778"/>
      <c r="K778"/>
      <c r="L778"/>
      <c r="M778"/>
      <c r="N778"/>
      <c r="O778"/>
      <c r="P778"/>
      <c r="Q778"/>
      <c r="R778"/>
      <c r="S778"/>
      <c r="T778"/>
      <c r="U778"/>
      <c r="V778"/>
      <c r="W778"/>
      <c r="X778"/>
      <c r="Y778"/>
      <c r="Z778"/>
      <c r="AA778"/>
    </row>
    <row r="779" spans="2:27" s="25" customFormat="1" ht="15.75" customHeight="1" x14ac:dyDescent="0.2">
      <c r="B779" s="89"/>
      <c r="C779"/>
      <c r="D779"/>
      <c r="E779" s="69"/>
      <c r="F779"/>
      <c r="G779"/>
      <c r="H779"/>
      <c r="I779"/>
      <c r="J779"/>
      <c r="K779"/>
      <c r="L779"/>
      <c r="M779"/>
      <c r="N779"/>
      <c r="O779"/>
      <c r="P779"/>
      <c r="Q779"/>
      <c r="R779"/>
      <c r="S779"/>
      <c r="T779"/>
      <c r="U779"/>
      <c r="V779"/>
      <c r="W779"/>
      <c r="X779"/>
      <c r="Y779"/>
      <c r="Z779"/>
      <c r="AA779"/>
    </row>
    <row r="780" spans="2:27" s="25" customFormat="1" ht="15.75" customHeight="1" x14ac:dyDescent="0.2">
      <c r="B780" s="89"/>
      <c r="C780"/>
      <c r="D780"/>
      <c r="E780" s="69"/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  <c r="T780"/>
      <c r="U780"/>
      <c r="V780"/>
      <c r="W780"/>
      <c r="X780"/>
      <c r="Y780"/>
      <c r="Z780"/>
      <c r="AA780"/>
    </row>
    <row r="781" spans="2:27" s="25" customFormat="1" ht="15.75" customHeight="1" x14ac:dyDescent="0.2">
      <c r="B781" s="89"/>
      <c r="C781"/>
      <c r="D781"/>
      <c r="E781" s="69"/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  <c r="V781"/>
      <c r="W781"/>
      <c r="X781"/>
      <c r="Y781"/>
      <c r="Z781"/>
      <c r="AA781"/>
    </row>
    <row r="782" spans="2:27" s="25" customFormat="1" ht="15.75" customHeight="1" x14ac:dyDescent="0.2">
      <c r="B782" s="89"/>
      <c r="C782"/>
      <c r="D782"/>
      <c r="E782" s="69"/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  <c r="V782"/>
      <c r="W782"/>
      <c r="X782"/>
      <c r="Y782"/>
      <c r="Z782"/>
      <c r="AA782"/>
    </row>
    <row r="783" spans="2:27" s="25" customFormat="1" ht="15.75" customHeight="1" x14ac:dyDescent="0.2">
      <c r="B783" s="89"/>
      <c r="C783"/>
      <c r="D783"/>
      <c r="E783" s="69"/>
      <c r="F783"/>
      <c r="G783"/>
      <c r="H783"/>
      <c r="I783"/>
      <c r="J783"/>
      <c r="K783"/>
      <c r="L783"/>
      <c r="M783"/>
      <c r="N783"/>
      <c r="O783"/>
      <c r="P783"/>
      <c r="Q783"/>
      <c r="R783"/>
      <c r="S783"/>
      <c r="T783"/>
      <c r="U783"/>
      <c r="V783"/>
      <c r="W783"/>
      <c r="X783"/>
      <c r="Y783"/>
      <c r="Z783"/>
      <c r="AA783"/>
    </row>
    <row r="784" spans="2:27" s="25" customFormat="1" ht="15.75" customHeight="1" x14ac:dyDescent="0.2">
      <c r="B784" s="89"/>
      <c r="C784"/>
      <c r="D784"/>
      <c r="E784" s="69"/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  <c r="T784"/>
      <c r="U784"/>
      <c r="V784"/>
      <c r="W784"/>
      <c r="X784"/>
      <c r="Y784"/>
      <c r="Z784"/>
      <c r="AA784"/>
    </row>
    <row r="785" spans="2:27" s="25" customFormat="1" ht="15.75" customHeight="1" x14ac:dyDescent="0.2">
      <c r="B785" s="89"/>
      <c r="C785"/>
      <c r="D785"/>
      <c r="E785" s="69"/>
      <c r="F785"/>
      <c r="G785"/>
      <c r="H785"/>
      <c r="I785"/>
      <c r="J785"/>
      <c r="K785"/>
      <c r="L785"/>
      <c r="M785"/>
      <c r="N785"/>
      <c r="O785"/>
      <c r="P785"/>
      <c r="Q785"/>
      <c r="R785"/>
      <c r="S785"/>
      <c r="T785"/>
      <c r="U785"/>
      <c r="V785"/>
      <c r="W785"/>
      <c r="X785"/>
      <c r="Y785"/>
      <c r="Z785"/>
      <c r="AA785"/>
    </row>
    <row r="786" spans="2:27" s="25" customFormat="1" ht="15.75" customHeight="1" x14ac:dyDescent="0.2">
      <c r="B786" s="89"/>
      <c r="C786"/>
      <c r="D786"/>
      <c r="E786" s="69"/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  <c r="U786"/>
      <c r="V786"/>
      <c r="W786"/>
      <c r="X786"/>
      <c r="Y786"/>
      <c r="Z786"/>
      <c r="AA786"/>
    </row>
    <row r="787" spans="2:27" s="25" customFormat="1" ht="15.75" customHeight="1" x14ac:dyDescent="0.2">
      <c r="B787" s="89"/>
      <c r="C787"/>
      <c r="D787"/>
      <c r="E787" s="69"/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  <c r="V787"/>
      <c r="W787"/>
      <c r="X787"/>
      <c r="Y787"/>
      <c r="Z787"/>
      <c r="AA787"/>
    </row>
    <row r="788" spans="2:27" s="25" customFormat="1" ht="15.75" customHeight="1" x14ac:dyDescent="0.2">
      <c r="B788" s="89"/>
      <c r="C788"/>
      <c r="D788"/>
      <c r="E788" s="69"/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  <c r="V788"/>
      <c r="W788"/>
      <c r="X788"/>
      <c r="Y788"/>
      <c r="Z788"/>
      <c r="AA788"/>
    </row>
    <row r="789" spans="2:27" s="25" customFormat="1" ht="15.75" customHeight="1" x14ac:dyDescent="0.2">
      <c r="B789" s="89"/>
      <c r="C789"/>
      <c r="D789"/>
      <c r="E789" s="69"/>
      <c r="F789"/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  <c r="V789"/>
      <c r="W789"/>
      <c r="X789"/>
      <c r="Y789"/>
      <c r="Z789"/>
      <c r="AA789"/>
    </row>
    <row r="790" spans="2:27" s="25" customFormat="1" ht="15.75" customHeight="1" x14ac:dyDescent="0.2">
      <c r="B790" s="89"/>
      <c r="C790"/>
      <c r="D790"/>
      <c r="E790" s="69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  <c r="V790"/>
      <c r="W790"/>
      <c r="X790"/>
      <c r="Y790"/>
      <c r="Z790"/>
      <c r="AA790"/>
    </row>
    <row r="791" spans="2:27" s="25" customFormat="1" ht="15.75" customHeight="1" x14ac:dyDescent="0.2">
      <c r="B791" s="89"/>
      <c r="C791"/>
      <c r="D791"/>
      <c r="E791" s="69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  <c r="V791"/>
      <c r="W791"/>
      <c r="X791"/>
      <c r="Y791"/>
      <c r="Z791"/>
      <c r="AA791"/>
    </row>
    <row r="792" spans="2:27" s="25" customFormat="1" ht="15.75" customHeight="1" x14ac:dyDescent="0.2">
      <c r="B792" s="89"/>
      <c r="C792"/>
      <c r="D792"/>
      <c r="E792" s="69"/>
      <c r="F792"/>
      <c r="G792"/>
      <c r="H792"/>
      <c r="I792"/>
      <c r="J792"/>
      <c r="K792"/>
      <c r="L792"/>
      <c r="M792"/>
      <c r="N792"/>
      <c r="O792"/>
      <c r="P792"/>
      <c r="Q792"/>
      <c r="R792"/>
      <c r="S792"/>
      <c r="T792"/>
      <c r="U792"/>
      <c r="V792"/>
      <c r="W792"/>
      <c r="X792"/>
      <c r="Y792"/>
      <c r="Z792"/>
      <c r="AA792"/>
    </row>
    <row r="793" spans="2:27" s="25" customFormat="1" ht="15.75" customHeight="1" x14ac:dyDescent="0.2">
      <c r="B793" s="89"/>
      <c r="C793"/>
      <c r="D793"/>
      <c r="E793" s="69"/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  <c r="V793"/>
      <c r="W793"/>
      <c r="X793"/>
      <c r="Y793"/>
      <c r="Z793"/>
      <c r="AA793"/>
    </row>
    <row r="794" spans="2:27" s="25" customFormat="1" ht="15.75" customHeight="1" x14ac:dyDescent="0.2">
      <c r="B794" s="89"/>
      <c r="C794"/>
      <c r="D794"/>
      <c r="E794" s="69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  <c r="V794"/>
      <c r="W794"/>
      <c r="X794"/>
      <c r="Y794"/>
      <c r="Z794"/>
      <c r="AA794"/>
    </row>
    <row r="795" spans="2:27" s="25" customFormat="1" ht="15.75" customHeight="1" x14ac:dyDescent="0.2">
      <c r="B795" s="89"/>
      <c r="C795"/>
      <c r="D795"/>
      <c r="E795" s="69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  <c r="V795"/>
      <c r="W795"/>
      <c r="X795"/>
      <c r="Y795"/>
      <c r="Z795"/>
      <c r="AA795"/>
    </row>
    <row r="796" spans="2:27" s="25" customFormat="1" ht="15.75" customHeight="1" x14ac:dyDescent="0.2">
      <c r="B796" s="89"/>
      <c r="C796"/>
      <c r="D796"/>
      <c r="E796" s="69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  <c r="V796"/>
      <c r="W796"/>
      <c r="X796"/>
      <c r="Y796"/>
      <c r="Z796"/>
      <c r="AA796"/>
    </row>
    <row r="797" spans="2:27" s="25" customFormat="1" ht="15.75" customHeight="1" x14ac:dyDescent="0.2">
      <c r="B797" s="89"/>
      <c r="C797"/>
      <c r="D797"/>
      <c r="E797" s="69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  <c r="V797"/>
      <c r="W797"/>
      <c r="X797"/>
      <c r="Y797"/>
      <c r="Z797"/>
      <c r="AA797"/>
    </row>
    <row r="798" spans="2:27" s="25" customFormat="1" ht="15.75" customHeight="1" x14ac:dyDescent="0.2">
      <c r="B798" s="89"/>
      <c r="C798"/>
      <c r="D798"/>
      <c r="E798" s="69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  <c r="V798"/>
      <c r="W798"/>
      <c r="X798"/>
      <c r="Y798"/>
      <c r="Z798"/>
      <c r="AA798"/>
    </row>
    <row r="799" spans="2:27" s="25" customFormat="1" ht="15.75" customHeight="1" x14ac:dyDescent="0.2">
      <c r="B799" s="89"/>
      <c r="C799"/>
      <c r="D799"/>
      <c r="E799" s="6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  <c r="V799"/>
      <c r="W799"/>
      <c r="X799"/>
      <c r="Y799"/>
      <c r="Z799"/>
      <c r="AA799"/>
    </row>
    <row r="800" spans="2:27" s="25" customFormat="1" ht="15.75" customHeight="1" x14ac:dyDescent="0.2">
      <c r="B800" s="89"/>
      <c r="C800"/>
      <c r="D800"/>
      <c r="E800" s="69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  <c r="V800"/>
      <c r="W800"/>
      <c r="X800"/>
      <c r="Y800"/>
      <c r="Z800"/>
      <c r="AA800"/>
    </row>
    <row r="801" spans="2:27" s="25" customFormat="1" ht="15.75" customHeight="1" x14ac:dyDescent="0.2">
      <c r="B801" s="89"/>
      <c r="C801"/>
      <c r="D801"/>
      <c r="E801" s="69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  <c r="V801"/>
      <c r="W801"/>
      <c r="X801"/>
      <c r="Y801"/>
      <c r="Z801"/>
      <c r="AA801"/>
    </row>
    <row r="802" spans="2:27" s="25" customFormat="1" ht="15.75" customHeight="1" x14ac:dyDescent="0.2">
      <c r="B802" s="89"/>
      <c r="C802"/>
      <c r="D802"/>
      <c r="E802" s="69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  <c r="V802"/>
      <c r="W802"/>
      <c r="X802"/>
      <c r="Y802"/>
      <c r="Z802"/>
      <c r="AA802"/>
    </row>
    <row r="803" spans="2:27" s="25" customFormat="1" ht="15.75" customHeight="1" x14ac:dyDescent="0.2">
      <c r="B803" s="89"/>
      <c r="C803"/>
      <c r="D803"/>
      <c r="E803" s="69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  <c r="V803"/>
      <c r="W803"/>
      <c r="X803"/>
      <c r="Y803"/>
      <c r="Z803"/>
      <c r="AA803"/>
    </row>
    <row r="804" spans="2:27" s="25" customFormat="1" ht="15.75" customHeight="1" x14ac:dyDescent="0.2">
      <c r="B804" s="89"/>
      <c r="C804"/>
      <c r="D804"/>
      <c r="E804" s="69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  <c r="V804"/>
      <c r="W804"/>
      <c r="X804"/>
      <c r="Y804"/>
      <c r="Z804"/>
      <c r="AA804"/>
    </row>
    <row r="805" spans="2:27" s="25" customFormat="1" ht="15.75" customHeight="1" x14ac:dyDescent="0.2">
      <c r="B805" s="89"/>
      <c r="C805"/>
      <c r="D805"/>
      <c r="E805" s="69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  <c r="V805"/>
      <c r="W805"/>
      <c r="X805"/>
      <c r="Y805"/>
      <c r="Z805"/>
      <c r="AA805"/>
    </row>
    <row r="806" spans="2:27" s="25" customFormat="1" ht="15.75" customHeight="1" x14ac:dyDescent="0.2">
      <c r="B806" s="89"/>
      <c r="C806"/>
      <c r="D806"/>
      <c r="E806" s="69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  <c r="V806"/>
      <c r="W806"/>
      <c r="X806"/>
      <c r="Y806"/>
      <c r="Z806"/>
      <c r="AA806"/>
    </row>
    <row r="807" spans="2:27" s="25" customFormat="1" ht="15.75" customHeight="1" x14ac:dyDescent="0.2">
      <c r="B807" s="89"/>
      <c r="C807"/>
      <c r="D807"/>
      <c r="E807" s="69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  <c r="V807"/>
      <c r="W807"/>
      <c r="X807"/>
      <c r="Y807"/>
      <c r="Z807"/>
      <c r="AA807"/>
    </row>
    <row r="808" spans="2:27" s="25" customFormat="1" ht="15.75" customHeight="1" x14ac:dyDescent="0.2">
      <c r="B808" s="89"/>
      <c r="C808"/>
      <c r="D808"/>
      <c r="E808" s="69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  <c r="V808"/>
      <c r="W808"/>
      <c r="X808"/>
      <c r="Y808"/>
      <c r="Z808"/>
      <c r="AA808"/>
    </row>
    <row r="809" spans="2:27" s="25" customFormat="1" ht="15.75" customHeight="1" x14ac:dyDescent="0.2">
      <c r="B809" s="89"/>
      <c r="C809"/>
      <c r="D809"/>
      <c r="E809" s="6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  <c r="V809"/>
      <c r="W809"/>
      <c r="X809"/>
      <c r="Y809"/>
      <c r="Z809"/>
      <c r="AA809"/>
    </row>
    <row r="810" spans="2:27" s="25" customFormat="1" ht="15.75" customHeight="1" x14ac:dyDescent="0.2">
      <c r="B810" s="89"/>
      <c r="C810"/>
      <c r="D810"/>
      <c r="E810" s="69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  <c r="V810"/>
      <c r="W810"/>
      <c r="X810"/>
      <c r="Y810"/>
      <c r="Z810"/>
      <c r="AA810"/>
    </row>
    <row r="811" spans="2:27" s="25" customFormat="1" ht="15.75" customHeight="1" x14ac:dyDescent="0.2">
      <c r="B811" s="89"/>
      <c r="C811"/>
      <c r="D811"/>
      <c r="E811" s="69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  <c r="V811"/>
      <c r="W811"/>
      <c r="X811"/>
      <c r="Y811"/>
      <c r="Z811"/>
      <c r="AA811"/>
    </row>
    <row r="812" spans="2:27" s="25" customFormat="1" ht="15.75" customHeight="1" x14ac:dyDescent="0.2">
      <c r="B812" s="89"/>
      <c r="C812"/>
      <c r="D812"/>
      <c r="E812" s="69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  <c r="V812"/>
      <c r="W812"/>
      <c r="X812"/>
      <c r="Y812"/>
      <c r="Z812"/>
      <c r="AA812"/>
    </row>
    <row r="813" spans="2:27" s="25" customFormat="1" ht="15.75" customHeight="1" x14ac:dyDescent="0.2">
      <c r="B813" s="89"/>
      <c r="C813"/>
      <c r="D813"/>
      <c r="E813" s="69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  <c r="V813"/>
      <c r="W813"/>
      <c r="X813"/>
      <c r="Y813"/>
      <c r="Z813"/>
      <c r="AA813"/>
    </row>
    <row r="814" spans="2:27" s="25" customFormat="1" ht="15.75" customHeight="1" x14ac:dyDescent="0.2">
      <c r="B814" s="89"/>
      <c r="C814"/>
      <c r="D814"/>
      <c r="E814" s="69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  <c r="V814"/>
      <c r="W814"/>
      <c r="X814"/>
      <c r="Y814"/>
      <c r="Z814"/>
      <c r="AA814"/>
    </row>
    <row r="815" spans="2:27" s="25" customFormat="1" ht="15.75" customHeight="1" x14ac:dyDescent="0.2">
      <c r="B815" s="89"/>
      <c r="C815"/>
      <c r="D815"/>
      <c r="E815" s="69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  <c r="V815"/>
      <c r="W815"/>
      <c r="X815"/>
      <c r="Y815"/>
      <c r="Z815"/>
      <c r="AA815"/>
    </row>
    <row r="816" spans="2:27" s="25" customFormat="1" ht="15.75" customHeight="1" x14ac:dyDescent="0.2">
      <c r="B816" s="89"/>
      <c r="C816"/>
      <c r="D816"/>
      <c r="E816" s="69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  <c r="V816"/>
      <c r="W816"/>
      <c r="X816"/>
      <c r="Y816"/>
      <c r="Z816"/>
      <c r="AA816"/>
    </row>
    <row r="817" spans="2:27" s="25" customFormat="1" ht="15.75" customHeight="1" x14ac:dyDescent="0.2">
      <c r="B817" s="89"/>
      <c r="C817"/>
      <c r="D817"/>
      <c r="E817" s="69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  <c r="V817"/>
      <c r="W817"/>
      <c r="X817"/>
      <c r="Y817"/>
      <c r="Z817"/>
      <c r="AA817"/>
    </row>
    <row r="818" spans="2:27" s="25" customFormat="1" ht="15.75" customHeight="1" x14ac:dyDescent="0.2">
      <c r="B818" s="89"/>
      <c r="C818"/>
      <c r="D818"/>
      <c r="E818" s="69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  <c r="U818"/>
      <c r="V818"/>
      <c r="W818"/>
      <c r="X818"/>
      <c r="Y818"/>
      <c r="Z818"/>
      <c r="AA818"/>
    </row>
    <row r="819" spans="2:27" s="25" customFormat="1" ht="15.75" customHeight="1" x14ac:dyDescent="0.2">
      <c r="B819" s="89"/>
      <c r="C819"/>
      <c r="D819"/>
      <c r="E819" s="6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/>
      <c r="U819"/>
      <c r="V819"/>
      <c r="W819"/>
      <c r="X819"/>
      <c r="Y819"/>
      <c r="Z819"/>
      <c r="AA819"/>
    </row>
    <row r="820" spans="2:27" s="25" customFormat="1" ht="15.75" customHeight="1" x14ac:dyDescent="0.2">
      <c r="B820" s="89"/>
      <c r="C820"/>
      <c r="D820"/>
      <c r="E820" s="69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  <c r="U820"/>
      <c r="V820"/>
      <c r="W820"/>
      <c r="X820"/>
      <c r="Y820"/>
      <c r="Z820"/>
      <c r="AA820"/>
    </row>
    <row r="821" spans="2:27" s="25" customFormat="1" ht="15.75" customHeight="1" x14ac:dyDescent="0.2">
      <c r="B821" s="89"/>
      <c r="C821"/>
      <c r="D821"/>
      <c r="E821" s="69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  <c r="V821"/>
      <c r="W821"/>
      <c r="X821"/>
      <c r="Y821"/>
      <c r="Z821"/>
      <c r="AA821"/>
    </row>
    <row r="822" spans="2:27" s="25" customFormat="1" ht="15.75" customHeight="1" x14ac:dyDescent="0.2">
      <c r="B822" s="89"/>
      <c r="C822"/>
      <c r="D822"/>
      <c r="E822" s="69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  <c r="V822"/>
      <c r="W822"/>
      <c r="X822"/>
      <c r="Y822"/>
      <c r="Z822"/>
      <c r="AA822"/>
    </row>
    <row r="823" spans="2:27" s="25" customFormat="1" ht="15.75" customHeight="1" x14ac:dyDescent="0.2">
      <c r="B823" s="89"/>
      <c r="C823"/>
      <c r="D823"/>
      <c r="E823" s="69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  <c r="V823"/>
      <c r="W823"/>
      <c r="X823"/>
      <c r="Y823"/>
      <c r="Z823"/>
      <c r="AA823"/>
    </row>
    <row r="824" spans="2:27" s="25" customFormat="1" ht="15.75" customHeight="1" x14ac:dyDescent="0.2">
      <c r="B824" s="89"/>
      <c r="C824"/>
      <c r="D824"/>
      <c r="E824" s="69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  <c r="U824"/>
      <c r="V824"/>
      <c r="W824"/>
      <c r="X824"/>
      <c r="Y824"/>
      <c r="Z824"/>
      <c r="AA824"/>
    </row>
    <row r="825" spans="2:27" s="25" customFormat="1" ht="15.75" customHeight="1" x14ac:dyDescent="0.2">
      <c r="B825" s="89"/>
      <c r="C825"/>
      <c r="D825"/>
      <c r="E825" s="69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  <c r="V825"/>
      <c r="W825"/>
      <c r="X825"/>
      <c r="Y825"/>
      <c r="Z825"/>
      <c r="AA825"/>
    </row>
    <row r="826" spans="2:27" s="25" customFormat="1" ht="15.75" customHeight="1" x14ac:dyDescent="0.2">
      <c r="B826" s="89"/>
      <c r="C826"/>
      <c r="D826"/>
      <c r="E826" s="69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  <c r="U826"/>
      <c r="V826"/>
      <c r="W826"/>
      <c r="X826"/>
      <c r="Y826"/>
      <c r="Z826"/>
      <c r="AA826"/>
    </row>
    <row r="827" spans="2:27" s="25" customFormat="1" ht="15.75" customHeight="1" x14ac:dyDescent="0.2">
      <c r="B827" s="89"/>
      <c r="C827"/>
      <c r="D827"/>
      <c r="E827" s="69"/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  <c r="U827"/>
      <c r="V827"/>
      <c r="W827"/>
      <c r="X827"/>
      <c r="Y827"/>
      <c r="Z827"/>
      <c r="AA827"/>
    </row>
    <row r="828" spans="2:27" s="25" customFormat="1" ht="15.75" customHeight="1" x14ac:dyDescent="0.2">
      <c r="B828" s="89"/>
      <c r="C828"/>
      <c r="D828"/>
      <c r="E828" s="69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  <c r="V828"/>
      <c r="W828"/>
      <c r="X828"/>
      <c r="Y828"/>
      <c r="Z828"/>
      <c r="AA828"/>
    </row>
    <row r="829" spans="2:27" s="25" customFormat="1" ht="15.75" customHeight="1" x14ac:dyDescent="0.2">
      <c r="B829" s="89"/>
      <c r="C829"/>
      <c r="D829"/>
      <c r="E829" s="6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  <c r="V829"/>
      <c r="W829"/>
      <c r="X829"/>
      <c r="Y829"/>
      <c r="Z829"/>
      <c r="AA829"/>
    </row>
    <row r="830" spans="2:27" s="25" customFormat="1" ht="15.75" customHeight="1" x14ac:dyDescent="0.2">
      <c r="B830" s="89"/>
      <c r="C830"/>
      <c r="D830"/>
      <c r="E830" s="69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  <c r="V830"/>
      <c r="W830"/>
      <c r="X830"/>
      <c r="Y830"/>
      <c r="Z830"/>
      <c r="AA830"/>
    </row>
    <row r="831" spans="2:27" s="25" customFormat="1" ht="15.75" customHeight="1" x14ac:dyDescent="0.2">
      <c r="B831" s="89"/>
      <c r="C831"/>
      <c r="D831"/>
      <c r="E831" s="69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  <c r="V831"/>
      <c r="W831"/>
      <c r="X831"/>
      <c r="Y831"/>
      <c r="Z831"/>
      <c r="AA831"/>
    </row>
    <row r="832" spans="2:27" s="25" customFormat="1" ht="15.75" customHeight="1" x14ac:dyDescent="0.2">
      <c r="B832" s="89"/>
      <c r="C832"/>
      <c r="D832"/>
      <c r="E832" s="69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  <c r="V832"/>
      <c r="W832"/>
      <c r="X832"/>
      <c r="Y832"/>
      <c r="Z832"/>
      <c r="AA832"/>
    </row>
    <row r="833" spans="2:27" s="25" customFormat="1" ht="15.75" customHeight="1" x14ac:dyDescent="0.2">
      <c r="B833" s="89"/>
      <c r="C833"/>
      <c r="D833"/>
      <c r="E833" s="69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  <c r="V833"/>
      <c r="W833"/>
      <c r="X833"/>
      <c r="Y833"/>
      <c r="Z833"/>
      <c r="AA833"/>
    </row>
    <row r="834" spans="2:27" s="25" customFormat="1" ht="15.75" customHeight="1" x14ac:dyDescent="0.2">
      <c r="B834" s="89"/>
      <c r="C834"/>
      <c r="D834"/>
      <c r="E834" s="69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  <c r="V834"/>
      <c r="W834"/>
      <c r="X834"/>
      <c r="Y834"/>
      <c r="Z834"/>
      <c r="AA834"/>
    </row>
    <row r="835" spans="2:27" s="25" customFormat="1" ht="15.75" customHeight="1" x14ac:dyDescent="0.2">
      <c r="B835" s="89"/>
      <c r="C835"/>
      <c r="D835"/>
      <c r="E835" s="69"/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  <c r="U835"/>
      <c r="V835"/>
      <c r="W835"/>
      <c r="X835"/>
      <c r="Y835"/>
      <c r="Z835"/>
      <c r="AA835"/>
    </row>
    <row r="836" spans="2:27" s="25" customFormat="1" ht="15.75" customHeight="1" x14ac:dyDescent="0.2">
      <c r="B836" s="89"/>
      <c r="C836"/>
      <c r="D836"/>
      <c r="E836" s="69"/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  <c r="U836"/>
      <c r="V836"/>
      <c r="W836"/>
      <c r="X836"/>
      <c r="Y836"/>
      <c r="Z836"/>
      <c r="AA836"/>
    </row>
    <row r="837" spans="2:27" s="25" customFormat="1" ht="15.75" customHeight="1" x14ac:dyDescent="0.2">
      <c r="B837" s="89"/>
      <c r="C837"/>
      <c r="D837"/>
      <c r="E837" s="69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  <c r="U837"/>
      <c r="V837"/>
      <c r="W837"/>
      <c r="X837"/>
      <c r="Y837"/>
      <c r="Z837"/>
      <c r="AA837"/>
    </row>
    <row r="838" spans="2:27" s="25" customFormat="1" ht="15.75" customHeight="1" x14ac:dyDescent="0.2">
      <c r="B838" s="89"/>
      <c r="C838"/>
      <c r="D838"/>
      <c r="E838" s="69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  <c r="V838"/>
      <c r="W838"/>
      <c r="X838"/>
      <c r="Y838"/>
      <c r="Z838"/>
      <c r="AA838"/>
    </row>
    <row r="839" spans="2:27" s="25" customFormat="1" ht="15.75" customHeight="1" x14ac:dyDescent="0.2">
      <c r="B839" s="89"/>
      <c r="C839"/>
      <c r="D839"/>
      <c r="E839" s="6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  <c r="V839"/>
      <c r="W839"/>
      <c r="X839"/>
      <c r="Y839"/>
      <c r="Z839"/>
      <c r="AA839"/>
    </row>
    <row r="840" spans="2:27" s="25" customFormat="1" ht="15.75" customHeight="1" x14ac:dyDescent="0.2">
      <c r="B840" s="89"/>
      <c r="C840"/>
      <c r="D840"/>
      <c r="E840" s="69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  <c r="V840"/>
      <c r="W840"/>
      <c r="X840"/>
      <c r="Y840"/>
      <c r="Z840"/>
      <c r="AA840"/>
    </row>
    <row r="841" spans="2:27" s="25" customFormat="1" ht="15.75" customHeight="1" x14ac:dyDescent="0.2">
      <c r="B841" s="89"/>
      <c r="C841"/>
      <c r="D841"/>
      <c r="E841" s="69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  <c r="V841"/>
      <c r="W841"/>
      <c r="X841"/>
      <c r="Y841"/>
      <c r="Z841"/>
      <c r="AA841"/>
    </row>
    <row r="842" spans="2:27" s="25" customFormat="1" ht="15.75" customHeight="1" x14ac:dyDescent="0.2">
      <c r="B842" s="89"/>
      <c r="C842"/>
      <c r="D842"/>
      <c r="E842" s="69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  <c r="U842"/>
      <c r="V842"/>
      <c r="W842"/>
      <c r="X842"/>
      <c r="Y842"/>
      <c r="Z842"/>
      <c r="AA842"/>
    </row>
    <row r="843" spans="2:27" s="25" customFormat="1" ht="15.75" customHeight="1" x14ac:dyDescent="0.2">
      <c r="B843" s="89"/>
      <c r="C843"/>
      <c r="D843"/>
      <c r="E843" s="69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  <c r="V843"/>
      <c r="W843"/>
      <c r="X843"/>
      <c r="Y843"/>
      <c r="Z843"/>
      <c r="AA843"/>
    </row>
    <row r="844" spans="2:27" s="25" customFormat="1" ht="15.75" customHeight="1" x14ac:dyDescent="0.2">
      <c r="B844" s="89"/>
      <c r="C844"/>
      <c r="D844"/>
      <c r="E844" s="69"/>
      <c r="F844"/>
      <c r="G844"/>
      <c r="H844"/>
      <c r="I844"/>
      <c r="J844"/>
      <c r="K844"/>
      <c r="L844"/>
      <c r="M844"/>
      <c r="N844"/>
      <c r="O844"/>
      <c r="P844"/>
      <c r="Q844"/>
      <c r="R844"/>
      <c r="S844"/>
      <c r="T844"/>
      <c r="U844"/>
      <c r="V844"/>
      <c r="W844"/>
      <c r="X844"/>
      <c r="Y844"/>
      <c r="Z844"/>
      <c r="AA844"/>
    </row>
    <row r="845" spans="2:27" s="25" customFormat="1" ht="15.75" customHeight="1" x14ac:dyDescent="0.2">
      <c r="B845" s="89"/>
      <c r="C845"/>
      <c r="D845"/>
      <c r="E845" s="69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  <c r="U845"/>
      <c r="V845"/>
      <c r="W845"/>
      <c r="X845"/>
      <c r="Y845"/>
      <c r="Z845"/>
      <c r="AA845"/>
    </row>
    <row r="846" spans="2:27" s="25" customFormat="1" ht="15.75" customHeight="1" x14ac:dyDescent="0.2">
      <c r="B846" s="89"/>
      <c r="C846"/>
      <c r="D846"/>
      <c r="E846" s="69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  <c r="V846"/>
      <c r="W846"/>
      <c r="X846"/>
      <c r="Y846"/>
      <c r="Z846"/>
      <c r="AA846"/>
    </row>
    <row r="847" spans="2:27" s="25" customFormat="1" ht="15.75" customHeight="1" x14ac:dyDescent="0.2">
      <c r="B847" s="89"/>
      <c r="C847"/>
      <c r="D847"/>
      <c r="E847" s="69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  <c r="U847"/>
      <c r="V847"/>
      <c r="W847"/>
      <c r="X847"/>
      <c r="Y847"/>
      <c r="Z847"/>
      <c r="AA847"/>
    </row>
    <row r="848" spans="2:27" s="25" customFormat="1" ht="15.75" customHeight="1" x14ac:dyDescent="0.2">
      <c r="B848" s="89"/>
      <c r="C848"/>
      <c r="D848"/>
      <c r="E848" s="69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/>
      <c r="U848"/>
      <c r="V848"/>
      <c r="W848"/>
      <c r="X848"/>
      <c r="Y848"/>
      <c r="Z848"/>
      <c r="AA848"/>
    </row>
    <row r="849" spans="2:27" s="25" customFormat="1" ht="15.75" customHeight="1" x14ac:dyDescent="0.2">
      <c r="B849" s="89"/>
      <c r="C849"/>
      <c r="D849"/>
      <c r="E849" s="6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  <c r="V849"/>
      <c r="W849"/>
      <c r="X849"/>
      <c r="Y849"/>
      <c r="Z849"/>
      <c r="AA849"/>
    </row>
    <row r="850" spans="2:27" s="25" customFormat="1" ht="15.75" customHeight="1" x14ac:dyDescent="0.2">
      <c r="B850" s="89"/>
      <c r="C850"/>
      <c r="D850"/>
      <c r="E850" s="69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  <c r="V850"/>
      <c r="W850"/>
      <c r="X850"/>
      <c r="Y850"/>
      <c r="Z850"/>
      <c r="AA850"/>
    </row>
    <row r="851" spans="2:27" s="25" customFormat="1" ht="15.75" customHeight="1" x14ac:dyDescent="0.2">
      <c r="B851" s="89"/>
      <c r="C851"/>
      <c r="D851"/>
      <c r="E851" s="69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  <c r="U851"/>
      <c r="V851"/>
      <c r="W851"/>
      <c r="X851"/>
      <c r="Y851"/>
      <c r="Z851"/>
      <c r="AA851"/>
    </row>
    <row r="852" spans="2:27" s="25" customFormat="1" ht="15.75" customHeight="1" x14ac:dyDescent="0.2">
      <c r="B852" s="89"/>
      <c r="C852"/>
      <c r="D852"/>
      <c r="E852" s="69"/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  <c r="U852"/>
      <c r="V852"/>
      <c r="W852"/>
      <c r="X852"/>
      <c r="Y852"/>
      <c r="Z852"/>
      <c r="AA852"/>
    </row>
    <row r="853" spans="2:27" s="25" customFormat="1" ht="15.75" customHeight="1" x14ac:dyDescent="0.2">
      <c r="B853" s="89"/>
      <c r="C853"/>
      <c r="D853"/>
      <c r="E853" s="69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  <c r="V853"/>
      <c r="W853"/>
      <c r="X853"/>
      <c r="Y853"/>
      <c r="Z853"/>
      <c r="AA853"/>
    </row>
    <row r="854" spans="2:27" s="25" customFormat="1" ht="15.75" customHeight="1" x14ac:dyDescent="0.2">
      <c r="B854" s="89"/>
      <c r="C854"/>
      <c r="D854"/>
      <c r="E854" s="69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  <c r="V854"/>
      <c r="W854"/>
      <c r="X854"/>
      <c r="Y854"/>
      <c r="Z854"/>
      <c r="AA854"/>
    </row>
    <row r="855" spans="2:27" s="25" customFormat="1" ht="15.75" customHeight="1" x14ac:dyDescent="0.2">
      <c r="B855" s="89"/>
      <c r="C855"/>
      <c r="D855"/>
      <c r="E855" s="69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  <c r="U855"/>
      <c r="V855"/>
      <c r="W855"/>
      <c r="X855"/>
      <c r="Y855"/>
      <c r="Z855"/>
      <c r="AA855"/>
    </row>
    <row r="856" spans="2:27" s="25" customFormat="1" ht="15.75" customHeight="1" x14ac:dyDescent="0.2">
      <c r="B856" s="89"/>
      <c r="C856"/>
      <c r="D856"/>
      <c r="E856" s="69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  <c r="U856"/>
      <c r="V856"/>
      <c r="W856"/>
      <c r="X856"/>
      <c r="Y856"/>
      <c r="Z856"/>
      <c r="AA856"/>
    </row>
    <row r="857" spans="2:27" s="25" customFormat="1" ht="15.75" customHeight="1" x14ac:dyDescent="0.2">
      <c r="B857" s="89"/>
      <c r="C857"/>
      <c r="D857"/>
      <c r="E857" s="69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  <c r="U857"/>
      <c r="V857"/>
      <c r="W857"/>
      <c r="X857"/>
      <c r="Y857"/>
      <c r="Z857"/>
      <c r="AA857"/>
    </row>
    <row r="858" spans="2:27" s="25" customFormat="1" ht="15.75" customHeight="1" x14ac:dyDescent="0.2">
      <c r="B858" s="89"/>
      <c r="C858"/>
      <c r="D858"/>
      <c r="E858" s="69"/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  <c r="U858"/>
      <c r="V858"/>
      <c r="W858"/>
      <c r="X858"/>
      <c r="Y858"/>
      <c r="Z858"/>
      <c r="AA858"/>
    </row>
    <row r="859" spans="2:27" s="25" customFormat="1" ht="15.75" customHeight="1" x14ac:dyDescent="0.2">
      <c r="B859" s="89"/>
      <c r="C859"/>
      <c r="D859"/>
      <c r="E859" s="69"/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  <c r="U859"/>
      <c r="V859"/>
      <c r="W859"/>
      <c r="X859"/>
      <c r="Y859"/>
      <c r="Z859"/>
      <c r="AA859"/>
    </row>
    <row r="860" spans="2:27" s="25" customFormat="1" ht="15.75" customHeight="1" x14ac:dyDescent="0.2">
      <c r="B860" s="89"/>
      <c r="C860"/>
      <c r="D860"/>
      <c r="E860" s="69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  <c r="U860"/>
      <c r="V860"/>
      <c r="W860"/>
      <c r="X860"/>
      <c r="Y860"/>
      <c r="Z860"/>
      <c r="AA860"/>
    </row>
    <row r="861" spans="2:27" s="25" customFormat="1" ht="15.75" customHeight="1" x14ac:dyDescent="0.2">
      <c r="B861" s="89"/>
      <c r="C861"/>
      <c r="D861"/>
      <c r="E861" s="69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  <c r="V861"/>
      <c r="W861"/>
      <c r="X861"/>
      <c r="Y861"/>
      <c r="Z861"/>
      <c r="AA861"/>
    </row>
    <row r="862" spans="2:27" s="25" customFormat="1" ht="15.75" customHeight="1" x14ac:dyDescent="0.2">
      <c r="B862" s="89"/>
      <c r="C862"/>
      <c r="D862"/>
      <c r="E862" s="69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  <c r="V862"/>
      <c r="W862"/>
      <c r="X862"/>
      <c r="Y862"/>
      <c r="Z862"/>
      <c r="AA862"/>
    </row>
    <row r="863" spans="2:27" s="25" customFormat="1" ht="15.75" customHeight="1" x14ac:dyDescent="0.2">
      <c r="B863" s="89"/>
      <c r="C863"/>
      <c r="D863"/>
      <c r="E863" s="69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  <c r="V863"/>
      <c r="W863"/>
      <c r="X863"/>
      <c r="Y863"/>
      <c r="Z863"/>
      <c r="AA863"/>
    </row>
    <row r="864" spans="2:27" s="25" customFormat="1" ht="15.75" customHeight="1" x14ac:dyDescent="0.2">
      <c r="B864" s="89"/>
      <c r="C864"/>
      <c r="D864"/>
      <c r="E864" s="69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/>
      <c r="U864"/>
      <c r="V864"/>
      <c r="W864"/>
      <c r="X864"/>
      <c r="Y864"/>
      <c r="Z864"/>
      <c r="AA864"/>
    </row>
    <row r="865" spans="2:27" s="25" customFormat="1" ht="15.75" customHeight="1" x14ac:dyDescent="0.2">
      <c r="B865" s="89"/>
      <c r="C865"/>
      <c r="D865"/>
      <c r="E865" s="69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  <c r="V865"/>
      <c r="W865"/>
      <c r="X865"/>
      <c r="Y865"/>
      <c r="Z865"/>
      <c r="AA865"/>
    </row>
    <row r="866" spans="2:27" s="25" customFormat="1" ht="15.75" customHeight="1" x14ac:dyDescent="0.2">
      <c r="B866" s="89"/>
      <c r="C866"/>
      <c r="D866"/>
      <c r="E866" s="69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  <c r="U866"/>
      <c r="V866"/>
      <c r="W866"/>
      <c r="X866"/>
      <c r="Y866"/>
      <c r="Z866"/>
      <c r="AA866"/>
    </row>
    <row r="867" spans="2:27" s="25" customFormat="1" ht="15.75" customHeight="1" x14ac:dyDescent="0.2">
      <c r="B867" s="89"/>
      <c r="C867"/>
      <c r="D867"/>
      <c r="E867" s="69"/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  <c r="T867"/>
      <c r="U867"/>
      <c r="V867"/>
      <c r="W867"/>
      <c r="X867"/>
      <c r="Y867"/>
      <c r="Z867"/>
      <c r="AA867"/>
    </row>
    <row r="868" spans="2:27" s="25" customFormat="1" ht="15.75" customHeight="1" x14ac:dyDescent="0.2">
      <c r="B868" s="89"/>
      <c r="C868"/>
      <c r="D868"/>
      <c r="E868" s="69"/>
      <c r="F868"/>
      <c r="G868"/>
      <c r="H868"/>
      <c r="I868"/>
      <c r="J868"/>
      <c r="K868"/>
      <c r="L868"/>
      <c r="M868"/>
      <c r="N868"/>
      <c r="O868"/>
      <c r="P868"/>
      <c r="Q868"/>
      <c r="R868"/>
      <c r="S868"/>
      <c r="T868"/>
      <c r="U868"/>
      <c r="V868"/>
      <c r="W868"/>
      <c r="X868"/>
      <c r="Y868"/>
      <c r="Z868"/>
      <c r="AA868"/>
    </row>
    <row r="869" spans="2:27" s="25" customFormat="1" ht="15.75" customHeight="1" x14ac:dyDescent="0.2">
      <c r="B869" s="89"/>
      <c r="C869"/>
      <c r="D869"/>
      <c r="E869" s="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  <c r="V869"/>
      <c r="W869"/>
      <c r="X869"/>
      <c r="Y869"/>
      <c r="Z869"/>
      <c r="AA869"/>
    </row>
    <row r="870" spans="2:27" s="25" customFormat="1" ht="15.75" customHeight="1" x14ac:dyDescent="0.2">
      <c r="B870" s="89"/>
      <c r="C870"/>
      <c r="D870"/>
      <c r="E870" s="69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  <c r="V870"/>
      <c r="W870"/>
      <c r="X870"/>
      <c r="Y870"/>
      <c r="Z870"/>
      <c r="AA870"/>
    </row>
    <row r="871" spans="2:27" s="25" customFormat="1" ht="15.75" customHeight="1" x14ac:dyDescent="0.2">
      <c r="B871" s="89"/>
      <c r="C871"/>
      <c r="D871"/>
      <c r="E871" s="69"/>
      <c r="F871"/>
      <c r="G871"/>
      <c r="H871"/>
      <c r="I871"/>
      <c r="J871"/>
      <c r="K871"/>
      <c r="L871"/>
      <c r="M871"/>
      <c r="N871"/>
      <c r="O871"/>
      <c r="P871"/>
      <c r="Q871"/>
      <c r="R871"/>
      <c r="S871"/>
      <c r="T871"/>
      <c r="U871"/>
      <c r="V871"/>
      <c r="W871"/>
      <c r="X871"/>
      <c r="Y871"/>
      <c r="Z871"/>
      <c r="AA871"/>
    </row>
    <row r="872" spans="2:27" s="25" customFormat="1" ht="15.75" customHeight="1" x14ac:dyDescent="0.2">
      <c r="B872" s="89"/>
      <c r="C872"/>
      <c r="D872"/>
      <c r="E872" s="69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  <c r="U872"/>
      <c r="V872"/>
      <c r="W872"/>
      <c r="X872"/>
      <c r="Y872"/>
      <c r="Z872"/>
      <c r="AA872"/>
    </row>
    <row r="873" spans="2:27" s="25" customFormat="1" ht="15.75" customHeight="1" x14ac:dyDescent="0.2">
      <c r="B873" s="89"/>
      <c r="C873"/>
      <c r="D873"/>
      <c r="E873" s="69"/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  <c r="T873"/>
      <c r="U873"/>
      <c r="V873"/>
      <c r="W873"/>
      <c r="X873"/>
      <c r="Y873"/>
      <c r="Z873"/>
      <c r="AA873"/>
    </row>
    <row r="874" spans="2:27" s="25" customFormat="1" ht="15.75" customHeight="1" x14ac:dyDescent="0.2">
      <c r="B874" s="89"/>
      <c r="C874"/>
      <c r="D874"/>
      <c r="E874" s="69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  <c r="V874"/>
      <c r="W874"/>
      <c r="X874"/>
      <c r="Y874"/>
      <c r="Z874"/>
      <c r="AA874"/>
    </row>
    <row r="875" spans="2:27" s="25" customFormat="1" ht="15.75" customHeight="1" x14ac:dyDescent="0.2">
      <c r="B875" s="89"/>
      <c r="C875"/>
      <c r="D875"/>
      <c r="E875" s="69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  <c r="V875"/>
      <c r="W875"/>
      <c r="X875"/>
      <c r="Y875"/>
      <c r="Z875"/>
      <c r="AA875"/>
    </row>
    <row r="876" spans="2:27" s="25" customFormat="1" ht="15.75" customHeight="1" x14ac:dyDescent="0.2">
      <c r="B876" s="89"/>
      <c r="C876"/>
      <c r="D876"/>
      <c r="E876" s="69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  <c r="V876"/>
      <c r="W876"/>
      <c r="X876"/>
      <c r="Y876"/>
      <c r="Z876"/>
      <c r="AA876"/>
    </row>
    <row r="877" spans="2:27" s="25" customFormat="1" ht="15.75" customHeight="1" x14ac:dyDescent="0.2">
      <c r="B877" s="89"/>
      <c r="C877"/>
      <c r="D877"/>
      <c r="E877" s="69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  <c r="U877"/>
      <c r="V877"/>
      <c r="W877"/>
      <c r="X877"/>
      <c r="Y877"/>
      <c r="Z877"/>
      <c r="AA877"/>
    </row>
    <row r="878" spans="2:27" s="25" customFormat="1" ht="15.75" customHeight="1" x14ac:dyDescent="0.2">
      <c r="B878" s="89"/>
      <c r="C878"/>
      <c r="D878"/>
      <c r="E878" s="69"/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  <c r="T878"/>
      <c r="U878"/>
      <c r="V878"/>
      <c r="W878"/>
      <c r="X878"/>
      <c r="Y878"/>
      <c r="Z878"/>
      <c r="AA878"/>
    </row>
    <row r="879" spans="2:27" s="25" customFormat="1" ht="15.75" customHeight="1" x14ac:dyDescent="0.2">
      <c r="B879" s="89"/>
      <c r="C879"/>
      <c r="D879"/>
      <c r="E879" s="6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  <c r="U879"/>
      <c r="V879"/>
      <c r="W879"/>
      <c r="X879"/>
      <c r="Y879"/>
      <c r="Z879"/>
      <c r="AA879"/>
    </row>
    <row r="880" spans="2:27" s="25" customFormat="1" ht="15.75" customHeight="1" x14ac:dyDescent="0.2">
      <c r="B880" s="89"/>
      <c r="C880"/>
      <c r="D880"/>
      <c r="E880" s="69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  <c r="U880"/>
      <c r="V880"/>
      <c r="W880"/>
      <c r="X880"/>
      <c r="Y880"/>
      <c r="Z880"/>
      <c r="AA880"/>
    </row>
    <row r="881" spans="2:27" s="25" customFormat="1" ht="15.75" customHeight="1" x14ac:dyDescent="0.2">
      <c r="B881" s="89"/>
      <c r="C881"/>
      <c r="D881"/>
      <c r="E881" s="69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  <c r="U881"/>
      <c r="V881"/>
      <c r="W881"/>
      <c r="X881"/>
      <c r="Y881"/>
      <c r="Z881"/>
      <c r="AA881"/>
    </row>
    <row r="882" spans="2:27" s="25" customFormat="1" ht="15.75" customHeight="1" x14ac:dyDescent="0.2">
      <c r="B882" s="89"/>
      <c r="C882"/>
      <c r="D882"/>
      <c r="E882" s="69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  <c r="U882"/>
      <c r="V882"/>
      <c r="W882"/>
      <c r="X882"/>
      <c r="Y882"/>
      <c r="Z882"/>
      <c r="AA882"/>
    </row>
    <row r="883" spans="2:27" s="25" customFormat="1" ht="15.75" customHeight="1" x14ac:dyDescent="0.2">
      <c r="B883" s="89"/>
      <c r="C883"/>
      <c r="D883"/>
      <c r="E883" s="69"/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  <c r="T883"/>
      <c r="U883"/>
      <c r="V883"/>
      <c r="W883"/>
      <c r="X883"/>
      <c r="Y883"/>
      <c r="Z883"/>
      <c r="AA883"/>
    </row>
    <row r="884" spans="2:27" s="25" customFormat="1" ht="15.75" customHeight="1" x14ac:dyDescent="0.2">
      <c r="B884" s="89"/>
      <c r="C884"/>
      <c r="D884"/>
      <c r="E884" s="69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  <c r="V884"/>
      <c r="W884"/>
      <c r="X884"/>
      <c r="Y884"/>
      <c r="Z884"/>
      <c r="AA884"/>
    </row>
    <row r="885" spans="2:27" s="25" customFormat="1" ht="15.75" customHeight="1" x14ac:dyDescent="0.2">
      <c r="B885" s="89"/>
      <c r="C885"/>
      <c r="D885"/>
      <c r="E885" s="69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  <c r="V885"/>
      <c r="W885"/>
      <c r="X885"/>
      <c r="Y885"/>
      <c r="Z885"/>
      <c r="AA885"/>
    </row>
    <row r="886" spans="2:27" s="25" customFormat="1" ht="15.75" customHeight="1" x14ac:dyDescent="0.2">
      <c r="B886" s="89"/>
      <c r="C886"/>
      <c r="D886"/>
      <c r="E886" s="69"/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  <c r="T886"/>
      <c r="U886"/>
      <c r="V886"/>
      <c r="W886"/>
      <c r="X886"/>
      <c r="Y886"/>
      <c r="Z886"/>
      <c r="AA886"/>
    </row>
    <row r="887" spans="2:27" s="25" customFormat="1" ht="15.75" customHeight="1" x14ac:dyDescent="0.2">
      <c r="B887" s="89"/>
      <c r="C887"/>
      <c r="D887"/>
      <c r="E887" s="69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  <c r="V887"/>
      <c r="W887"/>
      <c r="X887"/>
      <c r="Y887"/>
      <c r="Z887"/>
      <c r="AA887"/>
    </row>
    <row r="888" spans="2:27" s="25" customFormat="1" ht="15.75" customHeight="1" x14ac:dyDescent="0.2">
      <c r="B888" s="89"/>
      <c r="C888"/>
      <c r="D888"/>
      <c r="E888" s="69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  <c r="U888"/>
      <c r="V888"/>
      <c r="W888"/>
      <c r="X888"/>
      <c r="Y888"/>
      <c r="Z888"/>
      <c r="AA888"/>
    </row>
    <row r="889" spans="2:27" s="25" customFormat="1" ht="15.75" customHeight="1" x14ac:dyDescent="0.2">
      <c r="B889" s="89"/>
      <c r="C889"/>
      <c r="D889"/>
      <c r="E889" s="6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  <c r="V889"/>
      <c r="W889"/>
      <c r="X889"/>
      <c r="Y889"/>
      <c r="Z889"/>
      <c r="AA889"/>
    </row>
    <row r="890" spans="2:27" s="25" customFormat="1" ht="15.75" customHeight="1" x14ac:dyDescent="0.2">
      <c r="B890" s="89"/>
      <c r="C890"/>
      <c r="D890"/>
      <c r="E890" s="69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  <c r="V890"/>
      <c r="W890"/>
      <c r="X890"/>
      <c r="Y890"/>
      <c r="Z890"/>
      <c r="AA890"/>
    </row>
    <row r="891" spans="2:27" s="25" customFormat="1" ht="15.75" customHeight="1" x14ac:dyDescent="0.2">
      <c r="B891" s="89"/>
      <c r="C891"/>
      <c r="D891"/>
      <c r="E891" s="69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  <c r="V891"/>
      <c r="W891"/>
      <c r="X891"/>
      <c r="Y891"/>
      <c r="Z891"/>
      <c r="AA891"/>
    </row>
    <row r="892" spans="2:27" s="25" customFormat="1" ht="15.75" customHeight="1" x14ac:dyDescent="0.2">
      <c r="B892" s="89"/>
      <c r="C892"/>
      <c r="D892"/>
      <c r="E892" s="69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  <c r="V892"/>
      <c r="W892"/>
      <c r="X892"/>
      <c r="Y892"/>
      <c r="Z892"/>
      <c r="AA892"/>
    </row>
    <row r="893" spans="2:27" s="25" customFormat="1" ht="15.75" customHeight="1" x14ac:dyDescent="0.2">
      <c r="B893" s="89"/>
      <c r="C893"/>
      <c r="D893"/>
      <c r="E893" s="69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  <c r="U893"/>
      <c r="V893"/>
      <c r="W893"/>
      <c r="X893"/>
      <c r="Y893"/>
      <c r="Z893"/>
      <c r="AA893"/>
    </row>
    <row r="894" spans="2:27" s="25" customFormat="1" ht="15.75" customHeight="1" x14ac:dyDescent="0.2">
      <c r="B894" s="89"/>
      <c r="C894"/>
      <c r="D894"/>
      <c r="E894" s="69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  <c r="V894"/>
      <c r="W894"/>
      <c r="X894"/>
      <c r="Y894"/>
      <c r="Z894"/>
      <c r="AA894"/>
    </row>
    <row r="895" spans="2:27" s="25" customFormat="1" ht="15.75" customHeight="1" x14ac:dyDescent="0.2">
      <c r="B895" s="89"/>
      <c r="C895"/>
      <c r="D895"/>
      <c r="E895" s="69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  <c r="V895"/>
      <c r="W895"/>
      <c r="X895"/>
      <c r="Y895"/>
      <c r="Z895"/>
      <c r="AA895"/>
    </row>
    <row r="896" spans="2:27" s="25" customFormat="1" ht="15.75" customHeight="1" x14ac:dyDescent="0.2">
      <c r="B896" s="89"/>
      <c r="C896"/>
      <c r="D896"/>
      <c r="E896" s="69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  <c r="V896"/>
      <c r="W896"/>
      <c r="X896"/>
      <c r="Y896"/>
      <c r="Z896"/>
      <c r="AA896"/>
    </row>
    <row r="897" spans="2:27" s="25" customFormat="1" ht="15.75" customHeight="1" x14ac:dyDescent="0.2">
      <c r="B897" s="89"/>
      <c r="C897"/>
      <c r="D897"/>
      <c r="E897" s="69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  <c r="V897"/>
      <c r="W897"/>
      <c r="X897"/>
      <c r="Y897"/>
      <c r="Z897"/>
      <c r="AA897"/>
    </row>
    <row r="898" spans="2:27" s="25" customFormat="1" ht="15.75" customHeight="1" x14ac:dyDescent="0.2">
      <c r="B898" s="89"/>
      <c r="C898"/>
      <c r="D898"/>
      <c r="E898" s="69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  <c r="V898"/>
      <c r="W898"/>
      <c r="X898"/>
      <c r="Y898"/>
      <c r="Z898"/>
      <c r="AA898"/>
    </row>
    <row r="899" spans="2:27" s="25" customFormat="1" ht="15.75" customHeight="1" x14ac:dyDescent="0.2">
      <c r="B899" s="89"/>
      <c r="C899"/>
      <c r="D899"/>
      <c r="E899" s="6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  <c r="V899"/>
      <c r="W899"/>
      <c r="X899"/>
      <c r="Y899"/>
      <c r="Z899"/>
      <c r="AA899"/>
    </row>
    <row r="900" spans="2:27" s="25" customFormat="1" ht="15.75" customHeight="1" x14ac:dyDescent="0.2">
      <c r="B900" s="89"/>
      <c r="C900"/>
      <c r="D900"/>
      <c r="E900" s="69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  <c r="V900"/>
      <c r="W900"/>
      <c r="X900"/>
      <c r="Y900"/>
      <c r="Z900"/>
      <c r="AA900"/>
    </row>
    <row r="901" spans="2:27" s="25" customFormat="1" ht="15.75" customHeight="1" x14ac:dyDescent="0.2">
      <c r="B901" s="89"/>
      <c r="C901"/>
      <c r="D901"/>
      <c r="E901" s="69"/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/>
      <c r="U901"/>
      <c r="V901"/>
      <c r="W901"/>
      <c r="X901"/>
      <c r="Y901"/>
      <c r="Z901"/>
      <c r="AA901"/>
    </row>
    <row r="902" spans="2:27" s="25" customFormat="1" ht="15.75" customHeight="1" x14ac:dyDescent="0.2">
      <c r="B902" s="89"/>
      <c r="C902"/>
      <c r="D902"/>
      <c r="E902" s="69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  <c r="V902"/>
      <c r="W902"/>
      <c r="X902"/>
      <c r="Y902"/>
      <c r="Z902"/>
      <c r="AA902"/>
    </row>
    <row r="903" spans="2:27" s="25" customFormat="1" ht="15.75" customHeight="1" x14ac:dyDescent="0.2">
      <c r="B903" s="89"/>
      <c r="C903"/>
      <c r="D903"/>
      <c r="E903" s="69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  <c r="V903"/>
      <c r="W903"/>
      <c r="X903"/>
      <c r="Y903"/>
      <c r="Z903"/>
      <c r="AA903"/>
    </row>
    <row r="904" spans="2:27" s="25" customFormat="1" ht="15.75" customHeight="1" x14ac:dyDescent="0.2">
      <c r="B904" s="89"/>
      <c r="C904"/>
      <c r="D904"/>
      <c r="E904" s="69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  <c r="V904"/>
      <c r="W904"/>
      <c r="X904"/>
      <c r="Y904"/>
      <c r="Z904"/>
      <c r="AA904"/>
    </row>
    <row r="905" spans="2:27" s="25" customFormat="1" ht="15.75" customHeight="1" x14ac:dyDescent="0.2">
      <c r="B905" s="89"/>
      <c r="C905"/>
      <c r="D905"/>
      <c r="E905" s="69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  <c r="V905"/>
      <c r="W905"/>
      <c r="X905"/>
      <c r="Y905"/>
      <c r="Z905"/>
      <c r="AA905"/>
    </row>
    <row r="906" spans="2:27" s="25" customFormat="1" ht="15.75" customHeight="1" x14ac:dyDescent="0.2">
      <c r="B906" s="89"/>
      <c r="C906"/>
      <c r="D906"/>
      <c r="E906" s="69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  <c r="V906"/>
      <c r="W906"/>
      <c r="X906"/>
      <c r="Y906"/>
      <c r="Z906"/>
      <c r="AA906"/>
    </row>
    <row r="907" spans="2:27" s="25" customFormat="1" ht="15.75" customHeight="1" x14ac:dyDescent="0.2">
      <c r="B907" s="89"/>
      <c r="C907"/>
      <c r="D907"/>
      <c r="E907" s="69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  <c r="V907"/>
      <c r="W907"/>
      <c r="X907"/>
      <c r="Y907"/>
      <c r="Z907"/>
      <c r="AA907"/>
    </row>
    <row r="908" spans="2:27" s="25" customFormat="1" ht="15.75" customHeight="1" x14ac:dyDescent="0.2">
      <c r="B908" s="89"/>
      <c r="C908"/>
      <c r="D908"/>
      <c r="E908" s="69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  <c r="V908"/>
      <c r="W908"/>
      <c r="X908"/>
      <c r="Y908"/>
      <c r="Z908"/>
      <c r="AA908"/>
    </row>
    <row r="909" spans="2:27" s="25" customFormat="1" ht="15.75" customHeight="1" x14ac:dyDescent="0.2">
      <c r="B909" s="89"/>
      <c r="C909"/>
      <c r="D909"/>
      <c r="E909" s="6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  <c r="V909"/>
      <c r="W909"/>
      <c r="X909"/>
      <c r="Y909"/>
      <c r="Z909"/>
      <c r="AA909"/>
    </row>
    <row r="910" spans="2:27" s="25" customFormat="1" ht="15.75" customHeight="1" x14ac:dyDescent="0.2">
      <c r="B910" s="89"/>
      <c r="C910"/>
      <c r="D910"/>
      <c r="E910" s="69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  <c r="V910"/>
      <c r="W910"/>
      <c r="X910"/>
      <c r="Y910"/>
      <c r="Z910"/>
      <c r="AA910"/>
    </row>
    <row r="911" spans="2:27" s="25" customFormat="1" ht="15.75" customHeight="1" x14ac:dyDescent="0.2">
      <c r="B911" s="89"/>
      <c r="C911"/>
      <c r="D911"/>
      <c r="E911" s="69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  <c r="V911"/>
      <c r="W911"/>
      <c r="X911"/>
      <c r="Y911"/>
      <c r="Z911"/>
      <c r="AA911"/>
    </row>
    <row r="912" spans="2:27" s="25" customFormat="1" ht="15.75" customHeight="1" x14ac:dyDescent="0.2">
      <c r="B912" s="89"/>
      <c r="C912"/>
      <c r="D912"/>
      <c r="E912" s="69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  <c r="V912"/>
      <c r="W912"/>
      <c r="X912"/>
      <c r="Y912"/>
      <c r="Z912"/>
      <c r="AA912"/>
    </row>
    <row r="913" spans="2:27" s="25" customFormat="1" ht="15.75" customHeight="1" x14ac:dyDescent="0.2">
      <c r="B913" s="89"/>
      <c r="C913"/>
      <c r="D913"/>
      <c r="E913" s="69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  <c r="V913"/>
      <c r="W913"/>
      <c r="X913"/>
      <c r="Y913"/>
      <c r="Z913"/>
      <c r="AA913"/>
    </row>
    <row r="914" spans="2:27" s="25" customFormat="1" ht="15.75" customHeight="1" x14ac:dyDescent="0.2">
      <c r="B914" s="89"/>
      <c r="C914"/>
      <c r="D914"/>
      <c r="E914" s="69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  <c r="V914"/>
      <c r="W914"/>
      <c r="X914"/>
      <c r="Y914"/>
      <c r="Z914"/>
      <c r="AA914"/>
    </row>
    <row r="915" spans="2:27" s="25" customFormat="1" ht="15.75" customHeight="1" x14ac:dyDescent="0.2">
      <c r="B915" s="89"/>
      <c r="C915"/>
      <c r="D915"/>
      <c r="E915" s="69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  <c r="V915"/>
      <c r="W915"/>
      <c r="X915"/>
      <c r="Y915"/>
      <c r="Z915"/>
      <c r="AA915"/>
    </row>
    <row r="916" spans="2:27" s="25" customFormat="1" ht="15.75" customHeight="1" x14ac:dyDescent="0.2">
      <c r="B916" s="89"/>
      <c r="C916"/>
      <c r="D916"/>
      <c r="E916" s="69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  <c r="V916"/>
      <c r="W916"/>
      <c r="X916"/>
      <c r="Y916"/>
      <c r="Z916"/>
      <c r="AA916"/>
    </row>
    <row r="917" spans="2:27" s="25" customFormat="1" ht="15.75" customHeight="1" x14ac:dyDescent="0.2">
      <c r="B917" s="89"/>
      <c r="C917"/>
      <c r="D917"/>
      <c r="E917" s="69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  <c r="V917"/>
      <c r="W917"/>
      <c r="X917"/>
      <c r="Y917"/>
      <c r="Z917"/>
      <c r="AA917"/>
    </row>
    <row r="918" spans="2:27" s="25" customFormat="1" ht="15.75" customHeight="1" x14ac:dyDescent="0.2">
      <c r="B918" s="89"/>
      <c r="C918"/>
      <c r="D918"/>
      <c r="E918" s="69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  <c r="V918"/>
      <c r="W918"/>
      <c r="X918"/>
      <c r="Y918"/>
      <c r="Z918"/>
      <c r="AA918"/>
    </row>
    <row r="919" spans="2:27" s="25" customFormat="1" ht="15.75" customHeight="1" x14ac:dyDescent="0.2">
      <c r="B919" s="89"/>
      <c r="C919"/>
      <c r="D919"/>
      <c r="E919" s="6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  <c r="V919"/>
      <c r="W919"/>
      <c r="X919"/>
      <c r="Y919"/>
      <c r="Z919"/>
      <c r="AA919"/>
    </row>
    <row r="920" spans="2:27" s="25" customFormat="1" ht="15.75" customHeight="1" x14ac:dyDescent="0.2">
      <c r="B920" s="89"/>
      <c r="C920"/>
      <c r="D920"/>
      <c r="E920" s="69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  <c r="V920"/>
      <c r="W920"/>
      <c r="X920"/>
      <c r="Y920"/>
      <c r="Z920"/>
      <c r="AA920"/>
    </row>
    <row r="921" spans="2:27" s="25" customFormat="1" ht="15.75" customHeight="1" x14ac:dyDescent="0.2">
      <c r="B921" s="89"/>
      <c r="C921"/>
      <c r="D921"/>
      <c r="E921" s="69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  <c r="V921"/>
      <c r="W921"/>
      <c r="X921"/>
      <c r="Y921"/>
      <c r="Z921"/>
      <c r="AA921"/>
    </row>
    <row r="922" spans="2:27" s="25" customFormat="1" ht="15.75" customHeight="1" x14ac:dyDescent="0.2">
      <c r="B922" s="89"/>
      <c r="C922"/>
      <c r="D922"/>
      <c r="E922" s="69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  <c r="V922"/>
      <c r="W922"/>
      <c r="X922"/>
      <c r="Y922"/>
      <c r="Z922"/>
      <c r="AA922"/>
    </row>
    <row r="923" spans="2:27" s="25" customFormat="1" ht="15.75" customHeight="1" x14ac:dyDescent="0.2">
      <c r="B923" s="89"/>
      <c r="C923"/>
      <c r="D923"/>
      <c r="E923" s="69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  <c r="V923"/>
      <c r="W923"/>
      <c r="X923"/>
      <c r="Y923"/>
      <c r="Z923"/>
      <c r="AA923"/>
    </row>
    <row r="924" spans="2:27" s="25" customFormat="1" ht="15.75" customHeight="1" x14ac:dyDescent="0.2">
      <c r="B924" s="89"/>
      <c r="C924"/>
      <c r="D924"/>
      <c r="E924" s="69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  <c r="V924"/>
      <c r="W924"/>
      <c r="X924"/>
      <c r="Y924"/>
      <c r="Z924"/>
      <c r="AA924"/>
    </row>
    <row r="925" spans="2:27" s="25" customFormat="1" ht="15.75" customHeight="1" x14ac:dyDescent="0.2">
      <c r="B925" s="89"/>
      <c r="C925"/>
      <c r="D925"/>
      <c r="E925" s="69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  <c r="V925"/>
      <c r="W925"/>
      <c r="X925"/>
      <c r="Y925"/>
      <c r="Z925"/>
      <c r="AA925"/>
    </row>
    <row r="926" spans="2:27" s="25" customFormat="1" ht="15.75" customHeight="1" x14ac:dyDescent="0.2">
      <c r="B926" s="89"/>
      <c r="C926"/>
      <c r="D926"/>
      <c r="E926" s="69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  <c r="V926"/>
      <c r="W926"/>
      <c r="X926"/>
      <c r="Y926"/>
      <c r="Z926"/>
      <c r="AA926"/>
    </row>
    <row r="927" spans="2:27" s="25" customFormat="1" ht="15.75" customHeight="1" x14ac:dyDescent="0.2">
      <c r="B927" s="89"/>
      <c r="C927"/>
      <c r="D927"/>
      <c r="E927" s="69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  <c r="V927"/>
      <c r="W927"/>
      <c r="X927"/>
      <c r="Y927"/>
      <c r="Z927"/>
      <c r="AA927"/>
    </row>
    <row r="928" spans="2:27" s="25" customFormat="1" ht="15.75" customHeight="1" x14ac:dyDescent="0.2">
      <c r="B928" s="89"/>
      <c r="C928"/>
      <c r="D928"/>
      <c r="E928" s="69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  <c r="V928"/>
      <c r="W928"/>
      <c r="X928"/>
      <c r="Y928"/>
      <c r="Z928"/>
      <c r="AA928"/>
    </row>
    <row r="929" spans="2:27" s="25" customFormat="1" ht="15.75" customHeight="1" x14ac:dyDescent="0.2">
      <c r="B929" s="89"/>
      <c r="C929"/>
      <c r="D929"/>
      <c r="E929" s="6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  <c r="V929"/>
      <c r="W929"/>
      <c r="X929"/>
      <c r="Y929"/>
      <c r="Z929"/>
      <c r="AA929"/>
    </row>
    <row r="930" spans="2:27" s="25" customFormat="1" ht="15.75" customHeight="1" x14ac:dyDescent="0.2">
      <c r="B930" s="89"/>
      <c r="C930"/>
      <c r="D930"/>
      <c r="E930" s="69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  <c r="V930"/>
      <c r="W930"/>
      <c r="X930"/>
      <c r="Y930"/>
      <c r="Z930"/>
      <c r="AA930"/>
    </row>
    <row r="931" spans="2:27" s="25" customFormat="1" ht="15.75" customHeight="1" x14ac:dyDescent="0.2">
      <c r="B931" s="89"/>
      <c r="C931"/>
      <c r="D931"/>
      <c r="E931" s="69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  <c r="V931"/>
      <c r="W931"/>
      <c r="X931"/>
      <c r="Y931"/>
      <c r="Z931"/>
      <c r="AA931"/>
    </row>
    <row r="932" spans="2:27" s="25" customFormat="1" ht="15.75" customHeight="1" x14ac:dyDescent="0.2">
      <c r="B932" s="89"/>
      <c r="C932"/>
      <c r="D932"/>
      <c r="E932" s="69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  <c r="V932"/>
      <c r="W932"/>
      <c r="X932"/>
      <c r="Y932"/>
      <c r="Z932"/>
      <c r="AA932"/>
    </row>
    <row r="933" spans="2:27" s="25" customFormat="1" ht="15.75" customHeight="1" x14ac:dyDescent="0.2">
      <c r="B933" s="89"/>
      <c r="C933"/>
      <c r="D933"/>
      <c r="E933" s="69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  <c r="V933"/>
      <c r="W933"/>
      <c r="X933"/>
      <c r="Y933"/>
      <c r="Z933"/>
      <c r="AA933"/>
    </row>
    <row r="934" spans="2:27" s="25" customFormat="1" ht="15.75" customHeight="1" x14ac:dyDescent="0.2">
      <c r="B934" s="89"/>
      <c r="C934"/>
      <c r="D934"/>
      <c r="E934" s="69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  <c r="V934"/>
      <c r="W934"/>
      <c r="X934"/>
      <c r="Y934"/>
      <c r="Z934"/>
      <c r="AA934"/>
    </row>
    <row r="935" spans="2:27" s="25" customFormat="1" ht="15.75" customHeight="1" x14ac:dyDescent="0.2">
      <c r="B935" s="89"/>
      <c r="C935"/>
      <c r="D935"/>
      <c r="E935" s="69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  <c r="V935"/>
      <c r="W935"/>
      <c r="X935"/>
      <c r="Y935"/>
      <c r="Z935"/>
      <c r="AA935"/>
    </row>
    <row r="936" spans="2:27" s="25" customFormat="1" ht="15.75" customHeight="1" x14ac:dyDescent="0.2">
      <c r="B936" s="89"/>
      <c r="C936"/>
      <c r="D936"/>
      <c r="E936" s="69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  <c r="V936"/>
      <c r="W936"/>
      <c r="X936"/>
      <c r="Y936"/>
      <c r="Z936"/>
      <c r="AA936"/>
    </row>
    <row r="937" spans="2:27" s="25" customFormat="1" ht="15.75" customHeight="1" x14ac:dyDescent="0.2">
      <c r="B937" s="89"/>
      <c r="C937"/>
      <c r="D937"/>
      <c r="E937" s="69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  <c r="V937"/>
      <c r="W937"/>
      <c r="X937"/>
      <c r="Y937"/>
      <c r="Z937"/>
      <c r="AA937"/>
    </row>
    <row r="938" spans="2:27" s="25" customFormat="1" ht="15.75" customHeight="1" x14ac:dyDescent="0.2">
      <c r="B938" s="89"/>
      <c r="C938"/>
      <c r="D938"/>
      <c r="E938" s="69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  <c r="V938"/>
      <c r="W938"/>
      <c r="X938"/>
      <c r="Y938"/>
      <c r="Z938"/>
      <c r="AA938"/>
    </row>
    <row r="939" spans="2:27" s="25" customFormat="1" ht="15.75" customHeight="1" x14ac:dyDescent="0.2">
      <c r="B939" s="89"/>
      <c r="C939"/>
      <c r="D939"/>
      <c r="E939" s="6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  <c r="V939"/>
      <c r="W939"/>
      <c r="X939"/>
      <c r="Y939"/>
      <c r="Z939"/>
      <c r="AA939"/>
    </row>
    <row r="940" spans="2:27" s="25" customFormat="1" ht="15.75" customHeight="1" x14ac:dyDescent="0.2">
      <c r="B940" s="89"/>
      <c r="C940"/>
      <c r="D940"/>
      <c r="E940" s="69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  <c r="V940"/>
      <c r="W940"/>
      <c r="X940"/>
      <c r="Y940"/>
      <c r="Z940"/>
      <c r="AA940"/>
    </row>
    <row r="941" spans="2:27" s="25" customFormat="1" ht="15.75" customHeight="1" x14ac:dyDescent="0.2">
      <c r="B941" s="89"/>
      <c r="C941"/>
      <c r="D941"/>
      <c r="E941" s="69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  <c r="V941"/>
      <c r="W941"/>
      <c r="X941"/>
      <c r="Y941"/>
      <c r="Z941"/>
      <c r="AA941"/>
    </row>
    <row r="942" spans="2:27" s="25" customFormat="1" ht="15.75" customHeight="1" x14ac:dyDescent="0.2">
      <c r="B942" s="89"/>
      <c r="C942"/>
      <c r="D942"/>
      <c r="E942" s="69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  <c r="V942"/>
      <c r="W942"/>
      <c r="X942"/>
      <c r="Y942"/>
      <c r="Z942"/>
      <c r="AA942"/>
    </row>
    <row r="943" spans="2:27" s="25" customFormat="1" ht="15.75" customHeight="1" x14ac:dyDescent="0.2">
      <c r="B943" s="89"/>
      <c r="C943"/>
      <c r="D943"/>
      <c r="E943" s="69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  <c r="V943"/>
      <c r="W943"/>
      <c r="X943"/>
      <c r="Y943"/>
      <c r="Z943"/>
      <c r="AA943"/>
    </row>
    <row r="944" spans="2:27" s="25" customFormat="1" ht="15.75" customHeight="1" x14ac:dyDescent="0.2">
      <c r="B944" s="89"/>
      <c r="C944"/>
      <c r="D944"/>
      <c r="E944" s="69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  <c r="V944"/>
      <c r="W944"/>
      <c r="X944"/>
      <c r="Y944"/>
      <c r="Z944"/>
      <c r="AA944"/>
    </row>
    <row r="945" spans="2:27" s="25" customFormat="1" ht="15.75" customHeight="1" x14ac:dyDescent="0.2">
      <c r="B945" s="89"/>
      <c r="C945"/>
      <c r="D945"/>
      <c r="E945" s="69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  <c r="U945"/>
      <c r="V945"/>
      <c r="W945"/>
      <c r="X945"/>
      <c r="Y945"/>
      <c r="Z945"/>
      <c r="AA945"/>
    </row>
    <row r="946" spans="2:27" s="25" customFormat="1" ht="15.75" customHeight="1" x14ac:dyDescent="0.2">
      <c r="B946" s="89"/>
      <c r="C946"/>
      <c r="D946"/>
      <c r="E946" s="69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  <c r="V946"/>
      <c r="W946"/>
      <c r="X946"/>
      <c r="Y946"/>
      <c r="Z946"/>
      <c r="AA946"/>
    </row>
    <row r="947" spans="2:27" s="25" customFormat="1" ht="15.75" customHeight="1" x14ac:dyDescent="0.2">
      <c r="B947" s="89"/>
      <c r="C947"/>
      <c r="D947"/>
      <c r="E947" s="69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  <c r="U947"/>
      <c r="V947"/>
      <c r="W947"/>
      <c r="X947"/>
      <c r="Y947"/>
      <c r="Z947"/>
      <c r="AA947"/>
    </row>
    <row r="948" spans="2:27" s="25" customFormat="1" ht="15.75" customHeight="1" x14ac:dyDescent="0.2">
      <c r="B948" s="89"/>
      <c r="C948"/>
      <c r="D948"/>
      <c r="E948" s="69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  <c r="U948"/>
      <c r="V948"/>
      <c r="W948"/>
      <c r="X948"/>
      <c r="Y948"/>
      <c r="Z948"/>
      <c r="AA948"/>
    </row>
    <row r="949" spans="2:27" s="25" customFormat="1" ht="15.75" customHeight="1" x14ac:dyDescent="0.2">
      <c r="B949" s="89"/>
      <c r="C949"/>
      <c r="D949"/>
      <c r="E949" s="6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  <c r="V949"/>
      <c r="W949"/>
      <c r="X949"/>
      <c r="Y949"/>
      <c r="Z949"/>
      <c r="AA949"/>
    </row>
    <row r="950" spans="2:27" s="25" customFormat="1" ht="15.75" customHeight="1" x14ac:dyDescent="0.2">
      <c r="B950" s="89"/>
      <c r="C950"/>
      <c r="D950"/>
      <c r="E950" s="69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  <c r="U950"/>
      <c r="V950"/>
      <c r="W950"/>
      <c r="X950"/>
      <c r="Y950"/>
      <c r="Z950"/>
      <c r="AA950"/>
    </row>
    <row r="951" spans="2:27" s="25" customFormat="1" ht="15.75" customHeight="1" x14ac:dyDescent="0.2">
      <c r="B951" s="89"/>
      <c r="C951"/>
      <c r="D951"/>
      <c r="E951" s="69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  <c r="V951"/>
      <c r="W951"/>
      <c r="X951"/>
      <c r="Y951"/>
      <c r="Z951"/>
      <c r="AA951"/>
    </row>
    <row r="952" spans="2:27" s="25" customFormat="1" ht="15.75" customHeight="1" x14ac:dyDescent="0.2">
      <c r="B952" s="89"/>
      <c r="C952"/>
      <c r="D952"/>
      <c r="E952" s="69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  <c r="U952"/>
      <c r="V952"/>
      <c r="W952"/>
      <c r="X952"/>
      <c r="Y952"/>
      <c r="Z952"/>
      <c r="AA952"/>
    </row>
    <row r="953" spans="2:27" s="25" customFormat="1" ht="15.75" customHeight="1" x14ac:dyDescent="0.2">
      <c r="B953" s="89"/>
      <c r="C953"/>
      <c r="D953"/>
      <c r="E953" s="69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  <c r="U953"/>
      <c r="V953"/>
      <c r="W953"/>
      <c r="X953"/>
      <c r="Y953"/>
      <c r="Z953"/>
      <c r="AA953"/>
    </row>
    <row r="954" spans="2:27" s="25" customFormat="1" ht="15.75" customHeight="1" x14ac:dyDescent="0.2">
      <c r="B954" s="89"/>
      <c r="C954"/>
      <c r="D954"/>
      <c r="E954" s="69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  <c r="V954"/>
      <c r="W954"/>
      <c r="X954"/>
      <c r="Y954"/>
      <c r="Z954"/>
      <c r="AA954"/>
    </row>
    <row r="955" spans="2:27" s="25" customFormat="1" ht="15.75" customHeight="1" x14ac:dyDescent="0.2">
      <c r="B955" s="89"/>
      <c r="C955"/>
      <c r="D955"/>
      <c r="E955" s="69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  <c r="V955"/>
      <c r="W955"/>
      <c r="X955"/>
      <c r="Y955"/>
      <c r="Z955"/>
      <c r="AA955"/>
    </row>
    <row r="956" spans="2:27" s="25" customFormat="1" ht="15.75" customHeight="1" x14ac:dyDescent="0.2">
      <c r="B956" s="89"/>
      <c r="C956"/>
      <c r="D956"/>
      <c r="E956" s="69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  <c r="U956"/>
      <c r="V956"/>
      <c r="W956"/>
      <c r="X956"/>
      <c r="Y956"/>
      <c r="Z956"/>
      <c r="AA956"/>
    </row>
    <row r="957" spans="2:27" s="25" customFormat="1" ht="15.75" customHeight="1" x14ac:dyDescent="0.2">
      <c r="B957" s="89"/>
      <c r="C957"/>
      <c r="D957"/>
      <c r="E957" s="69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  <c r="V957"/>
      <c r="W957"/>
      <c r="X957"/>
      <c r="Y957"/>
      <c r="Z957"/>
      <c r="AA957"/>
    </row>
    <row r="958" spans="2:27" s="25" customFormat="1" ht="15.75" customHeight="1" x14ac:dyDescent="0.2">
      <c r="B958" s="89"/>
      <c r="C958"/>
      <c r="D958"/>
      <c r="E958" s="69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  <c r="V958"/>
      <c r="W958"/>
      <c r="X958"/>
      <c r="Y958"/>
      <c r="Z958"/>
      <c r="AA958"/>
    </row>
    <row r="959" spans="2:27" s="25" customFormat="1" ht="15.75" customHeight="1" x14ac:dyDescent="0.2">
      <c r="B959" s="89"/>
      <c r="C959"/>
      <c r="D959"/>
      <c r="E959" s="6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  <c r="V959"/>
      <c r="W959"/>
      <c r="X959"/>
      <c r="Y959"/>
      <c r="Z959"/>
      <c r="AA959"/>
    </row>
    <row r="960" spans="2:27" s="25" customFormat="1" ht="15.75" customHeight="1" x14ac:dyDescent="0.2">
      <c r="B960" s="89"/>
      <c r="C960"/>
      <c r="D960"/>
      <c r="E960" s="69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  <c r="U960"/>
      <c r="V960"/>
      <c r="W960"/>
      <c r="X960"/>
      <c r="Y960"/>
      <c r="Z960"/>
      <c r="AA960"/>
    </row>
    <row r="961" spans="2:27" s="25" customFormat="1" ht="15.75" customHeight="1" x14ac:dyDescent="0.2">
      <c r="B961" s="89"/>
      <c r="C961"/>
      <c r="D961"/>
      <c r="E961" s="69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  <c r="V961"/>
      <c r="W961"/>
      <c r="X961"/>
      <c r="Y961"/>
      <c r="Z961"/>
      <c r="AA961"/>
    </row>
    <row r="962" spans="2:27" s="25" customFormat="1" ht="15.75" customHeight="1" x14ac:dyDescent="0.2">
      <c r="B962" s="89"/>
      <c r="C962"/>
      <c r="D962"/>
      <c r="E962" s="69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  <c r="V962"/>
      <c r="W962"/>
      <c r="X962"/>
      <c r="Y962"/>
      <c r="Z962"/>
      <c r="AA962"/>
    </row>
    <row r="963" spans="2:27" s="25" customFormat="1" ht="15.75" customHeight="1" x14ac:dyDescent="0.2">
      <c r="B963" s="89"/>
      <c r="C963"/>
      <c r="D963"/>
      <c r="E963" s="69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  <c r="V963"/>
      <c r="W963"/>
      <c r="X963"/>
      <c r="Y963"/>
      <c r="Z963"/>
      <c r="AA963"/>
    </row>
    <row r="964" spans="2:27" s="25" customFormat="1" ht="15.75" customHeight="1" x14ac:dyDescent="0.2">
      <c r="B964" s="89"/>
      <c r="C964"/>
      <c r="D964"/>
      <c r="E964" s="69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  <c r="V964"/>
      <c r="W964"/>
      <c r="X964"/>
      <c r="Y964"/>
      <c r="Z964"/>
      <c r="AA964"/>
    </row>
    <row r="965" spans="2:27" s="25" customFormat="1" ht="15.75" customHeight="1" x14ac:dyDescent="0.2">
      <c r="B965" s="89"/>
      <c r="C965"/>
      <c r="D965"/>
      <c r="E965" s="69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  <c r="T965"/>
      <c r="U965"/>
      <c r="V965"/>
      <c r="W965"/>
      <c r="X965"/>
      <c r="Y965"/>
      <c r="Z965"/>
      <c r="AA965"/>
    </row>
    <row r="966" spans="2:27" s="25" customFormat="1" ht="15.75" customHeight="1" x14ac:dyDescent="0.2">
      <c r="B966" s="89"/>
      <c r="C966"/>
      <c r="D966"/>
      <c r="E966" s="69"/>
      <c r="F966"/>
      <c r="G966"/>
      <c r="H966"/>
      <c r="I966"/>
      <c r="J966"/>
      <c r="K966"/>
      <c r="L966"/>
      <c r="M966"/>
      <c r="N966"/>
      <c r="O966"/>
      <c r="P966"/>
      <c r="Q966"/>
      <c r="R966"/>
      <c r="S966"/>
      <c r="T966"/>
      <c r="U966"/>
      <c r="V966"/>
      <c r="W966"/>
      <c r="X966"/>
      <c r="Y966"/>
      <c r="Z966"/>
      <c r="AA966"/>
    </row>
    <row r="967" spans="2:27" s="25" customFormat="1" ht="15.75" customHeight="1" x14ac:dyDescent="0.2">
      <c r="B967" s="89"/>
      <c r="C967"/>
      <c r="D967"/>
      <c r="E967" s="69"/>
      <c r="F967"/>
      <c r="G967"/>
      <c r="H967"/>
      <c r="I967"/>
      <c r="J967"/>
      <c r="K967"/>
      <c r="L967"/>
      <c r="M967"/>
      <c r="N967"/>
      <c r="O967"/>
      <c r="P967"/>
      <c r="Q967"/>
      <c r="R967"/>
      <c r="S967"/>
      <c r="T967"/>
      <c r="U967"/>
      <c r="V967"/>
      <c r="W967"/>
      <c r="X967"/>
      <c r="Y967"/>
      <c r="Z967"/>
      <c r="AA967"/>
    </row>
    <row r="968" spans="2:27" s="25" customFormat="1" ht="15.75" customHeight="1" x14ac:dyDescent="0.2">
      <c r="B968" s="89"/>
      <c r="C968"/>
      <c r="D968"/>
      <c r="E968" s="69"/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  <c r="U968"/>
      <c r="V968"/>
      <c r="W968"/>
      <c r="X968"/>
      <c r="Y968"/>
      <c r="Z968"/>
      <c r="AA968"/>
    </row>
    <row r="969" spans="2:27" s="25" customFormat="1" ht="15.75" customHeight="1" x14ac:dyDescent="0.2">
      <c r="B969" s="89"/>
      <c r="C969"/>
      <c r="D969"/>
      <c r="E969" s="69"/>
      <c r="F969"/>
      <c r="G969"/>
      <c r="H969"/>
      <c r="I969"/>
      <c r="J969"/>
      <c r="K969"/>
      <c r="L969"/>
      <c r="M969"/>
      <c r="N969"/>
      <c r="O969"/>
      <c r="P969"/>
      <c r="Q969"/>
      <c r="R969"/>
      <c r="S969"/>
      <c r="T969"/>
      <c r="U969"/>
      <c r="V969"/>
      <c r="W969"/>
      <c r="X969"/>
      <c r="Y969"/>
      <c r="Z969"/>
      <c r="AA969"/>
    </row>
    <row r="970" spans="2:27" s="25" customFormat="1" ht="15.75" customHeight="1" x14ac:dyDescent="0.2">
      <c r="B970" s="89"/>
      <c r="C970"/>
      <c r="D970"/>
      <c r="E970" s="69"/>
      <c r="F970"/>
      <c r="G970"/>
      <c r="H970"/>
      <c r="I970"/>
      <c r="J970"/>
      <c r="K970"/>
      <c r="L970"/>
      <c r="M970"/>
      <c r="N970"/>
      <c r="O970"/>
      <c r="P970"/>
      <c r="Q970"/>
      <c r="R970"/>
      <c r="S970"/>
      <c r="T970"/>
      <c r="U970"/>
      <c r="V970"/>
      <c r="W970"/>
      <c r="X970"/>
      <c r="Y970"/>
      <c r="Z970"/>
      <c r="AA970"/>
    </row>
    <row r="971" spans="2:27" s="25" customFormat="1" ht="15.75" customHeight="1" x14ac:dyDescent="0.2">
      <c r="B971" s="89"/>
      <c r="C971"/>
      <c r="D971"/>
      <c r="E971" s="69"/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  <c r="T971"/>
      <c r="U971"/>
      <c r="V971"/>
      <c r="W971"/>
      <c r="X971"/>
      <c r="Y971"/>
      <c r="Z971"/>
      <c r="AA971"/>
    </row>
    <row r="972" spans="2:27" s="25" customFormat="1" ht="15.75" customHeight="1" x14ac:dyDescent="0.2">
      <c r="B972" s="89"/>
      <c r="C972"/>
      <c r="D972"/>
      <c r="E972" s="69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  <c r="U972"/>
      <c r="V972"/>
      <c r="W972"/>
      <c r="X972"/>
      <c r="Y972"/>
      <c r="Z972"/>
      <c r="AA972"/>
    </row>
    <row r="973" spans="2:27" s="25" customFormat="1" ht="15.75" customHeight="1" x14ac:dyDescent="0.2">
      <c r="B973" s="89"/>
      <c r="C973"/>
      <c r="D973"/>
      <c r="E973" s="69"/>
      <c r="F973"/>
      <c r="G973"/>
      <c r="H973"/>
      <c r="I973"/>
      <c r="J973"/>
      <c r="K973"/>
      <c r="L973"/>
      <c r="M973"/>
      <c r="N973"/>
      <c r="O973"/>
      <c r="P973"/>
      <c r="Q973"/>
      <c r="R973"/>
      <c r="S973"/>
      <c r="T973"/>
      <c r="U973"/>
      <c r="V973"/>
      <c r="W973"/>
      <c r="X973"/>
      <c r="Y973"/>
      <c r="Z973"/>
      <c r="AA973"/>
    </row>
    <row r="974" spans="2:27" s="25" customFormat="1" ht="15.75" customHeight="1" x14ac:dyDescent="0.2">
      <c r="B974" s="89"/>
      <c r="C974"/>
      <c r="D974"/>
      <c r="E974" s="69"/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  <c r="T974"/>
      <c r="U974"/>
      <c r="V974"/>
      <c r="W974"/>
      <c r="X974"/>
      <c r="Y974"/>
      <c r="Z974"/>
      <c r="AA974"/>
    </row>
    <row r="975" spans="2:27" s="25" customFormat="1" ht="15.75" customHeight="1" x14ac:dyDescent="0.2">
      <c r="B975" s="89"/>
      <c r="C975"/>
      <c r="D975"/>
      <c r="E975" s="69"/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  <c r="U975"/>
      <c r="V975"/>
      <c r="W975"/>
      <c r="X975"/>
      <c r="Y975"/>
      <c r="Z975"/>
      <c r="AA975"/>
    </row>
    <row r="976" spans="2:27" s="25" customFormat="1" ht="15.75" customHeight="1" x14ac:dyDescent="0.2">
      <c r="B976" s="89"/>
      <c r="C976"/>
      <c r="D976"/>
      <c r="E976" s="69"/>
      <c r="F976"/>
      <c r="G976"/>
      <c r="H976"/>
      <c r="I976"/>
      <c r="J976"/>
      <c r="K976"/>
      <c r="L976"/>
      <c r="M976"/>
      <c r="N976"/>
      <c r="O976"/>
      <c r="P976"/>
      <c r="Q976"/>
      <c r="R976"/>
      <c r="S976"/>
      <c r="T976"/>
      <c r="U976"/>
      <c r="V976"/>
      <c r="W976"/>
      <c r="X976"/>
      <c r="Y976"/>
      <c r="Z976"/>
      <c r="AA976"/>
    </row>
    <row r="977" spans="2:27" s="25" customFormat="1" ht="15.75" customHeight="1" x14ac:dyDescent="0.2">
      <c r="B977" s="89"/>
      <c r="C977"/>
      <c r="D977"/>
      <c r="E977" s="69"/>
      <c r="F977"/>
      <c r="G977"/>
      <c r="H977"/>
      <c r="I977"/>
      <c r="J977"/>
      <c r="K977"/>
      <c r="L977"/>
      <c r="M977"/>
      <c r="N977"/>
      <c r="O977"/>
      <c r="P977"/>
      <c r="Q977"/>
      <c r="R977"/>
      <c r="S977"/>
      <c r="T977"/>
      <c r="U977"/>
      <c r="V977"/>
      <c r="W977"/>
      <c r="X977"/>
      <c r="Y977"/>
      <c r="Z977"/>
      <c r="AA977"/>
    </row>
    <row r="978" spans="2:27" s="25" customFormat="1" ht="15.75" customHeight="1" x14ac:dyDescent="0.2">
      <c r="B978" s="89"/>
      <c r="C978"/>
      <c r="D978"/>
      <c r="E978" s="69"/>
      <c r="F978"/>
      <c r="G978"/>
      <c r="H978"/>
      <c r="I978"/>
      <c r="J978"/>
      <c r="K978"/>
      <c r="L978"/>
      <c r="M978"/>
      <c r="N978"/>
      <c r="O978"/>
      <c r="P978"/>
      <c r="Q978"/>
      <c r="R978"/>
      <c r="S978"/>
      <c r="T978"/>
      <c r="U978"/>
      <c r="V978"/>
      <c r="W978"/>
      <c r="X978"/>
      <c r="Y978"/>
      <c r="Z978"/>
      <c r="AA978"/>
    </row>
    <row r="979" spans="2:27" s="25" customFormat="1" ht="15.75" customHeight="1" x14ac:dyDescent="0.2">
      <c r="B979" s="89"/>
      <c r="C979"/>
      <c r="D979"/>
      <c r="E979" s="69"/>
      <c r="F979"/>
      <c r="G979"/>
      <c r="H979"/>
      <c r="I979"/>
      <c r="J979"/>
      <c r="K979"/>
      <c r="L979"/>
      <c r="M979"/>
      <c r="N979"/>
      <c r="O979"/>
      <c r="P979"/>
      <c r="Q979"/>
      <c r="R979"/>
      <c r="S979"/>
      <c r="T979"/>
      <c r="U979"/>
      <c r="V979"/>
      <c r="W979"/>
      <c r="X979"/>
      <c r="Y979"/>
      <c r="Z979"/>
      <c r="AA979"/>
    </row>
    <row r="980" spans="2:27" s="25" customFormat="1" ht="15.75" customHeight="1" x14ac:dyDescent="0.2">
      <c r="B980" s="89"/>
      <c r="C980"/>
      <c r="D980"/>
      <c r="E980" s="69"/>
      <c r="F980"/>
      <c r="G980"/>
      <c r="H980"/>
      <c r="I980"/>
      <c r="J980"/>
      <c r="K980"/>
      <c r="L980"/>
      <c r="M980"/>
      <c r="N980"/>
      <c r="O980"/>
      <c r="P980"/>
      <c r="Q980"/>
      <c r="R980"/>
      <c r="S980"/>
      <c r="T980"/>
      <c r="U980"/>
      <c r="V980"/>
      <c r="W980"/>
      <c r="X980"/>
      <c r="Y980"/>
      <c r="Z980"/>
      <c r="AA980"/>
    </row>
    <row r="981" spans="2:27" s="25" customFormat="1" ht="15.75" customHeight="1" x14ac:dyDescent="0.2">
      <c r="B981" s="89"/>
      <c r="C981"/>
      <c r="D981"/>
      <c r="E981" s="69"/>
      <c r="F981"/>
      <c r="G981"/>
      <c r="H981"/>
      <c r="I981"/>
      <c r="J981"/>
      <c r="K981"/>
      <c r="L981"/>
      <c r="M981"/>
      <c r="N981"/>
      <c r="O981"/>
      <c r="P981"/>
      <c r="Q981"/>
      <c r="R981"/>
      <c r="S981"/>
      <c r="T981"/>
      <c r="U981"/>
      <c r="V981"/>
      <c r="W981"/>
      <c r="X981"/>
      <c r="Y981"/>
      <c r="Z981"/>
      <c r="AA981"/>
    </row>
    <row r="982" spans="2:27" s="25" customFormat="1" ht="15.75" customHeight="1" x14ac:dyDescent="0.2">
      <c r="B982" s="89"/>
      <c r="C982"/>
      <c r="D982"/>
      <c r="E982" s="69"/>
      <c r="F982"/>
      <c r="G982"/>
      <c r="H982"/>
      <c r="I982"/>
      <c r="J982"/>
      <c r="K982"/>
      <c r="L982"/>
      <c r="M982"/>
      <c r="N982"/>
      <c r="O982"/>
      <c r="P982"/>
      <c r="Q982"/>
      <c r="R982"/>
      <c r="S982"/>
      <c r="T982"/>
      <c r="U982"/>
      <c r="V982"/>
      <c r="W982"/>
      <c r="X982"/>
      <c r="Y982"/>
      <c r="Z982"/>
      <c r="AA982"/>
    </row>
    <row r="983" spans="2:27" s="25" customFormat="1" ht="15.75" customHeight="1" x14ac:dyDescent="0.2">
      <c r="B983" s="89"/>
      <c r="C983"/>
      <c r="D983"/>
      <c r="E983" s="69"/>
      <c r="F983"/>
      <c r="G983"/>
      <c r="H983"/>
      <c r="I983"/>
      <c r="J983"/>
      <c r="K983"/>
      <c r="L983"/>
      <c r="M983"/>
      <c r="N983"/>
      <c r="O983"/>
      <c r="P983"/>
      <c r="Q983"/>
      <c r="R983"/>
      <c r="S983"/>
      <c r="T983"/>
      <c r="U983"/>
      <c r="V983"/>
      <c r="W983"/>
      <c r="X983"/>
      <c r="Y983"/>
      <c r="Z983"/>
      <c r="AA983"/>
    </row>
    <row r="984" spans="2:27" s="25" customFormat="1" ht="15.75" customHeight="1" x14ac:dyDescent="0.2">
      <c r="B984" s="89"/>
      <c r="C984"/>
      <c r="D984"/>
      <c r="E984" s="69"/>
      <c r="F984"/>
      <c r="G984"/>
      <c r="H984"/>
      <c r="I984"/>
      <c r="J984"/>
      <c r="K984"/>
      <c r="L984"/>
      <c r="M984"/>
      <c r="N984"/>
      <c r="O984"/>
      <c r="P984"/>
      <c r="Q984"/>
      <c r="R984"/>
      <c r="S984"/>
      <c r="T984"/>
      <c r="U984"/>
      <c r="V984"/>
      <c r="W984"/>
      <c r="X984"/>
      <c r="Y984"/>
      <c r="Z984"/>
      <c r="AA984"/>
    </row>
    <row r="985" spans="2:27" s="25" customFormat="1" ht="15.75" customHeight="1" x14ac:dyDescent="0.2">
      <c r="B985" s="89"/>
      <c r="C985"/>
      <c r="D985"/>
      <c r="E985" s="69"/>
      <c r="F985"/>
      <c r="G985"/>
      <c r="H985"/>
      <c r="I985"/>
      <c r="J985"/>
      <c r="K985"/>
      <c r="L985"/>
      <c r="M985"/>
      <c r="N985"/>
      <c r="O985"/>
      <c r="P985"/>
      <c r="Q985"/>
      <c r="R985"/>
      <c r="S985"/>
      <c r="T985"/>
      <c r="U985"/>
      <c r="V985"/>
      <c r="W985"/>
      <c r="X985"/>
      <c r="Y985"/>
      <c r="Z985"/>
      <c r="AA985"/>
    </row>
    <row r="986" spans="2:27" s="25" customFormat="1" ht="15.75" customHeight="1" x14ac:dyDescent="0.2">
      <c r="B986" s="89"/>
      <c r="C986"/>
      <c r="D986"/>
      <c r="E986" s="69"/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  <c r="U986"/>
      <c r="V986"/>
      <c r="W986"/>
      <c r="X986"/>
      <c r="Y986"/>
      <c r="Z986"/>
      <c r="AA986"/>
    </row>
    <row r="987" spans="2:27" s="25" customFormat="1" ht="15.75" customHeight="1" x14ac:dyDescent="0.2">
      <c r="B987" s="89"/>
      <c r="C987"/>
      <c r="D987"/>
      <c r="E987" s="69"/>
      <c r="F987"/>
      <c r="G987"/>
      <c r="H987"/>
      <c r="I987"/>
      <c r="J987"/>
      <c r="K987"/>
      <c r="L987"/>
      <c r="M987"/>
      <c r="N987"/>
      <c r="O987"/>
      <c r="P987"/>
      <c r="Q987"/>
      <c r="R987"/>
      <c r="S987"/>
      <c r="T987"/>
      <c r="U987"/>
      <c r="V987"/>
      <c r="W987"/>
      <c r="X987"/>
      <c r="Y987"/>
      <c r="Z987"/>
      <c r="AA987"/>
    </row>
    <row r="988" spans="2:27" s="25" customFormat="1" ht="15.75" customHeight="1" x14ac:dyDescent="0.2">
      <c r="B988" s="89"/>
      <c r="C988"/>
      <c r="D988"/>
      <c r="E988" s="69"/>
      <c r="F988"/>
      <c r="G988"/>
      <c r="H988"/>
      <c r="I988"/>
      <c r="J988"/>
      <c r="K988"/>
      <c r="L988"/>
      <c r="M988"/>
      <c r="N988"/>
      <c r="O988"/>
      <c r="P988"/>
      <c r="Q988"/>
      <c r="R988"/>
      <c r="S988"/>
      <c r="T988"/>
      <c r="U988"/>
      <c r="V988"/>
      <c r="W988"/>
      <c r="X988"/>
      <c r="Y988"/>
      <c r="Z988"/>
      <c r="AA988"/>
    </row>
    <row r="989" spans="2:27" s="25" customFormat="1" ht="15.75" customHeight="1" x14ac:dyDescent="0.2">
      <c r="B989" s="89"/>
      <c r="C989"/>
      <c r="D989"/>
      <c r="E989" s="69"/>
      <c r="F989"/>
      <c r="G989"/>
      <c r="H989"/>
      <c r="I989"/>
      <c r="J989"/>
      <c r="K989"/>
      <c r="L989"/>
      <c r="M989"/>
      <c r="N989"/>
      <c r="O989"/>
      <c r="P989"/>
      <c r="Q989"/>
      <c r="R989"/>
      <c r="S989"/>
      <c r="T989"/>
      <c r="U989"/>
      <c r="V989"/>
      <c r="W989"/>
      <c r="X989"/>
      <c r="Y989"/>
      <c r="Z989"/>
      <c r="AA989"/>
    </row>
    <row r="990" spans="2:27" s="25" customFormat="1" ht="15.75" customHeight="1" x14ac:dyDescent="0.2">
      <c r="B990" s="89"/>
      <c r="C990"/>
      <c r="D990"/>
      <c r="E990" s="69"/>
      <c r="F990"/>
      <c r="G990"/>
      <c r="H990"/>
      <c r="I990"/>
      <c r="J990"/>
      <c r="K990"/>
      <c r="L990"/>
      <c r="M990"/>
      <c r="N990"/>
      <c r="O990"/>
      <c r="P990"/>
      <c r="Q990"/>
      <c r="R990"/>
      <c r="S990"/>
      <c r="T990"/>
      <c r="U990"/>
      <c r="V990"/>
      <c r="W990"/>
      <c r="X990"/>
      <c r="Y990"/>
      <c r="Z990"/>
      <c r="AA990"/>
    </row>
    <row r="991" spans="2:27" s="25" customFormat="1" ht="15.75" customHeight="1" x14ac:dyDescent="0.2">
      <c r="B991" s="89"/>
      <c r="C991"/>
      <c r="D991"/>
      <c r="E991" s="69"/>
      <c r="F991"/>
      <c r="G991"/>
      <c r="H991"/>
      <c r="I991"/>
      <c r="J991"/>
      <c r="K991"/>
      <c r="L991"/>
      <c r="M991"/>
      <c r="N991"/>
      <c r="O991"/>
      <c r="P991"/>
      <c r="Q991"/>
      <c r="R991"/>
      <c r="S991"/>
      <c r="T991"/>
      <c r="U991"/>
      <c r="V991"/>
      <c r="W991"/>
      <c r="X991"/>
      <c r="Y991"/>
      <c r="Z991"/>
      <c r="AA991"/>
    </row>
    <row r="992" spans="2:27" s="25" customFormat="1" ht="15.75" customHeight="1" x14ac:dyDescent="0.2">
      <c r="B992" s="89"/>
      <c r="C992"/>
      <c r="D992"/>
      <c r="E992" s="69"/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  <c r="T992"/>
      <c r="U992"/>
      <c r="V992"/>
      <c r="W992"/>
      <c r="X992"/>
      <c r="Y992"/>
      <c r="Z992"/>
      <c r="AA992"/>
    </row>
    <row r="993" spans="2:27" s="25" customFormat="1" ht="15.75" customHeight="1" x14ac:dyDescent="0.2">
      <c r="B993" s="89"/>
      <c r="C993"/>
      <c r="D993"/>
      <c r="E993" s="69"/>
      <c r="F993"/>
      <c r="G993"/>
      <c r="H993"/>
      <c r="I993"/>
      <c r="J993"/>
      <c r="K993"/>
      <c r="L993"/>
      <c r="M993"/>
      <c r="N993"/>
      <c r="O993"/>
      <c r="P993"/>
      <c r="Q993"/>
      <c r="R993"/>
      <c r="S993"/>
      <c r="T993"/>
      <c r="U993"/>
      <c r="V993"/>
      <c r="W993"/>
      <c r="X993"/>
      <c r="Y993"/>
      <c r="Z993"/>
      <c r="AA993"/>
    </row>
    <row r="994" spans="2:27" s="25" customFormat="1" ht="15.75" customHeight="1" x14ac:dyDescent="0.2">
      <c r="B994" s="89"/>
      <c r="C994"/>
      <c r="D994"/>
      <c r="E994" s="69"/>
      <c r="F994"/>
      <c r="G994"/>
      <c r="H994"/>
      <c r="I994"/>
      <c r="J994"/>
      <c r="K994"/>
      <c r="L994"/>
      <c r="M994"/>
      <c r="N994"/>
      <c r="O994"/>
      <c r="P994"/>
      <c r="Q994"/>
      <c r="R994"/>
      <c r="S994"/>
      <c r="T994"/>
      <c r="U994"/>
      <c r="V994"/>
      <c r="W994"/>
      <c r="X994"/>
      <c r="Y994"/>
      <c r="Z994"/>
      <c r="AA994"/>
    </row>
    <row r="995" spans="2:27" s="25" customFormat="1" ht="15.75" customHeight="1" x14ac:dyDescent="0.2">
      <c r="B995" s="89"/>
      <c r="C995"/>
      <c r="D995"/>
      <c r="E995" s="69"/>
      <c r="F995"/>
      <c r="G995"/>
      <c r="H995"/>
      <c r="I995"/>
      <c r="J995"/>
      <c r="K995"/>
      <c r="L995"/>
      <c r="M995"/>
      <c r="N995"/>
      <c r="O995"/>
      <c r="P995"/>
      <c r="Q995"/>
      <c r="R995"/>
      <c r="S995"/>
      <c r="T995"/>
      <c r="U995"/>
      <c r="V995"/>
      <c r="W995"/>
      <c r="X995"/>
      <c r="Y995"/>
      <c r="Z995"/>
      <c r="AA995"/>
    </row>
  </sheetData>
  <mergeCells count="11">
    <mergeCell ref="B7:E7"/>
    <mergeCell ref="F7:G7"/>
    <mergeCell ref="B8:E8"/>
    <mergeCell ref="F8:G8"/>
    <mergeCell ref="E1:E3"/>
    <mergeCell ref="B4:E4"/>
    <mergeCell ref="F4:G4"/>
    <mergeCell ref="B5:E5"/>
    <mergeCell ref="F5:G5"/>
    <mergeCell ref="B6:E6"/>
    <mergeCell ref="F6:G6"/>
  </mergeCells>
  <conditionalFormatting sqref="A4:B8 A9:H1048576">
    <cfRule type="expression" dxfId="53" priority="1">
      <formula>ISNUMBER(SEARCH("Holiday", $E4))</formula>
    </cfRule>
    <cfRule type="expression" dxfId="52" priority="2">
      <formula>AND(WEEKDAY($A4,2)&lt;6, $A4&lt;&gt;"")</formula>
    </cfRule>
  </conditionalFormatting>
  <conditionalFormatting sqref="A1:H3">
    <cfRule type="expression" dxfId="51" priority="25">
      <formula>ISNUMBER(SEARCH("Holiday", $E1))</formula>
    </cfRule>
    <cfRule type="expression" dxfId="50" priority="26">
      <formula>AND(WEEKDAY($A1,2)&lt;6, $A1&lt;&gt;"")</formula>
    </cfRule>
  </conditionalFormatting>
  <conditionalFormatting sqref="F4:H8">
    <cfRule type="expression" dxfId="49" priority="3">
      <formula>ISNUMBER(SEARCH("Holiday", $E4))</formula>
    </cfRule>
    <cfRule type="expression" dxfId="48" priority="4">
      <formula>AND(WEEKDAY($A4,2)&lt;6, $A4&lt;&gt;"")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E3D98-A23D-429E-9466-0CCB3EF1153D}">
  <dimension ref="A1:AA996"/>
  <sheetViews>
    <sheetView topLeftCell="A12" workbookViewId="0">
      <selection activeCell="E38" sqref="E38"/>
    </sheetView>
  </sheetViews>
  <sheetFormatPr defaultColWidth="12.5" defaultRowHeight="14.25" x14ac:dyDescent="0.2"/>
  <cols>
    <col min="1" max="1" width="20.25" style="25" bestFit="1" customWidth="1"/>
    <col min="2" max="2" width="7.375" style="89" bestFit="1" customWidth="1"/>
    <col min="3" max="3" width="11" customWidth="1"/>
    <col min="4" max="4" width="11.25" customWidth="1"/>
    <col min="5" max="5" width="28" style="69" customWidth="1"/>
    <col min="7" max="7" width="12" customWidth="1"/>
    <col min="8" max="8" width="19" customWidth="1"/>
    <col min="9" max="9" width="7.75" customWidth="1"/>
    <col min="10" max="10" width="94.25" bestFit="1" customWidth="1"/>
    <col min="11" max="13" width="7.75" customWidth="1"/>
    <col min="14" max="14" width="9" customWidth="1"/>
    <col min="15" max="27" width="7.75" customWidth="1"/>
  </cols>
  <sheetData>
    <row r="1" spans="1:27" ht="17.25" customHeight="1" x14ac:dyDescent="0.25">
      <c r="A1" s="48"/>
      <c r="B1" s="81"/>
      <c r="C1" s="49"/>
      <c r="D1" s="49"/>
      <c r="E1" s="97" t="s">
        <v>0</v>
      </c>
      <c r="F1" s="50"/>
      <c r="G1" s="51"/>
      <c r="H1" s="52"/>
      <c r="K1" s="28"/>
      <c r="L1" s="28"/>
      <c r="M1" s="28"/>
      <c r="N1" s="28"/>
      <c r="O1" s="28"/>
      <c r="P1" s="28"/>
    </row>
    <row r="2" spans="1:27" ht="17.25" customHeight="1" x14ac:dyDescent="0.25">
      <c r="A2" s="53"/>
      <c r="B2" s="82"/>
      <c r="C2" s="54"/>
      <c r="D2" s="54"/>
      <c r="E2" s="98"/>
      <c r="F2" s="55"/>
      <c r="G2" s="56"/>
      <c r="H2" s="57"/>
      <c r="J2" s="26" t="s">
        <v>17</v>
      </c>
      <c r="K2" s="29"/>
      <c r="L2" s="29"/>
      <c r="M2" s="30"/>
      <c r="N2" s="31"/>
      <c r="O2" s="28"/>
      <c r="P2" s="28"/>
    </row>
    <row r="3" spans="1:27" ht="15.75" x14ac:dyDescent="0.25">
      <c r="A3" s="58"/>
      <c r="B3" s="83"/>
      <c r="C3" s="59"/>
      <c r="D3" s="59"/>
      <c r="E3" s="99"/>
      <c r="F3" s="60"/>
      <c r="G3" s="61"/>
      <c r="H3" s="62"/>
      <c r="J3" s="27" t="s">
        <v>18</v>
      </c>
      <c r="K3" s="29"/>
      <c r="L3" s="29"/>
      <c r="M3" s="32"/>
      <c r="N3" s="33"/>
      <c r="O3" s="34"/>
      <c r="P3" s="35"/>
    </row>
    <row r="4" spans="1:27" ht="15" x14ac:dyDescent="0.25">
      <c r="A4" s="21" t="s">
        <v>1</v>
      </c>
      <c r="B4" s="94"/>
      <c r="C4" s="95"/>
      <c r="D4" s="95"/>
      <c r="E4" s="96"/>
      <c r="F4" s="91" t="s">
        <v>2</v>
      </c>
      <c r="G4" s="92"/>
      <c r="H4" s="1"/>
      <c r="J4" s="25"/>
      <c r="K4" s="20"/>
      <c r="L4" s="20"/>
      <c r="M4" s="14"/>
      <c r="N4" s="15"/>
    </row>
    <row r="5" spans="1:27" ht="15" x14ac:dyDescent="0.25">
      <c r="A5" s="21" t="s">
        <v>43</v>
      </c>
      <c r="B5" s="94"/>
      <c r="C5" s="95"/>
      <c r="D5" s="95"/>
      <c r="E5" s="96"/>
      <c r="F5" s="91" t="s">
        <v>3</v>
      </c>
      <c r="G5" s="92"/>
      <c r="H5" s="1"/>
      <c r="J5" s="26" t="s">
        <v>19</v>
      </c>
      <c r="K5" s="19"/>
      <c r="L5" s="19"/>
      <c r="M5" s="14"/>
      <c r="N5" s="15"/>
    </row>
    <row r="6" spans="1:27" ht="15" x14ac:dyDescent="0.25">
      <c r="A6" s="21" t="s">
        <v>4</v>
      </c>
      <c r="B6" s="94"/>
      <c r="C6" s="95"/>
      <c r="D6" s="95"/>
      <c r="E6" s="96"/>
      <c r="F6" s="91" t="s">
        <v>6</v>
      </c>
      <c r="G6" s="92"/>
      <c r="H6" s="1"/>
      <c r="J6" s="26" t="s">
        <v>30</v>
      </c>
      <c r="K6" s="19"/>
      <c r="L6" s="19"/>
      <c r="M6" s="14"/>
      <c r="N6" s="15"/>
    </row>
    <row r="7" spans="1:27" ht="15" x14ac:dyDescent="0.25">
      <c r="A7" s="21" t="s">
        <v>5</v>
      </c>
      <c r="B7" s="94"/>
      <c r="C7" s="95"/>
      <c r="D7" s="95"/>
      <c r="E7" s="96"/>
      <c r="F7" s="91" t="s">
        <v>8</v>
      </c>
      <c r="G7" s="92"/>
      <c r="H7" s="1"/>
    </row>
    <row r="8" spans="1:27" ht="15" x14ac:dyDescent="0.25">
      <c r="A8" s="21" t="s">
        <v>7</v>
      </c>
      <c r="B8" s="94"/>
      <c r="C8" s="95"/>
      <c r="D8" s="95"/>
      <c r="E8" s="96"/>
      <c r="F8" s="93"/>
      <c r="G8" s="92"/>
      <c r="H8" s="2"/>
    </row>
    <row r="9" spans="1:27" ht="15" x14ac:dyDescent="0.25">
      <c r="A9" s="78"/>
      <c r="B9" s="84"/>
      <c r="C9" s="77"/>
      <c r="D9" s="77"/>
      <c r="E9" s="77"/>
      <c r="F9" s="77"/>
      <c r="G9" s="77"/>
      <c r="H9" s="77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ht="15" x14ac:dyDescent="0.25">
      <c r="A10" s="40" t="s">
        <v>9</v>
      </c>
      <c r="B10" s="85" t="s">
        <v>31</v>
      </c>
      <c r="C10" s="41" t="s">
        <v>10</v>
      </c>
      <c r="D10" s="41" t="s">
        <v>11</v>
      </c>
      <c r="E10" s="42" t="s">
        <v>12</v>
      </c>
      <c r="F10" s="43" t="s">
        <v>13</v>
      </c>
      <c r="G10" s="42" t="s">
        <v>14</v>
      </c>
      <c r="H10" s="42" t="s">
        <v>15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1:27" s="37" customFormat="1" ht="15" x14ac:dyDescent="0.25">
      <c r="A11" s="75">
        <f>'April 2026'!A52+1</f>
        <v>46143</v>
      </c>
      <c r="B11" s="79">
        <f>WEEKNUM(A11, 2)</f>
        <v>18</v>
      </c>
      <c r="C11" s="71"/>
      <c r="D11" s="71"/>
      <c r="E11" s="76"/>
      <c r="F11" s="73"/>
      <c r="G11" s="73"/>
      <c r="H11" s="73">
        <f t="shared" ref="H11" si="0">SUM(F11:G11)</f>
        <v>0</v>
      </c>
    </row>
    <row r="12" spans="1:27" s="37" customFormat="1" ht="15" x14ac:dyDescent="0.25">
      <c r="A12" s="70">
        <f>A11+1</f>
        <v>46144</v>
      </c>
      <c r="B12" s="79">
        <f t="shared" ref="B12:B18" si="1">WEEKNUM(A12, 2)</f>
        <v>18</v>
      </c>
      <c r="C12" s="71"/>
      <c r="D12" s="71"/>
      <c r="E12" s="72"/>
      <c r="F12" s="73"/>
      <c r="G12" s="73"/>
      <c r="H12" s="73">
        <f>SUM(F12:G12)</f>
        <v>0</v>
      </c>
    </row>
    <row r="13" spans="1:27" s="37" customFormat="1" ht="15" x14ac:dyDescent="0.25">
      <c r="A13" s="70">
        <f>A12+1</f>
        <v>46145</v>
      </c>
      <c r="B13" s="79">
        <f t="shared" si="1"/>
        <v>18</v>
      </c>
      <c r="C13" s="71"/>
      <c r="D13" s="71"/>
      <c r="E13" s="72"/>
      <c r="F13" s="73"/>
      <c r="G13" s="73"/>
      <c r="H13" s="73">
        <f t="shared" ref="H13:H18" si="2">SUM(F13:G13)</f>
        <v>0</v>
      </c>
    </row>
    <row r="14" spans="1:27" s="28" customFormat="1" ht="15.75" customHeight="1" x14ac:dyDescent="0.2">
      <c r="A14" s="44" t="s">
        <v>36</v>
      </c>
      <c r="B14" s="80"/>
      <c r="C14" s="45"/>
      <c r="D14" s="45"/>
      <c r="E14" s="63"/>
      <c r="F14" s="46">
        <f ca="1">SUMIF($B:$E,RIGHT($A14,2),F:F)</f>
        <v>0</v>
      </c>
      <c r="G14" s="46">
        <f ca="1">SUMIF($B:$E,RIGHT($A14,2),G:G)</f>
        <v>0</v>
      </c>
      <c r="H14" s="47">
        <f ca="1">SUMIF($B:$E,RIGHT($A14,2),H:H)</f>
        <v>0</v>
      </c>
    </row>
    <row r="15" spans="1:27" s="28" customFormat="1" ht="15.75" customHeight="1" x14ac:dyDescent="0.2">
      <c r="A15" s="36"/>
      <c r="B15" s="86"/>
      <c r="C15" s="34"/>
      <c r="D15" s="34"/>
      <c r="E15" s="64"/>
      <c r="F15" s="38"/>
      <c r="G15" s="38"/>
      <c r="H15" s="39"/>
    </row>
    <row r="16" spans="1:27" ht="15" x14ac:dyDescent="0.25">
      <c r="A16" s="40" t="s">
        <v>9</v>
      </c>
      <c r="B16" s="85" t="s">
        <v>31</v>
      </c>
      <c r="C16" s="41" t="s">
        <v>10</v>
      </c>
      <c r="D16" s="41" t="s">
        <v>11</v>
      </c>
      <c r="E16" s="42" t="s">
        <v>12</v>
      </c>
      <c r="F16" s="43" t="s">
        <v>13</v>
      </c>
      <c r="G16" s="42" t="s">
        <v>14</v>
      </c>
      <c r="H16" s="42" t="s">
        <v>15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spans="1:27" s="37" customFormat="1" ht="15" x14ac:dyDescent="0.25">
      <c r="A17" s="70">
        <f t="shared" ref="A17" si="3">A13+1</f>
        <v>46146</v>
      </c>
      <c r="B17" s="79">
        <f t="shared" si="1"/>
        <v>19</v>
      </c>
      <c r="C17" s="71"/>
      <c r="D17" s="71"/>
      <c r="E17" s="72"/>
      <c r="F17" s="73"/>
      <c r="G17" s="73"/>
      <c r="H17" s="73">
        <f t="shared" si="2"/>
        <v>0</v>
      </c>
    </row>
    <row r="18" spans="1:27" ht="15.75" customHeight="1" x14ac:dyDescent="0.25">
      <c r="A18" s="70">
        <f>A17+1</f>
        <v>46147</v>
      </c>
      <c r="B18" s="79">
        <f t="shared" si="1"/>
        <v>19</v>
      </c>
      <c r="C18" s="71"/>
      <c r="D18" s="71"/>
      <c r="E18" s="72"/>
      <c r="F18" s="73"/>
      <c r="G18" s="73"/>
      <c r="H18" s="73">
        <f t="shared" si="2"/>
        <v>0</v>
      </c>
    </row>
    <row r="19" spans="1:27" ht="15.75" customHeight="1" x14ac:dyDescent="0.25">
      <c r="A19" s="70">
        <f>A18+1</f>
        <v>46148</v>
      </c>
      <c r="B19" s="79">
        <f>WEEKNUM(A19, 2)</f>
        <v>19</v>
      </c>
      <c r="C19" s="71"/>
      <c r="D19" s="71"/>
      <c r="E19" s="74"/>
      <c r="F19" s="73"/>
      <c r="G19" s="73"/>
      <c r="H19" s="73">
        <f>SUM(F19:G19)</f>
        <v>0</v>
      </c>
    </row>
    <row r="20" spans="1:27" ht="15.75" customHeight="1" x14ac:dyDescent="0.25">
      <c r="A20" s="70">
        <f>A19+1</f>
        <v>46149</v>
      </c>
      <c r="B20" s="79">
        <f t="shared" ref="B20:B28" si="4">WEEKNUM(A20, 2)</f>
        <v>19</v>
      </c>
      <c r="C20" s="71"/>
      <c r="D20" s="71"/>
      <c r="E20" s="72"/>
      <c r="F20" s="73"/>
      <c r="G20" s="73"/>
      <c r="H20" s="73">
        <f>SUM(F20:G20)</f>
        <v>0</v>
      </c>
    </row>
    <row r="21" spans="1:27" ht="15.75" customHeight="1" x14ac:dyDescent="0.25">
      <c r="A21" s="70">
        <f>A20+1</f>
        <v>46150</v>
      </c>
      <c r="B21" s="79">
        <f t="shared" si="4"/>
        <v>19</v>
      </c>
      <c r="C21" s="71"/>
      <c r="D21" s="71"/>
      <c r="E21" s="74"/>
      <c r="F21" s="73"/>
      <c r="G21" s="73"/>
      <c r="H21" s="73">
        <f t="shared" ref="H21:H28" si="5">SUM(F21:G21)</f>
        <v>0</v>
      </c>
    </row>
    <row r="22" spans="1:27" ht="15.75" customHeight="1" x14ac:dyDescent="0.25">
      <c r="A22" s="70">
        <f t="shared" ref="A22" si="6">A21+1</f>
        <v>46151</v>
      </c>
      <c r="B22" s="79">
        <f t="shared" si="4"/>
        <v>19</v>
      </c>
      <c r="C22" s="71"/>
      <c r="D22" s="71"/>
      <c r="E22" s="72"/>
      <c r="F22" s="73"/>
      <c r="G22" s="73"/>
      <c r="H22" s="73">
        <f t="shared" si="5"/>
        <v>0</v>
      </c>
    </row>
    <row r="23" spans="1:27" ht="15.75" customHeight="1" x14ac:dyDescent="0.25">
      <c r="A23" s="70">
        <f>A22+1</f>
        <v>46152</v>
      </c>
      <c r="B23" s="79">
        <f t="shared" si="4"/>
        <v>19</v>
      </c>
      <c r="C23" s="71"/>
      <c r="D23" s="71"/>
      <c r="E23" s="74"/>
      <c r="F23" s="73"/>
      <c r="G23" s="73"/>
      <c r="H23" s="73">
        <f t="shared" si="5"/>
        <v>0</v>
      </c>
    </row>
    <row r="24" spans="1:27" s="28" customFormat="1" ht="15.75" customHeight="1" x14ac:dyDescent="0.2">
      <c r="A24" s="44" t="str">
        <f>"Total of Week "&amp;RIGHT(A14,2)+1</f>
        <v>Total of Week 19</v>
      </c>
      <c r="B24" s="80"/>
      <c r="C24" s="45"/>
      <c r="D24" s="45"/>
      <c r="E24" s="63"/>
      <c r="F24" s="46">
        <f ca="1">SUMIF($B:$E,RIGHT($A24,2),F:F)</f>
        <v>0</v>
      </c>
      <c r="G24" s="46">
        <f ca="1">SUMIF($B:$E,RIGHT($A24,2),G:G)</f>
        <v>0</v>
      </c>
      <c r="H24" s="47">
        <f ca="1">SUMIF($B:$E,RIGHT($A24,2),H:H)</f>
        <v>0</v>
      </c>
    </row>
    <row r="25" spans="1:27" ht="15.75" customHeight="1" x14ac:dyDescent="0.25">
      <c r="A25" s="22"/>
      <c r="B25" s="87"/>
      <c r="C25" s="5"/>
      <c r="D25" s="5"/>
      <c r="E25" s="65"/>
      <c r="F25" s="6"/>
      <c r="G25" s="5"/>
      <c r="H25" s="7"/>
    </row>
    <row r="26" spans="1:27" ht="15" x14ac:dyDescent="0.25">
      <c r="A26" s="40" t="s">
        <v>9</v>
      </c>
      <c r="B26" s="85" t="s">
        <v>31</v>
      </c>
      <c r="C26" s="41" t="s">
        <v>10</v>
      </c>
      <c r="D26" s="41" t="s">
        <v>11</v>
      </c>
      <c r="E26" s="42" t="s">
        <v>12</v>
      </c>
      <c r="F26" s="43" t="s">
        <v>13</v>
      </c>
      <c r="G26" s="42" t="s">
        <v>14</v>
      </c>
      <c r="H26" s="42" t="s">
        <v>15</v>
      </c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spans="1:27" ht="15.75" customHeight="1" x14ac:dyDescent="0.25">
      <c r="A27" s="70">
        <f>A23+1</f>
        <v>46153</v>
      </c>
      <c r="B27" s="79">
        <f>WEEKNUM(A27, 2)</f>
        <v>20</v>
      </c>
      <c r="C27" s="71"/>
      <c r="D27" s="71"/>
      <c r="E27" s="72"/>
      <c r="F27" s="73"/>
      <c r="G27" s="73"/>
      <c r="H27" s="73">
        <f t="shared" si="5"/>
        <v>0</v>
      </c>
    </row>
    <row r="28" spans="1:27" ht="15.75" customHeight="1" x14ac:dyDescent="0.25">
      <c r="A28" s="70">
        <f>A27+1</f>
        <v>46154</v>
      </c>
      <c r="B28" s="79">
        <f t="shared" si="4"/>
        <v>20</v>
      </c>
      <c r="C28" s="71"/>
      <c r="D28" s="71"/>
      <c r="E28" s="72"/>
      <c r="F28" s="73"/>
      <c r="G28" s="73"/>
      <c r="H28" s="73">
        <f t="shared" si="5"/>
        <v>0</v>
      </c>
    </row>
    <row r="29" spans="1:27" ht="15.75" customHeight="1" x14ac:dyDescent="0.25">
      <c r="A29" s="70">
        <f>A28+1</f>
        <v>46155</v>
      </c>
      <c r="B29" s="79">
        <f>WEEKNUM(A29, 2)</f>
        <v>20</v>
      </c>
      <c r="C29" s="71"/>
      <c r="D29" s="71"/>
      <c r="E29" s="74"/>
      <c r="F29" s="73"/>
      <c r="G29" s="73"/>
      <c r="H29" s="73">
        <f>SUM(F29:G29)</f>
        <v>0</v>
      </c>
    </row>
    <row r="30" spans="1:27" ht="15.75" customHeight="1" x14ac:dyDescent="0.25">
      <c r="A30" s="70">
        <f>A29+1</f>
        <v>46156</v>
      </c>
      <c r="B30" s="79">
        <f t="shared" ref="B30:B38" si="7">WEEKNUM(A30, 2)</f>
        <v>20</v>
      </c>
      <c r="C30" s="71"/>
      <c r="D30" s="71"/>
      <c r="E30" s="72"/>
      <c r="F30" s="73"/>
      <c r="G30" s="73"/>
      <c r="H30" s="73">
        <f>SUM(F30:G30)</f>
        <v>0</v>
      </c>
    </row>
    <row r="31" spans="1:27" ht="15.75" customHeight="1" x14ac:dyDescent="0.25">
      <c r="A31" s="70">
        <f>A30+1</f>
        <v>46157</v>
      </c>
      <c r="B31" s="79">
        <f t="shared" si="7"/>
        <v>20</v>
      </c>
      <c r="C31" s="71"/>
      <c r="D31" s="71"/>
      <c r="E31" s="74"/>
      <c r="F31" s="73"/>
      <c r="G31" s="73"/>
      <c r="H31" s="73">
        <f t="shared" ref="H31:H38" si="8">SUM(F31:G31)</f>
        <v>0</v>
      </c>
    </row>
    <row r="32" spans="1:27" ht="15.75" customHeight="1" x14ac:dyDescent="0.25">
      <c r="A32" s="70">
        <f t="shared" ref="A32" si="9">A31+1</f>
        <v>46158</v>
      </c>
      <c r="B32" s="79">
        <f t="shared" si="7"/>
        <v>20</v>
      </c>
      <c r="C32" s="71"/>
      <c r="D32" s="71"/>
      <c r="E32" s="72"/>
      <c r="F32" s="73"/>
      <c r="G32" s="73"/>
      <c r="H32" s="73">
        <f t="shared" si="8"/>
        <v>0</v>
      </c>
    </row>
    <row r="33" spans="1:27" ht="15.75" customHeight="1" x14ac:dyDescent="0.25">
      <c r="A33" s="70">
        <f>A32+1</f>
        <v>46159</v>
      </c>
      <c r="B33" s="79">
        <f t="shared" si="7"/>
        <v>20</v>
      </c>
      <c r="C33" s="71"/>
      <c r="D33" s="71"/>
      <c r="E33" s="74"/>
      <c r="F33" s="73"/>
      <c r="G33" s="73"/>
      <c r="H33" s="73">
        <f t="shared" si="8"/>
        <v>0</v>
      </c>
    </row>
    <row r="34" spans="1:27" s="28" customFormat="1" ht="15.75" customHeight="1" x14ac:dyDescent="0.2">
      <c r="A34" s="44" t="str">
        <f>"Total of Week "&amp;RIGHT(A24,2)+1</f>
        <v>Total of Week 20</v>
      </c>
      <c r="B34" s="80"/>
      <c r="C34" s="45"/>
      <c r="D34" s="45"/>
      <c r="E34" s="63"/>
      <c r="F34" s="46">
        <f ca="1">SUMIF($B:$E,RIGHT($A34,2),F:F)</f>
        <v>0</v>
      </c>
      <c r="G34" s="46">
        <f ca="1">SUMIF($B:$E,RIGHT($A34,2),G:G)</f>
        <v>0</v>
      </c>
      <c r="H34" s="47">
        <f ca="1">SUMIF($B:$E,RIGHT($A34,2),H:H)</f>
        <v>0</v>
      </c>
    </row>
    <row r="35" spans="1:27" ht="15.75" customHeight="1" x14ac:dyDescent="0.25">
      <c r="A35" s="22"/>
      <c r="B35" s="87"/>
      <c r="C35" s="5"/>
      <c r="D35" s="5"/>
      <c r="E35" s="65"/>
      <c r="F35" s="6"/>
      <c r="G35" s="5"/>
      <c r="H35" s="7"/>
    </row>
    <row r="36" spans="1:27" ht="15" x14ac:dyDescent="0.25">
      <c r="A36" s="40" t="s">
        <v>9</v>
      </c>
      <c r="B36" s="85" t="s">
        <v>31</v>
      </c>
      <c r="C36" s="41" t="s">
        <v>10</v>
      </c>
      <c r="D36" s="41" t="s">
        <v>11</v>
      </c>
      <c r="E36" s="42" t="s">
        <v>12</v>
      </c>
      <c r="F36" s="43" t="s">
        <v>13</v>
      </c>
      <c r="G36" s="42" t="s">
        <v>14</v>
      </c>
      <c r="H36" s="42" t="s">
        <v>15</v>
      </c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spans="1:27" ht="15.75" customHeight="1" x14ac:dyDescent="0.25">
      <c r="A37" s="70">
        <f>A33+1</f>
        <v>46160</v>
      </c>
      <c r="B37" s="79">
        <f>WEEKNUM(A37, 2)</f>
        <v>21</v>
      </c>
      <c r="C37" s="71"/>
      <c r="D37" s="71"/>
      <c r="E37" s="72" t="s">
        <v>22</v>
      </c>
      <c r="F37" s="73"/>
      <c r="G37" s="73"/>
      <c r="H37" s="73">
        <f t="shared" si="8"/>
        <v>0</v>
      </c>
    </row>
    <row r="38" spans="1:27" ht="15.75" customHeight="1" x14ac:dyDescent="0.25">
      <c r="A38" s="70">
        <f>A37+1</f>
        <v>46161</v>
      </c>
      <c r="B38" s="79">
        <f t="shared" si="7"/>
        <v>21</v>
      </c>
      <c r="C38" s="71"/>
      <c r="D38" s="71"/>
      <c r="E38" s="72"/>
      <c r="F38" s="73"/>
      <c r="G38" s="73"/>
      <c r="H38" s="73">
        <f t="shared" si="8"/>
        <v>0</v>
      </c>
    </row>
    <row r="39" spans="1:27" ht="15.75" customHeight="1" x14ac:dyDescent="0.25">
      <c r="A39" s="70">
        <f>A38+1</f>
        <v>46162</v>
      </c>
      <c r="B39" s="79">
        <f>WEEKNUM(A39, 2)</f>
        <v>21</v>
      </c>
      <c r="C39" s="71"/>
      <c r="D39" s="71"/>
      <c r="E39" s="74"/>
      <c r="F39" s="73"/>
      <c r="G39" s="73"/>
      <c r="H39" s="73">
        <f>SUM(F39:G39)</f>
        <v>0</v>
      </c>
    </row>
    <row r="40" spans="1:27" ht="15.75" customHeight="1" x14ac:dyDescent="0.25">
      <c r="A40" s="70">
        <f>A39+1</f>
        <v>46163</v>
      </c>
      <c r="B40" s="79">
        <f t="shared" ref="B40:B48" si="10">WEEKNUM(A40, 2)</f>
        <v>21</v>
      </c>
      <c r="C40" s="71"/>
      <c r="D40" s="71"/>
      <c r="E40" s="72"/>
      <c r="F40" s="73"/>
      <c r="G40" s="73"/>
      <c r="H40" s="73">
        <f>SUM(F40:G40)</f>
        <v>0</v>
      </c>
    </row>
    <row r="41" spans="1:27" ht="15.75" customHeight="1" x14ac:dyDescent="0.25">
      <c r="A41" s="70">
        <f>A40+1</f>
        <v>46164</v>
      </c>
      <c r="B41" s="79">
        <f t="shared" si="10"/>
        <v>21</v>
      </c>
      <c r="C41" s="71"/>
      <c r="D41" s="71"/>
      <c r="E41" s="74"/>
      <c r="F41" s="73"/>
      <c r="G41" s="73"/>
      <c r="H41" s="73">
        <f t="shared" ref="H41:H48" si="11">SUM(F41:G41)</f>
        <v>0</v>
      </c>
    </row>
    <row r="42" spans="1:27" ht="15.75" customHeight="1" x14ac:dyDescent="0.25">
      <c r="A42" s="70">
        <f t="shared" ref="A42" si="12">A41+1</f>
        <v>46165</v>
      </c>
      <c r="B42" s="79">
        <f t="shared" si="10"/>
        <v>21</v>
      </c>
      <c r="C42" s="71"/>
      <c r="D42" s="71"/>
      <c r="E42" s="72"/>
      <c r="F42" s="73"/>
      <c r="G42" s="73"/>
      <c r="H42" s="73">
        <f t="shared" si="11"/>
        <v>0</v>
      </c>
    </row>
    <row r="43" spans="1:27" ht="15.75" customHeight="1" x14ac:dyDescent="0.25">
      <c r="A43" s="70">
        <f>A42+1</f>
        <v>46166</v>
      </c>
      <c r="B43" s="79">
        <f t="shared" si="10"/>
        <v>21</v>
      </c>
      <c r="C43" s="71"/>
      <c r="D43" s="71"/>
      <c r="E43" s="74"/>
      <c r="F43" s="73"/>
      <c r="G43" s="73"/>
      <c r="H43" s="73">
        <f t="shared" si="11"/>
        <v>0</v>
      </c>
    </row>
    <row r="44" spans="1:27" s="28" customFormat="1" ht="15.75" customHeight="1" x14ac:dyDescent="0.2">
      <c r="A44" s="44" t="str">
        <f>"Total of Week "&amp;RIGHT(A34,2)+1</f>
        <v>Total of Week 21</v>
      </c>
      <c r="B44" s="80"/>
      <c r="C44" s="45"/>
      <c r="D44" s="45"/>
      <c r="E44" s="63"/>
      <c r="F44" s="46">
        <f ca="1">SUMIF($B:$E,RIGHT($A44,2),F:F)</f>
        <v>0</v>
      </c>
      <c r="G44" s="46">
        <f ca="1">SUMIF($B:$E,RIGHT($A44,2),G:G)</f>
        <v>0</v>
      </c>
      <c r="H44" s="47">
        <f ca="1">SUMIF($B:$E,RIGHT($A44,2),H:H)</f>
        <v>0</v>
      </c>
    </row>
    <row r="45" spans="1:27" ht="15.75" customHeight="1" x14ac:dyDescent="0.25">
      <c r="A45" s="22"/>
      <c r="B45" s="87"/>
      <c r="C45" s="5"/>
      <c r="D45" s="5"/>
      <c r="E45" s="65"/>
      <c r="F45" s="6"/>
      <c r="G45" s="5"/>
      <c r="H45" s="7"/>
    </row>
    <row r="46" spans="1:27" ht="15" x14ac:dyDescent="0.25">
      <c r="A46" s="40" t="s">
        <v>9</v>
      </c>
      <c r="B46" s="85" t="s">
        <v>31</v>
      </c>
      <c r="C46" s="41" t="s">
        <v>10</v>
      </c>
      <c r="D46" s="41" t="s">
        <v>11</v>
      </c>
      <c r="E46" s="42" t="s">
        <v>12</v>
      </c>
      <c r="F46" s="43" t="s">
        <v>13</v>
      </c>
      <c r="G46" s="42" t="s">
        <v>14</v>
      </c>
      <c r="H46" s="42" t="s">
        <v>15</v>
      </c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spans="1:27" ht="15.75" customHeight="1" x14ac:dyDescent="0.25">
      <c r="A47" s="70">
        <f>A43+1</f>
        <v>46167</v>
      </c>
      <c r="B47" s="79">
        <f>WEEKNUM(A47, 2)</f>
        <v>22</v>
      </c>
      <c r="C47" s="71"/>
      <c r="D47" s="71"/>
      <c r="E47" s="72"/>
      <c r="F47" s="73"/>
      <c r="G47" s="73"/>
      <c r="H47" s="73">
        <f t="shared" si="11"/>
        <v>0</v>
      </c>
    </row>
    <row r="48" spans="1:27" ht="15.75" customHeight="1" x14ac:dyDescent="0.25">
      <c r="A48" s="70">
        <f>A47+1</f>
        <v>46168</v>
      </c>
      <c r="B48" s="79">
        <f t="shared" si="10"/>
        <v>22</v>
      </c>
      <c r="C48" s="71"/>
      <c r="D48" s="71"/>
      <c r="E48" s="72"/>
      <c r="F48" s="73"/>
      <c r="G48" s="73"/>
      <c r="H48" s="73">
        <f t="shared" si="11"/>
        <v>0</v>
      </c>
    </row>
    <row r="49" spans="1:27" ht="15.75" customHeight="1" x14ac:dyDescent="0.25">
      <c r="A49" s="70">
        <f>A48+1</f>
        <v>46169</v>
      </c>
      <c r="B49" s="79">
        <f>WEEKNUM(A49, 2)</f>
        <v>22</v>
      </c>
      <c r="C49" s="71"/>
      <c r="D49" s="71"/>
      <c r="E49" s="74"/>
      <c r="F49" s="73"/>
      <c r="G49" s="73"/>
      <c r="H49" s="73">
        <f>SUM(F49:G49)</f>
        <v>0</v>
      </c>
    </row>
    <row r="50" spans="1:27" ht="15.75" customHeight="1" x14ac:dyDescent="0.25">
      <c r="A50" s="70">
        <f>A49+1</f>
        <v>46170</v>
      </c>
      <c r="B50" s="79">
        <f t="shared" ref="B50:B53" si="13">WEEKNUM(A50, 2)</f>
        <v>22</v>
      </c>
      <c r="C50" s="71"/>
      <c r="D50" s="71"/>
      <c r="E50" s="72"/>
      <c r="F50" s="73"/>
      <c r="G50" s="73"/>
      <c r="H50" s="73">
        <f>SUM(F50:G50)</f>
        <v>0</v>
      </c>
    </row>
    <row r="51" spans="1:27" ht="15.75" customHeight="1" x14ac:dyDescent="0.25">
      <c r="A51" s="70">
        <f>A50+1</f>
        <v>46171</v>
      </c>
      <c r="B51" s="79">
        <f t="shared" si="13"/>
        <v>22</v>
      </c>
      <c r="C51" s="71"/>
      <c r="D51" s="71"/>
      <c r="E51" s="74"/>
      <c r="F51" s="73"/>
      <c r="G51" s="73"/>
      <c r="H51" s="73">
        <f t="shared" ref="H51:H52" si="14">SUM(F51:G51)</f>
        <v>0</v>
      </c>
    </row>
    <row r="52" spans="1:27" ht="15.75" customHeight="1" x14ac:dyDescent="0.25">
      <c r="A52" s="70">
        <f t="shared" ref="A52:A53" si="15">A51+1</f>
        <v>46172</v>
      </c>
      <c r="B52" s="79">
        <f t="shared" si="13"/>
        <v>22</v>
      </c>
      <c r="C52" s="71"/>
      <c r="D52" s="71"/>
      <c r="E52" s="72"/>
      <c r="F52" s="73"/>
      <c r="G52" s="73"/>
      <c r="H52" s="73">
        <f t="shared" si="14"/>
        <v>0</v>
      </c>
    </row>
    <row r="53" spans="1:27" ht="15.75" customHeight="1" x14ac:dyDescent="0.25">
      <c r="A53" s="70">
        <f t="shared" si="15"/>
        <v>46173</v>
      </c>
      <c r="B53" s="79">
        <f t="shared" si="13"/>
        <v>22</v>
      </c>
      <c r="C53" s="71"/>
      <c r="D53" s="71"/>
      <c r="E53" s="72"/>
      <c r="F53" s="73"/>
      <c r="G53" s="73"/>
      <c r="H53" s="73">
        <f t="shared" ref="H53" si="16">SUM(F53:G53)</f>
        <v>0</v>
      </c>
    </row>
    <row r="54" spans="1:27" s="28" customFormat="1" ht="15.75" customHeight="1" x14ac:dyDescent="0.2">
      <c r="A54" s="44" t="str">
        <f>"Total of Week "&amp;RIGHT(A44,2)+1</f>
        <v>Total of Week 22</v>
      </c>
      <c r="B54" s="80"/>
      <c r="C54" s="45"/>
      <c r="D54" s="45"/>
      <c r="E54" s="63"/>
      <c r="F54" s="46">
        <f ca="1">SUMIF($B:$E,RIGHT($A54,2),F:F)</f>
        <v>0</v>
      </c>
      <c r="G54" s="46">
        <f ca="1">SUMIF($B:$E,RIGHT($A54,2),G:G)</f>
        <v>0</v>
      </c>
      <c r="H54" s="47">
        <f ca="1">SUMIF($B:$E,RIGHT($A54,2),H:H)</f>
        <v>0</v>
      </c>
    </row>
    <row r="55" spans="1:27" ht="12" customHeight="1" x14ac:dyDescent="0.25">
      <c r="A55" s="23"/>
      <c r="B55" s="84"/>
      <c r="C55" s="8"/>
      <c r="D55" s="8"/>
      <c r="E55" s="66"/>
      <c r="F55" s="9"/>
      <c r="G55" s="9"/>
      <c r="H55" s="10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 ht="15.75" customHeight="1" x14ac:dyDescent="0.25">
      <c r="A56" s="24" t="s">
        <v>16</v>
      </c>
      <c r="B56" s="88"/>
      <c r="C56" s="11"/>
      <c r="D56" s="11"/>
      <c r="E56" s="67"/>
      <c r="F56" s="12"/>
      <c r="G56" s="11"/>
      <c r="H56" s="13">
        <f ca="1">SUMIF(A7:A55,"*Total of week*",H7:H55)</f>
        <v>0</v>
      </c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1:27" ht="15.75" customHeight="1" x14ac:dyDescent="0.25">
      <c r="E57" s="4"/>
      <c r="F57" s="15"/>
      <c r="O57" s="3"/>
      <c r="P57" s="3"/>
      <c r="R57" s="3"/>
    </row>
    <row r="58" spans="1:27" ht="15.75" customHeight="1" x14ac:dyDescent="0.25">
      <c r="E58" s="4"/>
      <c r="F58" s="15"/>
      <c r="O58" s="3"/>
    </row>
    <row r="59" spans="1:27" ht="15.75" customHeight="1" x14ac:dyDescent="0.25">
      <c r="A59" s="26"/>
      <c r="B59" s="90"/>
      <c r="C59" s="17"/>
      <c r="D59" s="16"/>
      <c r="E59" s="4"/>
      <c r="F59" s="15"/>
    </row>
    <row r="60" spans="1:27" ht="15.75" customHeight="1" x14ac:dyDescent="0.25">
      <c r="A60" s="26"/>
      <c r="B60" s="90"/>
      <c r="C60" s="16"/>
      <c r="D60" s="16"/>
      <c r="E60" s="68"/>
      <c r="F60" s="18"/>
      <c r="G60" s="16"/>
      <c r="H60" s="3"/>
    </row>
    <row r="61" spans="1:27" ht="15.75" customHeight="1" x14ac:dyDescent="0.25">
      <c r="A61" s="26"/>
      <c r="B61" s="90"/>
      <c r="C61" s="19"/>
      <c r="D61" s="19"/>
      <c r="E61" s="4"/>
      <c r="F61" s="15"/>
    </row>
    <row r="62" spans="1:27" s="28" customFormat="1" ht="15.75" customHeight="1" x14ac:dyDescent="0.25">
      <c r="A62" s="36"/>
      <c r="B62" s="86"/>
      <c r="C62" s="29"/>
      <c r="D62" s="29"/>
      <c r="E62" s="64"/>
      <c r="F62" s="33"/>
      <c r="G62" s="34"/>
      <c r="H62" s="35"/>
    </row>
    <row r="63" spans="1:27" ht="15.75" customHeight="1" x14ac:dyDescent="0.25">
      <c r="C63" s="20"/>
      <c r="D63" s="20"/>
      <c r="E63" s="4"/>
      <c r="F63" s="15"/>
    </row>
    <row r="64" spans="1:27" ht="15.75" customHeight="1" x14ac:dyDescent="0.25">
      <c r="A64" s="26"/>
      <c r="B64" s="90"/>
      <c r="C64" s="19"/>
      <c r="D64" s="19"/>
      <c r="E64" s="4"/>
      <c r="F64" s="15"/>
    </row>
    <row r="65" spans="1:6" ht="15.75" customHeight="1" x14ac:dyDescent="0.25">
      <c r="A65" s="26"/>
      <c r="B65" s="90"/>
      <c r="C65" s="19"/>
      <c r="D65" s="19"/>
      <c r="E65" s="4"/>
      <c r="F65" s="15"/>
    </row>
    <row r="66" spans="1:6" ht="15.75" customHeight="1" x14ac:dyDescent="0.2"/>
    <row r="67" spans="1:6" ht="15.75" customHeight="1" x14ac:dyDescent="0.2"/>
    <row r="68" spans="1:6" ht="15.75" customHeight="1" x14ac:dyDescent="0.2"/>
    <row r="69" spans="1:6" ht="15.75" customHeight="1" x14ac:dyDescent="0.2"/>
    <row r="70" spans="1:6" ht="15.75" customHeight="1" x14ac:dyDescent="0.2"/>
    <row r="71" spans="1:6" ht="15.75" customHeight="1" x14ac:dyDescent="0.2"/>
    <row r="72" spans="1:6" ht="15.75" customHeight="1" x14ac:dyDescent="0.2"/>
    <row r="73" spans="1:6" ht="15.75" customHeight="1" x14ac:dyDescent="0.2"/>
    <row r="74" spans="1:6" ht="15.75" customHeight="1" x14ac:dyDescent="0.2"/>
    <row r="75" spans="1:6" ht="15.75" customHeight="1" x14ac:dyDescent="0.2"/>
    <row r="76" spans="1:6" ht="15.75" customHeight="1" x14ac:dyDescent="0.2"/>
    <row r="77" spans="1:6" ht="15.75" customHeight="1" x14ac:dyDescent="0.2"/>
    <row r="78" spans="1:6" ht="15.75" customHeight="1" x14ac:dyDescent="0.2"/>
    <row r="79" spans="1:6" ht="15.75" customHeight="1" x14ac:dyDescent="0.2"/>
    <row r="80" spans="1:6" ht="15.75" customHeight="1" x14ac:dyDescent="0.2"/>
    <row r="81" spans="2:27" s="25" customFormat="1" ht="15.75" customHeight="1" x14ac:dyDescent="0.2">
      <c r="B81" s="89"/>
      <c r="C81"/>
      <c r="D81"/>
      <c r="E81" s="69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</row>
    <row r="82" spans="2:27" s="25" customFormat="1" ht="15.75" customHeight="1" x14ac:dyDescent="0.2">
      <c r="B82" s="89"/>
      <c r="C82"/>
      <c r="D82"/>
      <c r="E82" s="69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2:27" s="25" customFormat="1" ht="15.75" customHeight="1" x14ac:dyDescent="0.2">
      <c r="B83" s="89"/>
      <c r="C83"/>
      <c r="D83"/>
      <c r="E83" s="69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</row>
    <row r="84" spans="2:27" s="25" customFormat="1" ht="15.75" customHeight="1" x14ac:dyDescent="0.2">
      <c r="B84" s="89"/>
      <c r="C84"/>
      <c r="D84"/>
      <c r="E84" s="69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</row>
    <row r="85" spans="2:27" s="25" customFormat="1" ht="15.75" customHeight="1" x14ac:dyDescent="0.2">
      <c r="B85" s="89"/>
      <c r="C85"/>
      <c r="D85"/>
      <c r="E85" s="69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</row>
    <row r="86" spans="2:27" s="25" customFormat="1" ht="15.75" customHeight="1" x14ac:dyDescent="0.2">
      <c r="B86" s="89"/>
      <c r="C86"/>
      <c r="D86"/>
      <c r="E86" s="69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</row>
    <row r="87" spans="2:27" s="25" customFormat="1" ht="15.75" customHeight="1" x14ac:dyDescent="0.2">
      <c r="B87" s="89"/>
      <c r="C87"/>
      <c r="D87"/>
      <c r="E87" s="69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</row>
    <row r="88" spans="2:27" s="25" customFormat="1" ht="15.75" customHeight="1" x14ac:dyDescent="0.2">
      <c r="B88" s="89"/>
      <c r="C88"/>
      <c r="D88"/>
      <c r="E88" s="69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</row>
    <row r="89" spans="2:27" s="25" customFormat="1" ht="15.75" customHeight="1" x14ac:dyDescent="0.2">
      <c r="B89" s="89"/>
      <c r="C89"/>
      <c r="D89"/>
      <c r="E89" s="6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</row>
    <row r="90" spans="2:27" s="25" customFormat="1" ht="15.75" customHeight="1" x14ac:dyDescent="0.2">
      <c r="B90" s="89"/>
      <c r="C90"/>
      <c r="D90"/>
      <c r="E90" s="69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2:27" s="25" customFormat="1" ht="15.75" customHeight="1" x14ac:dyDescent="0.2">
      <c r="B91" s="89"/>
      <c r="C91"/>
      <c r="D91"/>
      <c r="E91" s="69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</row>
    <row r="92" spans="2:27" s="25" customFormat="1" ht="15.75" customHeight="1" x14ac:dyDescent="0.2">
      <c r="B92" s="89"/>
      <c r="C92"/>
      <c r="D92"/>
      <c r="E92" s="69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2:27" s="25" customFormat="1" ht="15.75" customHeight="1" x14ac:dyDescent="0.2">
      <c r="B93" s="89"/>
      <c r="C93"/>
      <c r="D93"/>
      <c r="E93" s="69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</row>
    <row r="94" spans="2:27" s="25" customFormat="1" ht="15.75" customHeight="1" x14ac:dyDescent="0.2">
      <c r="B94" s="89"/>
      <c r="C94"/>
      <c r="D94"/>
      <c r="E94" s="69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</row>
    <row r="95" spans="2:27" s="25" customFormat="1" ht="15.75" customHeight="1" x14ac:dyDescent="0.2">
      <c r="B95" s="89"/>
      <c r="C95"/>
      <c r="D95"/>
      <c r="E95" s="69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</row>
    <row r="96" spans="2:27" s="25" customFormat="1" ht="15.75" customHeight="1" x14ac:dyDescent="0.2">
      <c r="B96" s="89"/>
      <c r="C96"/>
      <c r="D96"/>
      <c r="E96" s="69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</row>
    <row r="97" spans="2:27" s="25" customFormat="1" ht="15.75" customHeight="1" x14ac:dyDescent="0.2">
      <c r="B97" s="89"/>
      <c r="C97"/>
      <c r="D97"/>
      <c r="E97" s="69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</row>
    <row r="98" spans="2:27" s="25" customFormat="1" ht="15.75" customHeight="1" x14ac:dyDescent="0.2">
      <c r="B98" s="89"/>
      <c r="C98"/>
      <c r="D98"/>
      <c r="E98" s="69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</row>
    <row r="99" spans="2:27" s="25" customFormat="1" ht="15.75" customHeight="1" x14ac:dyDescent="0.2">
      <c r="B99" s="89"/>
      <c r="C99"/>
      <c r="D99"/>
      <c r="E99" s="6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</row>
    <row r="100" spans="2:27" s="25" customFormat="1" ht="15.75" customHeight="1" x14ac:dyDescent="0.2">
      <c r="B100" s="89"/>
      <c r="C100"/>
      <c r="D100"/>
      <c r="E100" s="69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</row>
    <row r="101" spans="2:27" s="25" customFormat="1" ht="15.75" customHeight="1" x14ac:dyDescent="0.2">
      <c r="B101" s="89"/>
      <c r="C101"/>
      <c r="D101"/>
      <c r="E101" s="69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</row>
    <row r="102" spans="2:27" s="25" customFormat="1" ht="15.75" customHeight="1" x14ac:dyDescent="0.2">
      <c r="B102" s="89"/>
      <c r="C102"/>
      <c r="D102"/>
      <c r="E102" s="69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2:27" s="25" customFormat="1" ht="15.75" customHeight="1" x14ac:dyDescent="0.2">
      <c r="B103" s="89"/>
      <c r="C103"/>
      <c r="D103"/>
      <c r="E103" s="69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</row>
    <row r="104" spans="2:27" s="25" customFormat="1" ht="15.75" customHeight="1" x14ac:dyDescent="0.2">
      <c r="B104" s="89"/>
      <c r="C104"/>
      <c r="D104"/>
      <c r="E104" s="69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</row>
    <row r="105" spans="2:27" s="25" customFormat="1" ht="15.75" customHeight="1" x14ac:dyDescent="0.2">
      <c r="B105" s="89"/>
      <c r="C105"/>
      <c r="D105"/>
      <c r="E105" s="69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</row>
    <row r="106" spans="2:27" s="25" customFormat="1" ht="15.75" customHeight="1" x14ac:dyDescent="0.2">
      <c r="B106" s="89"/>
      <c r="C106"/>
      <c r="D106"/>
      <c r="E106" s="69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</row>
    <row r="107" spans="2:27" s="25" customFormat="1" ht="15.75" customHeight="1" x14ac:dyDescent="0.2">
      <c r="B107" s="89"/>
      <c r="C107"/>
      <c r="D107"/>
      <c r="E107" s="69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</row>
    <row r="108" spans="2:27" s="25" customFormat="1" ht="15.75" customHeight="1" x14ac:dyDescent="0.2">
      <c r="B108" s="89"/>
      <c r="C108"/>
      <c r="D108"/>
      <c r="E108" s="69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</row>
    <row r="109" spans="2:27" s="25" customFormat="1" ht="15.75" customHeight="1" x14ac:dyDescent="0.2">
      <c r="B109" s="89"/>
      <c r="C109"/>
      <c r="D109"/>
      <c r="E109" s="6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</row>
    <row r="110" spans="2:27" s="25" customFormat="1" ht="15.75" customHeight="1" x14ac:dyDescent="0.2">
      <c r="B110" s="89"/>
      <c r="C110"/>
      <c r="D110"/>
      <c r="E110" s="69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</row>
    <row r="111" spans="2:27" s="25" customFormat="1" ht="15.75" customHeight="1" x14ac:dyDescent="0.2">
      <c r="B111" s="89"/>
      <c r="C111"/>
      <c r="D111"/>
      <c r="E111" s="69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2:27" s="25" customFormat="1" ht="15.75" customHeight="1" x14ac:dyDescent="0.2">
      <c r="B112" s="89"/>
      <c r="C112"/>
      <c r="D112"/>
      <c r="E112" s="69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</row>
    <row r="113" spans="2:27" s="25" customFormat="1" ht="15.75" customHeight="1" x14ac:dyDescent="0.2">
      <c r="B113" s="89"/>
      <c r="C113"/>
      <c r="D113"/>
      <c r="E113" s="69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</row>
    <row r="114" spans="2:27" s="25" customFormat="1" ht="15.75" customHeight="1" x14ac:dyDescent="0.2">
      <c r="B114" s="89"/>
      <c r="C114"/>
      <c r="D114"/>
      <c r="E114" s="69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2:27" s="25" customFormat="1" ht="15.75" customHeight="1" x14ac:dyDescent="0.2">
      <c r="B115" s="89"/>
      <c r="C115"/>
      <c r="D115"/>
      <c r="E115" s="69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</row>
    <row r="116" spans="2:27" s="25" customFormat="1" ht="15.75" customHeight="1" x14ac:dyDescent="0.2">
      <c r="B116" s="89"/>
      <c r="C116"/>
      <c r="D116"/>
      <c r="E116" s="69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</row>
    <row r="117" spans="2:27" s="25" customFormat="1" ht="15.75" customHeight="1" x14ac:dyDescent="0.2">
      <c r="B117" s="89"/>
      <c r="C117"/>
      <c r="D117"/>
      <c r="E117" s="69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</row>
    <row r="118" spans="2:27" s="25" customFormat="1" ht="15.75" customHeight="1" x14ac:dyDescent="0.2">
      <c r="B118" s="89"/>
      <c r="C118"/>
      <c r="D118"/>
      <c r="E118" s="69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</row>
    <row r="119" spans="2:27" s="25" customFormat="1" ht="15.75" customHeight="1" x14ac:dyDescent="0.2">
      <c r="B119" s="89"/>
      <c r="C119"/>
      <c r="D119"/>
      <c r="E119" s="6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</row>
    <row r="120" spans="2:27" s="25" customFormat="1" ht="15.75" customHeight="1" x14ac:dyDescent="0.2">
      <c r="B120" s="89"/>
      <c r="C120"/>
      <c r="D120"/>
      <c r="E120" s="69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</row>
    <row r="121" spans="2:27" s="25" customFormat="1" ht="15.75" customHeight="1" x14ac:dyDescent="0.2">
      <c r="B121" s="89"/>
      <c r="C121"/>
      <c r="D121"/>
      <c r="E121" s="69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</row>
    <row r="122" spans="2:27" s="25" customFormat="1" ht="15.75" customHeight="1" x14ac:dyDescent="0.2">
      <c r="B122" s="89"/>
      <c r="C122"/>
      <c r="D122"/>
      <c r="E122" s="69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</row>
    <row r="123" spans="2:27" s="25" customFormat="1" ht="15.75" customHeight="1" x14ac:dyDescent="0.2">
      <c r="B123" s="89"/>
      <c r="C123"/>
      <c r="D123"/>
      <c r="E123" s="69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2:27" s="25" customFormat="1" ht="15.75" customHeight="1" x14ac:dyDescent="0.2">
      <c r="B124" s="89"/>
      <c r="C124"/>
      <c r="D124"/>
      <c r="E124" s="69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</row>
    <row r="125" spans="2:27" s="25" customFormat="1" ht="15.75" customHeight="1" x14ac:dyDescent="0.2">
      <c r="B125" s="89"/>
      <c r="C125"/>
      <c r="D125"/>
      <c r="E125" s="69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</row>
    <row r="126" spans="2:27" s="25" customFormat="1" ht="15.75" customHeight="1" x14ac:dyDescent="0.2">
      <c r="B126" s="89"/>
      <c r="C126"/>
      <c r="D126"/>
      <c r="E126" s="69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</row>
    <row r="127" spans="2:27" s="25" customFormat="1" ht="15.75" customHeight="1" x14ac:dyDescent="0.2">
      <c r="B127" s="89"/>
      <c r="C127"/>
      <c r="D127"/>
      <c r="E127" s="69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</row>
    <row r="128" spans="2:27" s="25" customFormat="1" ht="15.75" customHeight="1" x14ac:dyDescent="0.2">
      <c r="B128" s="89"/>
      <c r="C128"/>
      <c r="D128"/>
      <c r="E128" s="69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</row>
    <row r="129" spans="2:27" s="25" customFormat="1" ht="15.75" customHeight="1" x14ac:dyDescent="0.2">
      <c r="B129" s="89"/>
      <c r="C129"/>
      <c r="D129"/>
      <c r="E129" s="6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</row>
    <row r="130" spans="2:27" s="25" customFormat="1" ht="15.75" customHeight="1" x14ac:dyDescent="0.2">
      <c r="B130" s="89"/>
      <c r="C130"/>
      <c r="D130"/>
      <c r="E130" s="69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</row>
    <row r="131" spans="2:27" s="25" customFormat="1" ht="15.75" customHeight="1" x14ac:dyDescent="0.2">
      <c r="B131" s="89"/>
      <c r="C131"/>
      <c r="D131"/>
      <c r="E131" s="69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</row>
    <row r="132" spans="2:27" s="25" customFormat="1" ht="15.75" customHeight="1" x14ac:dyDescent="0.2">
      <c r="B132" s="89"/>
      <c r="C132"/>
      <c r="D132"/>
      <c r="E132" s="69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</row>
    <row r="133" spans="2:27" s="25" customFormat="1" ht="15.75" customHeight="1" x14ac:dyDescent="0.2">
      <c r="B133" s="89"/>
      <c r="C133"/>
      <c r="D133"/>
      <c r="E133" s="69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</row>
    <row r="134" spans="2:27" s="25" customFormat="1" ht="15.75" customHeight="1" x14ac:dyDescent="0.2">
      <c r="B134" s="89"/>
      <c r="C134"/>
      <c r="D134"/>
      <c r="E134" s="69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</row>
    <row r="135" spans="2:27" s="25" customFormat="1" ht="15.75" customHeight="1" x14ac:dyDescent="0.2">
      <c r="B135" s="89"/>
      <c r="C135"/>
      <c r="D135"/>
      <c r="E135" s="69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</row>
    <row r="136" spans="2:27" s="25" customFormat="1" ht="15.75" customHeight="1" x14ac:dyDescent="0.2">
      <c r="B136" s="89"/>
      <c r="C136"/>
      <c r="D136"/>
      <c r="E136" s="69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</row>
    <row r="137" spans="2:27" s="25" customFormat="1" ht="15.75" customHeight="1" x14ac:dyDescent="0.2">
      <c r="B137" s="89"/>
      <c r="C137"/>
      <c r="D137"/>
      <c r="E137" s="69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</row>
    <row r="138" spans="2:27" s="25" customFormat="1" ht="15.75" customHeight="1" x14ac:dyDescent="0.2">
      <c r="B138" s="89"/>
      <c r="C138"/>
      <c r="D138"/>
      <c r="E138" s="69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</row>
    <row r="139" spans="2:27" s="25" customFormat="1" ht="15.75" customHeight="1" x14ac:dyDescent="0.2">
      <c r="B139" s="89"/>
      <c r="C139"/>
      <c r="D139"/>
      <c r="E139" s="6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</row>
    <row r="140" spans="2:27" s="25" customFormat="1" ht="15.75" customHeight="1" x14ac:dyDescent="0.2">
      <c r="B140" s="89"/>
      <c r="C140"/>
      <c r="D140"/>
      <c r="E140" s="69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</row>
    <row r="141" spans="2:27" s="25" customFormat="1" ht="15.75" customHeight="1" x14ac:dyDescent="0.2">
      <c r="B141" s="89"/>
      <c r="C141"/>
      <c r="D141"/>
      <c r="E141" s="69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</row>
    <row r="142" spans="2:27" s="25" customFormat="1" ht="15.75" customHeight="1" x14ac:dyDescent="0.2">
      <c r="B142" s="89"/>
      <c r="C142"/>
      <c r="D142"/>
      <c r="E142" s="69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</row>
    <row r="143" spans="2:27" s="25" customFormat="1" ht="15.75" customHeight="1" x14ac:dyDescent="0.2">
      <c r="B143" s="89"/>
      <c r="C143"/>
      <c r="D143"/>
      <c r="E143" s="69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</row>
    <row r="144" spans="2:27" s="25" customFormat="1" ht="15.75" customHeight="1" x14ac:dyDescent="0.2">
      <c r="B144" s="89"/>
      <c r="C144"/>
      <c r="D144"/>
      <c r="E144" s="69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</row>
    <row r="145" spans="2:27" s="25" customFormat="1" ht="15.75" customHeight="1" x14ac:dyDescent="0.2">
      <c r="B145" s="89"/>
      <c r="C145"/>
      <c r="D145"/>
      <c r="E145" s="69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</row>
    <row r="146" spans="2:27" s="25" customFormat="1" ht="15.75" customHeight="1" x14ac:dyDescent="0.2">
      <c r="B146" s="89"/>
      <c r="C146"/>
      <c r="D146"/>
      <c r="E146" s="69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</row>
    <row r="147" spans="2:27" s="25" customFormat="1" ht="15.75" customHeight="1" x14ac:dyDescent="0.2">
      <c r="B147" s="89"/>
      <c r="C147"/>
      <c r="D147"/>
      <c r="E147" s="69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</row>
    <row r="148" spans="2:27" s="25" customFormat="1" ht="15.75" customHeight="1" x14ac:dyDescent="0.2">
      <c r="B148" s="89"/>
      <c r="C148"/>
      <c r="D148"/>
      <c r="E148" s="69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</row>
    <row r="149" spans="2:27" s="25" customFormat="1" ht="15.75" customHeight="1" x14ac:dyDescent="0.2">
      <c r="B149" s="89"/>
      <c r="C149"/>
      <c r="D149"/>
      <c r="E149" s="6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</row>
    <row r="150" spans="2:27" s="25" customFormat="1" ht="15.75" customHeight="1" x14ac:dyDescent="0.2">
      <c r="B150" s="89"/>
      <c r="C150"/>
      <c r="D150"/>
      <c r="E150" s="69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</row>
    <row r="151" spans="2:27" s="25" customFormat="1" ht="15.75" customHeight="1" x14ac:dyDescent="0.2">
      <c r="B151" s="89"/>
      <c r="C151"/>
      <c r="D151"/>
      <c r="E151" s="69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</row>
    <row r="152" spans="2:27" s="25" customFormat="1" ht="15.75" customHeight="1" x14ac:dyDescent="0.2">
      <c r="B152" s="89"/>
      <c r="C152"/>
      <c r="D152"/>
      <c r="E152" s="69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</row>
    <row r="153" spans="2:27" s="25" customFormat="1" ht="15.75" customHeight="1" x14ac:dyDescent="0.2">
      <c r="B153" s="89"/>
      <c r="C153"/>
      <c r="D153"/>
      <c r="E153" s="69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</row>
    <row r="154" spans="2:27" s="25" customFormat="1" ht="15.75" customHeight="1" x14ac:dyDescent="0.2">
      <c r="B154" s="89"/>
      <c r="C154"/>
      <c r="D154"/>
      <c r="E154" s="69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</row>
    <row r="155" spans="2:27" s="25" customFormat="1" ht="15.75" customHeight="1" x14ac:dyDescent="0.2">
      <c r="B155" s="89"/>
      <c r="C155"/>
      <c r="D155"/>
      <c r="E155" s="69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</row>
    <row r="156" spans="2:27" s="25" customFormat="1" ht="15.75" customHeight="1" x14ac:dyDescent="0.2">
      <c r="B156" s="89"/>
      <c r="C156"/>
      <c r="D156"/>
      <c r="E156" s="69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</row>
    <row r="157" spans="2:27" s="25" customFormat="1" ht="15.75" customHeight="1" x14ac:dyDescent="0.2">
      <c r="B157" s="89"/>
      <c r="C157"/>
      <c r="D157"/>
      <c r="E157" s="69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</row>
    <row r="158" spans="2:27" s="25" customFormat="1" ht="15.75" customHeight="1" x14ac:dyDescent="0.2">
      <c r="B158" s="89"/>
      <c r="C158"/>
      <c r="D158"/>
      <c r="E158" s="69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</row>
    <row r="159" spans="2:27" s="25" customFormat="1" ht="15.75" customHeight="1" x14ac:dyDescent="0.2">
      <c r="B159" s="89"/>
      <c r="C159"/>
      <c r="D159"/>
      <c r="E159" s="6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</row>
    <row r="160" spans="2:27" s="25" customFormat="1" ht="15.75" customHeight="1" x14ac:dyDescent="0.2">
      <c r="B160" s="89"/>
      <c r="C160"/>
      <c r="D160"/>
      <c r="E160" s="69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</row>
    <row r="161" spans="2:27" s="25" customFormat="1" ht="15.75" customHeight="1" x14ac:dyDescent="0.2">
      <c r="B161" s="89"/>
      <c r="C161"/>
      <c r="D161"/>
      <c r="E161" s="69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</row>
    <row r="162" spans="2:27" s="25" customFormat="1" ht="15.75" customHeight="1" x14ac:dyDescent="0.2">
      <c r="B162" s="89"/>
      <c r="C162"/>
      <c r="D162"/>
      <c r="E162" s="69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</row>
    <row r="163" spans="2:27" s="25" customFormat="1" ht="15.75" customHeight="1" x14ac:dyDescent="0.2">
      <c r="B163" s="89"/>
      <c r="C163"/>
      <c r="D163"/>
      <c r="E163" s="69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</row>
    <row r="164" spans="2:27" s="25" customFormat="1" ht="15.75" customHeight="1" x14ac:dyDescent="0.2">
      <c r="B164" s="89"/>
      <c r="C164"/>
      <c r="D164"/>
      <c r="E164" s="69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</row>
    <row r="165" spans="2:27" s="25" customFormat="1" ht="15.75" customHeight="1" x14ac:dyDescent="0.2">
      <c r="B165" s="89"/>
      <c r="C165"/>
      <c r="D165"/>
      <c r="E165" s="69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</row>
    <row r="166" spans="2:27" s="25" customFormat="1" ht="15.75" customHeight="1" x14ac:dyDescent="0.2">
      <c r="B166" s="89"/>
      <c r="C166"/>
      <c r="D166"/>
      <c r="E166" s="69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</row>
    <row r="167" spans="2:27" s="25" customFormat="1" ht="15.75" customHeight="1" x14ac:dyDescent="0.2">
      <c r="B167" s="89"/>
      <c r="C167"/>
      <c r="D167"/>
      <c r="E167" s="69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</row>
    <row r="168" spans="2:27" s="25" customFormat="1" ht="15.75" customHeight="1" x14ac:dyDescent="0.2">
      <c r="B168" s="89"/>
      <c r="C168"/>
      <c r="D168"/>
      <c r="E168" s="69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</row>
    <row r="169" spans="2:27" s="25" customFormat="1" ht="15.75" customHeight="1" x14ac:dyDescent="0.2">
      <c r="B169" s="89"/>
      <c r="C169"/>
      <c r="D169"/>
      <c r="E169" s="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</row>
    <row r="170" spans="2:27" s="25" customFormat="1" ht="15.75" customHeight="1" x14ac:dyDescent="0.2">
      <c r="B170" s="89"/>
      <c r="C170"/>
      <c r="D170"/>
      <c r="E170" s="69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</row>
    <row r="171" spans="2:27" s="25" customFormat="1" ht="15.75" customHeight="1" x14ac:dyDescent="0.2">
      <c r="B171" s="89"/>
      <c r="C171"/>
      <c r="D171"/>
      <c r="E171" s="69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</row>
    <row r="172" spans="2:27" s="25" customFormat="1" ht="15.75" customHeight="1" x14ac:dyDescent="0.2">
      <c r="B172" s="89"/>
      <c r="C172"/>
      <c r="D172"/>
      <c r="E172" s="69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</row>
    <row r="173" spans="2:27" s="25" customFormat="1" ht="15.75" customHeight="1" x14ac:dyDescent="0.2">
      <c r="B173" s="89"/>
      <c r="C173"/>
      <c r="D173"/>
      <c r="E173" s="69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</row>
    <row r="174" spans="2:27" s="25" customFormat="1" ht="15.75" customHeight="1" x14ac:dyDescent="0.2">
      <c r="B174" s="89"/>
      <c r="C174"/>
      <c r="D174"/>
      <c r="E174" s="69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</row>
    <row r="175" spans="2:27" s="25" customFormat="1" ht="15.75" customHeight="1" x14ac:dyDescent="0.2">
      <c r="B175" s="89"/>
      <c r="C175"/>
      <c r="D175"/>
      <c r="E175" s="69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</row>
    <row r="176" spans="2:27" s="25" customFormat="1" ht="15.75" customHeight="1" x14ac:dyDescent="0.2">
      <c r="B176" s="89"/>
      <c r="C176"/>
      <c r="D176"/>
      <c r="E176" s="69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</row>
    <row r="177" spans="2:27" s="25" customFormat="1" ht="15.75" customHeight="1" x14ac:dyDescent="0.2">
      <c r="B177" s="89"/>
      <c r="C177"/>
      <c r="D177"/>
      <c r="E177" s="69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</row>
    <row r="178" spans="2:27" s="25" customFormat="1" ht="15.75" customHeight="1" x14ac:dyDescent="0.2">
      <c r="B178" s="89"/>
      <c r="C178"/>
      <c r="D178"/>
      <c r="E178" s="69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</row>
    <row r="179" spans="2:27" s="25" customFormat="1" ht="15.75" customHeight="1" x14ac:dyDescent="0.2">
      <c r="B179" s="89"/>
      <c r="C179"/>
      <c r="D179"/>
      <c r="E179" s="6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</row>
    <row r="180" spans="2:27" s="25" customFormat="1" ht="15.75" customHeight="1" x14ac:dyDescent="0.2">
      <c r="B180" s="89"/>
      <c r="C180"/>
      <c r="D180"/>
      <c r="E180" s="69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</row>
    <row r="181" spans="2:27" s="25" customFormat="1" ht="15.75" customHeight="1" x14ac:dyDescent="0.2">
      <c r="B181" s="89"/>
      <c r="C181"/>
      <c r="D181"/>
      <c r="E181" s="69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</row>
    <row r="182" spans="2:27" s="25" customFormat="1" ht="15.75" customHeight="1" x14ac:dyDescent="0.2">
      <c r="B182" s="89"/>
      <c r="C182"/>
      <c r="D182"/>
      <c r="E182" s="69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</row>
    <row r="183" spans="2:27" s="25" customFormat="1" ht="15.75" customHeight="1" x14ac:dyDescent="0.2">
      <c r="B183" s="89"/>
      <c r="C183"/>
      <c r="D183"/>
      <c r="E183" s="69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</row>
    <row r="184" spans="2:27" s="25" customFormat="1" ht="15.75" customHeight="1" x14ac:dyDescent="0.2">
      <c r="B184" s="89"/>
      <c r="C184"/>
      <c r="D184"/>
      <c r="E184" s="69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</row>
    <row r="185" spans="2:27" s="25" customFormat="1" ht="15.75" customHeight="1" x14ac:dyDescent="0.2">
      <c r="B185" s="89"/>
      <c r="C185"/>
      <c r="D185"/>
      <c r="E185" s="69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</row>
    <row r="186" spans="2:27" s="25" customFormat="1" ht="15.75" customHeight="1" x14ac:dyDescent="0.2">
      <c r="B186" s="89"/>
      <c r="C186"/>
      <c r="D186"/>
      <c r="E186" s="69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</row>
    <row r="187" spans="2:27" s="25" customFormat="1" ht="15.75" customHeight="1" x14ac:dyDescent="0.2">
      <c r="B187" s="89"/>
      <c r="C187"/>
      <c r="D187"/>
      <c r="E187" s="69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</row>
    <row r="188" spans="2:27" s="25" customFormat="1" ht="15.75" customHeight="1" x14ac:dyDescent="0.2">
      <c r="B188" s="89"/>
      <c r="C188"/>
      <c r="D188"/>
      <c r="E188" s="69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</row>
    <row r="189" spans="2:27" s="25" customFormat="1" ht="15.75" customHeight="1" x14ac:dyDescent="0.2">
      <c r="B189" s="89"/>
      <c r="C189"/>
      <c r="D189"/>
      <c r="E189" s="6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</row>
    <row r="190" spans="2:27" s="25" customFormat="1" ht="15.75" customHeight="1" x14ac:dyDescent="0.2">
      <c r="B190" s="89"/>
      <c r="C190"/>
      <c r="D190"/>
      <c r="E190" s="69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</row>
    <row r="191" spans="2:27" s="25" customFormat="1" ht="15.75" customHeight="1" x14ac:dyDescent="0.2">
      <c r="B191" s="89"/>
      <c r="C191"/>
      <c r="D191"/>
      <c r="E191" s="69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</row>
    <row r="192" spans="2:27" s="25" customFormat="1" ht="15.75" customHeight="1" x14ac:dyDescent="0.2">
      <c r="B192" s="89"/>
      <c r="C192"/>
      <c r="D192"/>
      <c r="E192" s="69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</row>
    <row r="193" spans="2:27" s="25" customFormat="1" ht="15.75" customHeight="1" x14ac:dyDescent="0.2">
      <c r="B193" s="89"/>
      <c r="C193"/>
      <c r="D193"/>
      <c r="E193" s="69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</row>
    <row r="194" spans="2:27" s="25" customFormat="1" ht="15.75" customHeight="1" x14ac:dyDescent="0.2">
      <c r="B194" s="89"/>
      <c r="C194"/>
      <c r="D194"/>
      <c r="E194" s="69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</row>
    <row r="195" spans="2:27" s="25" customFormat="1" ht="15.75" customHeight="1" x14ac:dyDescent="0.2">
      <c r="B195" s="89"/>
      <c r="C195"/>
      <c r="D195"/>
      <c r="E195" s="69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</row>
    <row r="196" spans="2:27" s="25" customFormat="1" ht="15.75" customHeight="1" x14ac:dyDescent="0.2">
      <c r="B196" s="89"/>
      <c r="C196"/>
      <c r="D196"/>
      <c r="E196" s="69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</row>
    <row r="197" spans="2:27" s="25" customFormat="1" ht="15.75" customHeight="1" x14ac:dyDescent="0.2">
      <c r="B197" s="89"/>
      <c r="C197"/>
      <c r="D197"/>
      <c r="E197" s="69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</row>
    <row r="198" spans="2:27" s="25" customFormat="1" ht="15.75" customHeight="1" x14ac:dyDescent="0.2">
      <c r="B198" s="89"/>
      <c r="C198"/>
      <c r="D198"/>
      <c r="E198" s="69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</row>
    <row r="199" spans="2:27" s="25" customFormat="1" ht="15.75" customHeight="1" x14ac:dyDescent="0.2">
      <c r="B199" s="89"/>
      <c r="C199"/>
      <c r="D199"/>
      <c r="E199" s="6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</row>
    <row r="200" spans="2:27" s="25" customFormat="1" ht="15.75" customHeight="1" x14ac:dyDescent="0.2">
      <c r="B200" s="89"/>
      <c r="C200"/>
      <c r="D200"/>
      <c r="E200" s="69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</row>
    <row r="201" spans="2:27" s="25" customFormat="1" ht="15.75" customHeight="1" x14ac:dyDescent="0.2">
      <c r="B201" s="89"/>
      <c r="C201"/>
      <c r="D201"/>
      <c r="E201" s="69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</row>
    <row r="202" spans="2:27" s="25" customFormat="1" ht="15.75" customHeight="1" x14ac:dyDescent="0.2">
      <c r="B202" s="89"/>
      <c r="C202"/>
      <c r="D202"/>
      <c r="E202" s="69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</row>
    <row r="203" spans="2:27" s="25" customFormat="1" ht="15.75" customHeight="1" x14ac:dyDescent="0.2">
      <c r="B203" s="89"/>
      <c r="C203"/>
      <c r="D203"/>
      <c r="E203" s="69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</row>
    <row r="204" spans="2:27" s="25" customFormat="1" ht="15.75" customHeight="1" x14ac:dyDescent="0.2">
      <c r="B204" s="89"/>
      <c r="C204"/>
      <c r="D204"/>
      <c r="E204" s="69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</row>
    <row r="205" spans="2:27" s="25" customFormat="1" ht="15.75" customHeight="1" x14ac:dyDescent="0.2">
      <c r="B205" s="89"/>
      <c r="C205"/>
      <c r="D205"/>
      <c r="E205" s="69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</row>
    <row r="206" spans="2:27" s="25" customFormat="1" ht="15.75" customHeight="1" x14ac:dyDescent="0.2">
      <c r="B206" s="89"/>
      <c r="C206"/>
      <c r="D206"/>
      <c r="E206" s="69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</row>
    <row r="207" spans="2:27" s="25" customFormat="1" ht="15.75" customHeight="1" x14ac:dyDescent="0.2">
      <c r="B207" s="89"/>
      <c r="C207"/>
      <c r="D207"/>
      <c r="E207" s="69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</row>
    <row r="208" spans="2:27" s="25" customFormat="1" ht="15.75" customHeight="1" x14ac:dyDescent="0.2">
      <c r="B208" s="89"/>
      <c r="C208"/>
      <c r="D208"/>
      <c r="E208" s="69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</row>
    <row r="209" spans="2:27" s="25" customFormat="1" ht="15.75" customHeight="1" x14ac:dyDescent="0.2">
      <c r="B209" s="89"/>
      <c r="C209"/>
      <c r="D209"/>
      <c r="E209" s="6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</row>
    <row r="210" spans="2:27" s="25" customFormat="1" ht="15.75" customHeight="1" x14ac:dyDescent="0.2">
      <c r="B210" s="89"/>
      <c r="C210"/>
      <c r="D210"/>
      <c r="E210" s="69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</row>
    <row r="211" spans="2:27" s="25" customFormat="1" ht="15.75" customHeight="1" x14ac:dyDescent="0.2">
      <c r="B211" s="89"/>
      <c r="C211"/>
      <c r="D211"/>
      <c r="E211" s="69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</row>
    <row r="212" spans="2:27" s="25" customFormat="1" ht="15.75" customHeight="1" x14ac:dyDescent="0.2">
      <c r="B212" s="89"/>
      <c r="C212"/>
      <c r="D212"/>
      <c r="E212" s="69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</row>
    <row r="213" spans="2:27" s="25" customFormat="1" ht="15.75" customHeight="1" x14ac:dyDescent="0.2">
      <c r="B213" s="89"/>
      <c r="C213"/>
      <c r="D213"/>
      <c r="E213" s="69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</row>
    <row r="214" spans="2:27" s="25" customFormat="1" ht="15.75" customHeight="1" x14ac:dyDescent="0.2">
      <c r="B214" s="89"/>
      <c r="C214"/>
      <c r="D214"/>
      <c r="E214" s="69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</row>
    <row r="215" spans="2:27" s="25" customFormat="1" ht="15.75" customHeight="1" x14ac:dyDescent="0.2">
      <c r="B215" s="89"/>
      <c r="C215"/>
      <c r="D215"/>
      <c r="E215" s="69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</row>
    <row r="216" spans="2:27" s="25" customFormat="1" ht="15.75" customHeight="1" x14ac:dyDescent="0.2">
      <c r="B216" s="89"/>
      <c r="C216"/>
      <c r="D216"/>
      <c r="E216" s="69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</row>
    <row r="217" spans="2:27" s="25" customFormat="1" ht="15.75" customHeight="1" x14ac:dyDescent="0.2">
      <c r="B217" s="89"/>
      <c r="C217"/>
      <c r="D217"/>
      <c r="E217" s="69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</row>
    <row r="218" spans="2:27" s="25" customFormat="1" ht="15.75" customHeight="1" x14ac:dyDescent="0.2">
      <c r="B218" s="89"/>
      <c r="C218"/>
      <c r="D218"/>
      <c r="E218" s="69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</row>
    <row r="219" spans="2:27" s="25" customFormat="1" ht="15.75" customHeight="1" x14ac:dyDescent="0.2">
      <c r="B219" s="89"/>
      <c r="C219"/>
      <c r="D219"/>
      <c r="E219" s="6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</row>
    <row r="220" spans="2:27" s="25" customFormat="1" ht="15.75" customHeight="1" x14ac:dyDescent="0.2">
      <c r="B220" s="89"/>
      <c r="C220"/>
      <c r="D220"/>
      <c r="E220" s="69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</row>
    <row r="221" spans="2:27" s="25" customFormat="1" ht="15.75" customHeight="1" x14ac:dyDescent="0.2">
      <c r="B221" s="89"/>
      <c r="C221"/>
      <c r="D221"/>
      <c r="E221" s="69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</row>
    <row r="222" spans="2:27" s="25" customFormat="1" ht="15.75" customHeight="1" x14ac:dyDescent="0.2">
      <c r="B222" s="89"/>
      <c r="C222"/>
      <c r="D222"/>
      <c r="E222" s="69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</row>
    <row r="223" spans="2:27" s="25" customFormat="1" ht="15.75" customHeight="1" x14ac:dyDescent="0.2">
      <c r="B223" s="89"/>
      <c r="C223"/>
      <c r="D223"/>
      <c r="E223" s="69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</row>
    <row r="224" spans="2:27" s="25" customFormat="1" ht="15.75" customHeight="1" x14ac:dyDescent="0.2">
      <c r="B224" s="89"/>
      <c r="C224"/>
      <c r="D224"/>
      <c r="E224" s="69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</row>
    <row r="225" spans="2:27" s="25" customFormat="1" ht="15.75" customHeight="1" x14ac:dyDescent="0.2">
      <c r="B225" s="89"/>
      <c r="C225"/>
      <c r="D225"/>
      <c r="E225" s="69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</row>
    <row r="226" spans="2:27" s="25" customFormat="1" ht="15.75" customHeight="1" x14ac:dyDescent="0.2">
      <c r="B226" s="89"/>
      <c r="C226"/>
      <c r="D226"/>
      <c r="E226" s="69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</row>
    <row r="227" spans="2:27" s="25" customFormat="1" ht="15.75" customHeight="1" x14ac:dyDescent="0.2">
      <c r="B227" s="89"/>
      <c r="C227"/>
      <c r="D227"/>
      <c r="E227" s="69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</row>
    <row r="228" spans="2:27" s="25" customFormat="1" ht="15.75" customHeight="1" x14ac:dyDescent="0.2">
      <c r="B228" s="89"/>
      <c r="C228"/>
      <c r="D228"/>
      <c r="E228" s="69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</row>
    <row r="229" spans="2:27" s="25" customFormat="1" ht="15.75" customHeight="1" x14ac:dyDescent="0.2">
      <c r="B229" s="89"/>
      <c r="C229"/>
      <c r="D229"/>
      <c r="E229" s="6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</row>
    <row r="230" spans="2:27" s="25" customFormat="1" ht="15.75" customHeight="1" x14ac:dyDescent="0.2">
      <c r="B230" s="89"/>
      <c r="C230"/>
      <c r="D230"/>
      <c r="E230" s="69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</row>
    <row r="231" spans="2:27" s="25" customFormat="1" ht="15.75" customHeight="1" x14ac:dyDescent="0.2">
      <c r="B231" s="89"/>
      <c r="C231"/>
      <c r="D231"/>
      <c r="E231" s="69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</row>
    <row r="232" spans="2:27" s="25" customFormat="1" ht="15.75" customHeight="1" x14ac:dyDescent="0.2">
      <c r="B232" s="89"/>
      <c r="C232"/>
      <c r="D232"/>
      <c r="E232" s="69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</row>
    <row r="233" spans="2:27" s="25" customFormat="1" ht="15.75" customHeight="1" x14ac:dyDescent="0.2">
      <c r="B233" s="89"/>
      <c r="C233"/>
      <c r="D233"/>
      <c r="E233" s="69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</row>
    <row r="234" spans="2:27" s="25" customFormat="1" ht="15.75" customHeight="1" x14ac:dyDescent="0.2">
      <c r="B234" s="89"/>
      <c r="C234"/>
      <c r="D234"/>
      <c r="E234" s="69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</row>
    <row r="235" spans="2:27" s="25" customFormat="1" ht="15.75" customHeight="1" x14ac:dyDescent="0.2">
      <c r="B235" s="89"/>
      <c r="C235"/>
      <c r="D235"/>
      <c r="E235" s="69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</row>
    <row r="236" spans="2:27" s="25" customFormat="1" ht="15.75" customHeight="1" x14ac:dyDescent="0.2">
      <c r="B236" s="89"/>
      <c r="C236"/>
      <c r="D236"/>
      <c r="E236" s="69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</row>
    <row r="237" spans="2:27" s="25" customFormat="1" ht="15.75" customHeight="1" x14ac:dyDescent="0.2">
      <c r="B237" s="89"/>
      <c r="C237"/>
      <c r="D237"/>
      <c r="E237" s="69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</row>
    <row r="238" spans="2:27" s="25" customFormat="1" ht="15.75" customHeight="1" x14ac:dyDescent="0.2">
      <c r="B238" s="89"/>
      <c r="C238"/>
      <c r="D238"/>
      <c r="E238" s="69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</row>
    <row r="239" spans="2:27" s="25" customFormat="1" ht="15.75" customHeight="1" x14ac:dyDescent="0.2">
      <c r="B239" s="89"/>
      <c r="C239"/>
      <c r="D239"/>
      <c r="E239" s="6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</row>
    <row r="240" spans="2:27" s="25" customFormat="1" ht="15.75" customHeight="1" x14ac:dyDescent="0.2">
      <c r="B240" s="89"/>
      <c r="C240"/>
      <c r="D240"/>
      <c r="E240" s="69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</row>
    <row r="241" spans="2:27" s="25" customFormat="1" ht="15.75" customHeight="1" x14ac:dyDescent="0.2">
      <c r="B241" s="89"/>
      <c r="C241"/>
      <c r="D241"/>
      <c r="E241" s="69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</row>
    <row r="242" spans="2:27" s="25" customFormat="1" ht="15.75" customHeight="1" x14ac:dyDescent="0.2">
      <c r="B242" s="89"/>
      <c r="C242"/>
      <c r="D242"/>
      <c r="E242" s="69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</row>
    <row r="243" spans="2:27" s="25" customFormat="1" ht="15.75" customHeight="1" x14ac:dyDescent="0.2">
      <c r="B243" s="89"/>
      <c r="C243"/>
      <c r="D243"/>
      <c r="E243" s="69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</row>
    <row r="244" spans="2:27" s="25" customFormat="1" ht="15.75" customHeight="1" x14ac:dyDescent="0.2">
      <c r="B244" s="89"/>
      <c r="C244"/>
      <c r="D244"/>
      <c r="E244" s="69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</row>
    <row r="245" spans="2:27" s="25" customFormat="1" ht="15.75" customHeight="1" x14ac:dyDescent="0.2">
      <c r="B245" s="89"/>
      <c r="C245"/>
      <c r="D245"/>
      <c r="E245" s="69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</row>
    <row r="246" spans="2:27" s="25" customFormat="1" ht="15.75" customHeight="1" x14ac:dyDescent="0.2">
      <c r="B246" s="89"/>
      <c r="C246"/>
      <c r="D246"/>
      <c r="E246" s="69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</row>
    <row r="247" spans="2:27" s="25" customFormat="1" ht="15.75" customHeight="1" x14ac:dyDescent="0.2">
      <c r="B247" s="89"/>
      <c r="C247"/>
      <c r="D247"/>
      <c r="E247" s="69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</row>
    <row r="248" spans="2:27" s="25" customFormat="1" ht="15.75" customHeight="1" x14ac:dyDescent="0.2">
      <c r="B248" s="89"/>
      <c r="C248"/>
      <c r="D248"/>
      <c r="E248" s="69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</row>
    <row r="249" spans="2:27" s="25" customFormat="1" ht="15.75" customHeight="1" x14ac:dyDescent="0.2">
      <c r="B249" s="89"/>
      <c r="C249"/>
      <c r="D249"/>
      <c r="E249" s="6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</row>
    <row r="250" spans="2:27" s="25" customFormat="1" ht="15.75" customHeight="1" x14ac:dyDescent="0.2">
      <c r="B250" s="89"/>
      <c r="C250"/>
      <c r="D250"/>
      <c r="E250" s="69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</row>
    <row r="251" spans="2:27" s="25" customFormat="1" ht="15.75" customHeight="1" x14ac:dyDescent="0.2">
      <c r="B251" s="89"/>
      <c r="C251"/>
      <c r="D251"/>
      <c r="E251" s="69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</row>
    <row r="252" spans="2:27" s="25" customFormat="1" ht="15.75" customHeight="1" x14ac:dyDescent="0.2">
      <c r="B252" s="89"/>
      <c r="C252"/>
      <c r="D252"/>
      <c r="E252" s="69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</row>
    <row r="253" spans="2:27" s="25" customFormat="1" ht="15.75" customHeight="1" x14ac:dyDescent="0.2">
      <c r="B253" s="89"/>
      <c r="C253"/>
      <c r="D253"/>
      <c r="E253" s="69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</row>
    <row r="254" spans="2:27" s="25" customFormat="1" ht="15.75" customHeight="1" x14ac:dyDescent="0.2">
      <c r="B254" s="89"/>
      <c r="C254"/>
      <c r="D254"/>
      <c r="E254" s="69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</row>
    <row r="255" spans="2:27" s="25" customFormat="1" ht="15.75" customHeight="1" x14ac:dyDescent="0.2">
      <c r="B255" s="89"/>
      <c r="C255"/>
      <c r="D255"/>
      <c r="E255" s="69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</row>
    <row r="256" spans="2:27" s="25" customFormat="1" ht="15.75" customHeight="1" x14ac:dyDescent="0.2">
      <c r="B256" s="89"/>
      <c r="C256"/>
      <c r="D256"/>
      <c r="E256" s="69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</row>
    <row r="257" spans="2:27" s="25" customFormat="1" ht="15.75" customHeight="1" x14ac:dyDescent="0.2">
      <c r="B257" s="89"/>
      <c r="C257"/>
      <c r="D257"/>
      <c r="E257" s="69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</row>
    <row r="258" spans="2:27" s="25" customFormat="1" ht="15.75" customHeight="1" x14ac:dyDescent="0.2">
      <c r="B258" s="89"/>
      <c r="C258"/>
      <c r="D258"/>
      <c r="E258" s="69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</row>
    <row r="259" spans="2:27" s="25" customFormat="1" ht="15.75" customHeight="1" x14ac:dyDescent="0.2">
      <c r="B259" s="89"/>
      <c r="C259"/>
      <c r="D259"/>
      <c r="E259" s="6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</row>
    <row r="260" spans="2:27" s="25" customFormat="1" ht="15.75" customHeight="1" x14ac:dyDescent="0.2">
      <c r="B260" s="89"/>
      <c r="C260"/>
      <c r="D260"/>
      <c r="E260" s="69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</row>
    <row r="261" spans="2:27" s="25" customFormat="1" ht="15.75" customHeight="1" x14ac:dyDescent="0.2">
      <c r="B261" s="89"/>
      <c r="C261"/>
      <c r="D261"/>
      <c r="E261" s="69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</row>
    <row r="262" spans="2:27" s="25" customFormat="1" ht="15.75" customHeight="1" x14ac:dyDescent="0.2">
      <c r="B262" s="89"/>
      <c r="C262"/>
      <c r="D262"/>
      <c r="E262" s="69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</row>
    <row r="263" spans="2:27" s="25" customFormat="1" ht="15.75" customHeight="1" x14ac:dyDescent="0.2">
      <c r="B263" s="89"/>
      <c r="C263"/>
      <c r="D263"/>
      <c r="E263" s="69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</row>
    <row r="264" spans="2:27" s="25" customFormat="1" ht="15.75" customHeight="1" x14ac:dyDescent="0.2">
      <c r="B264" s="89"/>
      <c r="C264"/>
      <c r="D264"/>
      <c r="E264" s="69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</row>
    <row r="265" spans="2:27" s="25" customFormat="1" ht="15.75" customHeight="1" x14ac:dyDescent="0.2">
      <c r="B265" s="89"/>
      <c r="C265"/>
      <c r="D265"/>
      <c r="E265" s="69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</row>
    <row r="266" spans="2:27" s="25" customFormat="1" ht="15.75" customHeight="1" x14ac:dyDescent="0.2">
      <c r="B266" s="89"/>
      <c r="C266"/>
      <c r="D266"/>
      <c r="E266" s="69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</row>
    <row r="267" spans="2:27" s="25" customFormat="1" ht="15.75" customHeight="1" x14ac:dyDescent="0.2">
      <c r="B267" s="89"/>
      <c r="C267"/>
      <c r="D267"/>
      <c r="E267" s="69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</row>
    <row r="268" spans="2:27" s="25" customFormat="1" ht="15.75" customHeight="1" x14ac:dyDescent="0.2">
      <c r="B268" s="89"/>
      <c r="C268"/>
      <c r="D268"/>
      <c r="E268" s="69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</row>
    <row r="269" spans="2:27" s="25" customFormat="1" ht="15.75" customHeight="1" x14ac:dyDescent="0.2">
      <c r="B269" s="89"/>
      <c r="C269"/>
      <c r="D269"/>
      <c r="E269" s="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</row>
    <row r="270" spans="2:27" s="25" customFormat="1" ht="15.75" customHeight="1" x14ac:dyDescent="0.2">
      <c r="B270" s="89"/>
      <c r="C270"/>
      <c r="D270"/>
      <c r="E270" s="69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</row>
    <row r="271" spans="2:27" s="25" customFormat="1" ht="15.75" customHeight="1" x14ac:dyDescent="0.2">
      <c r="B271" s="89"/>
      <c r="C271"/>
      <c r="D271"/>
      <c r="E271" s="69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</row>
    <row r="272" spans="2:27" s="25" customFormat="1" ht="15.75" customHeight="1" x14ac:dyDescent="0.2">
      <c r="B272" s="89"/>
      <c r="C272"/>
      <c r="D272"/>
      <c r="E272" s="69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</row>
    <row r="273" spans="2:27" s="25" customFormat="1" ht="15.75" customHeight="1" x14ac:dyDescent="0.2">
      <c r="B273" s="89"/>
      <c r="C273"/>
      <c r="D273"/>
      <c r="E273" s="69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</row>
    <row r="274" spans="2:27" s="25" customFormat="1" ht="15.75" customHeight="1" x14ac:dyDescent="0.2">
      <c r="B274" s="89"/>
      <c r="C274"/>
      <c r="D274"/>
      <c r="E274" s="69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</row>
    <row r="275" spans="2:27" s="25" customFormat="1" ht="15.75" customHeight="1" x14ac:dyDescent="0.2">
      <c r="B275" s="89"/>
      <c r="C275"/>
      <c r="D275"/>
      <c r="E275" s="69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</row>
    <row r="276" spans="2:27" s="25" customFormat="1" ht="15.75" customHeight="1" x14ac:dyDescent="0.2">
      <c r="B276" s="89"/>
      <c r="C276"/>
      <c r="D276"/>
      <c r="E276" s="69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</row>
    <row r="277" spans="2:27" s="25" customFormat="1" ht="15.75" customHeight="1" x14ac:dyDescent="0.2">
      <c r="B277" s="89"/>
      <c r="C277"/>
      <c r="D277"/>
      <c r="E277" s="69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</row>
    <row r="278" spans="2:27" s="25" customFormat="1" ht="15.75" customHeight="1" x14ac:dyDescent="0.2">
      <c r="B278" s="89"/>
      <c r="C278"/>
      <c r="D278"/>
      <c r="E278" s="69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</row>
    <row r="279" spans="2:27" s="25" customFormat="1" ht="15.75" customHeight="1" x14ac:dyDescent="0.2">
      <c r="B279" s="89"/>
      <c r="C279"/>
      <c r="D279"/>
      <c r="E279" s="6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</row>
    <row r="280" spans="2:27" s="25" customFormat="1" ht="15.75" customHeight="1" x14ac:dyDescent="0.2">
      <c r="B280" s="89"/>
      <c r="C280"/>
      <c r="D280"/>
      <c r="E280" s="69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</row>
    <row r="281" spans="2:27" s="25" customFormat="1" ht="15.75" customHeight="1" x14ac:dyDescent="0.2">
      <c r="B281" s="89"/>
      <c r="C281"/>
      <c r="D281"/>
      <c r="E281" s="69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</row>
    <row r="282" spans="2:27" s="25" customFormat="1" ht="15.75" customHeight="1" x14ac:dyDescent="0.2">
      <c r="B282" s="89"/>
      <c r="C282"/>
      <c r="D282"/>
      <c r="E282" s="69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</row>
    <row r="283" spans="2:27" s="25" customFormat="1" ht="15.75" customHeight="1" x14ac:dyDescent="0.2">
      <c r="B283" s="89"/>
      <c r="C283"/>
      <c r="D283"/>
      <c r="E283" s="69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</row>
    <row r="284" spans="2:27" s="25" customFormat="1" ht="15.75" customHeight="1" x14ac:dyDescent="0.2">
      <c r="B284" s="89"/>
      <c r="C284"/>
      <c r="D284"/>
      <c r="E284" s="69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</row>
    <row r="285" spans="2:27" s="25" customFormat="1" ht="15.75" customHeight="1" x14ac:dyDescent="0.2">
      <c r="B285" s="89"/>
      <c r="C285"/>
      <c r="D285"/>
      <c r="E285" s="69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</row>
    <row r="286" spans="2:27" s="25" customFormat="1" ht="15.75" customHeight="1" x14ac:dyDescent="0.2">
      <c r="B286" s="89"/>
      <c r="C286"/>
      <c r="D286"/>
      <c r="E286" s="69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</row>
    <row r="287" spans="2:27" s="25" customFormat="1" ht="15.75" customHeight="1" x14ac:dyDescent="0.2">
      <c r="B287" s="89"/>
      <c r="C287"/>
      <c r="D287"/>
      <c r="E287" s="69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</row>
    <row r="288" spans="2:27" s="25" customFormat="1" ht="15.75" customHeight="1" x14ac:dyDescent="0.2">
      <c r="B288" s="89"/>
      <c r="C288"/>
      <c r="D288"/>
      <c r="E288" s="69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</row>
    <row r="289" spans="2:27" s="25" customFormat="1" ht="15.75" customHeight="1" x14ac:dyDescent="0.2">
      <c r="B289" s="89"/>
      <c r="C289"/>
      <c r="D289"/>
      <c r="E289" s="6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</row>
    <row r="290" spans="2:27" s="25" customFormat="1" ht="15.75" customHeight="1" x14ac:dyDescent="0.2">
      <c r="B290" s="89"/>
      <c r="C290"/>
      <c r="D290"/>
      <c r="E290" s="69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</row>
    <row r="291" spans="2:27" s="25" customFormat="1" ht="15.75" customHeight="1" x14ac:dyDescent="0.2">
      <c r="B291" s="89"/>
      <c r="C291"/>
      <c r="D291"/>
      <c r="E291" s="69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</row>
    <row r="292" spans="2:27" s="25" customFormat="1" ht="15.75" customHeight="1" x14ac:dyDescent="0.2">
      <c r="B292" s="89"/>
      <c r="C292"/>
      <c r="D292"/>
      <c r="E292" s="69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</row>
    <row r="293" spans="2:27" s="25" customFormat="1" ht="15.75" customHeight="1" x14ac:dyDescent="0.2">
      <c r="B293" s="89"/>
      <c r="C293"/>
      <c r="D293"/>
      <c r="E293" s="69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</row>
    <row r="294" spans="2:27" s="25" customFormat="1" ht="15.75" customHeight="1" x14ac:dyDescent="0.2">
      <c r="B294" s="89"/>
      <c r="C294"/>
      <c r="D294"/>
      <c r="E294" s="69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</row>
    <row r="295" spans="2:27" s="25" customFormat="1" ht="15.75" customHeight="1" x14ac:dyDescent="0.2">
      <c r="B295" s="89"/>
      <c r="C295"/>
      <c r="D295"/>
      <c r="E295" s="69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</row>
    <row r="296" spans="2:27" s="25" customFormat="1" ht="15.75" customHeight="1" x14ac:dyDescent="0.2">
      <c r="B296" s="89"/>
      <c r="C296"/>
      <c r="D296"/>
      <c r="E296" s="69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</row>
    <row r="297" spans="2:27" s="25" customFormat="1" ht="15.75" customHeight="1" x14ac:dyDescent="0.2">
      <c r="B297" s="89"/>
      <c r="C297"/>
      <c r="D297"/>
      <c r="E297" s="69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</row>
    <row r="298" spans="2:27" s="25" customFormat="1" ht="15.75" customHeight="1" x14ac:dyDescent="0.2">
      <c r="B298" s="89"/>
      <c r="C298"/>
      <c r="D298"/>
      <c r="E298" s="69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</row>
    <row r="299" spans="2:27" s="25" customFormat="1" ht="15.75" customHeight="1" x14ac:dyDescent="0.2">
      <c r="B299" s="89"/>
      <c r="C299"/>
      <c r="D299"/>
      <c r="E299" s="6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</row>
    <row r="300" spans="2:27" s="25" customFormat="1" ht="15.75" customHeight="1" x14ac:dyDescent="0.2">
      <c r="B300" s="89"/>
      <c r="C300"/>
      <c r="D300"/>
      <c r="E300" s="69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</row>
    <row r="301" spans="2:27" s="25" customFormat="1" ht="15.75" customHeight="1" x14ac:dyDescent="0.2">
      <c r="B301" s="89"/>
      <c r="C301"/>
      <c r="D301"/>
      <c r="E301" s="69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</row>
    <row r="302" spans="2:27" s="25" customFormat="1" ht="15.75" customHeight="1" x14ac:dyDescent="0.2">
      <c r="B302" s="89"/>
      <c r="C302"/>
      <c r="D302"/>
      <c r="E302" s="69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</row>
    <row r="303" spans="2:27" s="25" customFormat="1" ht="15.75" customHeight="1" x14ac:dyDescent="0.2">
      <c r="B303" s="89"/>
      <c r="C303"/>
      <c r="D303"/>
      <c r="E303" s="69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</row>
    <row r="304" spans="2:27" s="25" customFormat="1" ht="15.75" customHeight="1" x14ac:dyDescent="0.2">
      <c r="B304" s="89"/>
      <c r="C304"/>
      <c r="D304"/>
      <c r="E304" s="69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</row>
    <row r="305" spans="2:27" s="25" customFormat="1" ht="15.75" customHeight="1" x14ac:dyDescent="0.2">
      <c r="B305" s="89"/>
      <c r="C305"/>
      <c r="D305"/>
      <c r="E305" s="69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</row>
    <row r="306" spans="2:27" s="25" customFormat="1" ht="15.75" customHeight="1" x14ac:dyDescent="0.2">
      <c r="B306" s="89"/>
      <c r="C306"/>
      <c r="D306"/>
      <c r="E306" s="69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</row>
    <row r="307" spans="2:27" s="25" customFormat="1" ht="15.75" customHeight="1" x14ac:dyDescent="0.2">
      <c r="B307" s="89"/>
      <c r="C307"/>
      <c r="D307"/>
      <c r="E307" s="69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</row>
    <row r="308" spans="2:27" s="25" customFormat="1" ht="15.75" customHeight="1" x14ac:dyDescent="0.2">
      <c r="B308" s="89"/>
      <c r="C308"/>
      <c r="D308"/>
      <c r="E308" s="69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</row>
    <row r="309" spans="2:27" s="25" customFormat="1" ht="15.75" customHeight="1" x14ac:dyDescent="0.2">
      <c r="B309" s="89"/>
      <c r="C309"/>
      <c r="D309"/>
      <c r="E309" s="6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</row>
    <row r="310" spans="2:27" s="25" customFormat="1" ht="15.75" customHeight="1" x14ac:dyDescent="0.2">
      <c r="B310" s="89"/>
      <c r="C310"/>
      <c r="D310"/>
      <c r="E310" s="69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</row>
    <row r="311" spans="2:27" s="25" customFormat="1" ht="15.75" customHeight="1" x14ac:dyDescent="0.2">
      <c r="B311" s="89"/>
      <c r="C311"/>
      <c r="D311"/>
      <c r="E311" s="69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</row>
    <row r="312" spans="2:27" s="25" customFormat="1" ht="15.75" customHeight="1" x14ac:dyDescent="0.2">
      <c r="B312" s="89"/>
      <c r="C312"/>
      <c r="D312"/>
      <c r="E312" s="69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</row>
    <row r="313" spans="2:27" s="25" customFormat="1" ht="15.75" customHeight="1" x14ac:dyDescent="0.2">
      <c r="B313" s="89"/>
      <c r="C313"/>
      <c r="D313"/>
      <c r="E313" s="69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</row>
    <row r="314" spans="2:27" s="25" customFormat="1" ht="15.75" customHeight="1" x14ac:dyDescent="0.2">
      <c r="B314" s="89"/>
      <c r="C314"/>
      <c r="D314"/>
      <c r="E314" s="69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</row>
    <row r="315" spans="2:27" s="25" customFormat="1" ht="15.75" customHeight="1" x14ac:dyDescent="0.2">
      <c r="B315" s="89"/>
      <c r="C315"/>
      <c r="D315"/>
      <c r="E315" s="69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</row>
    <row r="316" spans="2:27" s="25" customFormat="1" ht="15.75" customHeight="1" x14ac:dyDescent="0.2">
      <c r="B316" s="89"/>
      <c r="C316"/>
      <c r="D316"/>
      <c r="E316" s="69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</row>
    <row r="317" spans="2:27" s="25" customFormat="1" ht="15.75" customHeight="1" x14ac:dyDescent="0.2">
      <c r="B317" s="89"/>
      <c r="C317"/>
      <c r="D317"/>
      <c r="E317" s="69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</row>
    <row r="318" spans="2:27" s="25" customFormat="1" ht="15.75" customHeight="1" x14ac:dyDescent="0.2">
      <c r="B318" s="89"/>
      <c r="C318"/>
      <c r="D318"/>
      <c r="E318" s="69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</row>
    <row r="319" spans="2:27" s="25" customFormat="1" ht="15.75" customHeight="1" x14ac:dyDescent="0.2">
      <c r="B319" s="89"/>
      <c r="C319"/>
      <c r="D319"/>
      <c r="E319" s="6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</row>
    <row r="320" spans="2:27" s="25" customFormat="1" ht="15.75" customHeight="1" x14ac:dyDescent="0.2">
      <c r="B320" s="89"/>
      <c r="C320"/>
      <c r="D320"/>
      <c r="E320" s="69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</row>
    <row r="321" spans="2:27" s="25" customFormat="1" ht="15.75" customHeight="1" x14ac:dyDescent="0.2">
      <c r="B321" s="89"/>
      <c r="C321"/>
      <c r="D321"/>
      <c r="E321" s="69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</row>
    <row r="322" spans="2:27" s="25" customFormat="1" ht="15.75" customHeight="1" x14ac:dyDescent="0.2">
      <c r="B322" s="89"/>
      <c r="C322"/>
      <c r="D322"/>
      <c r="E322" s="69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</row>
    <row r="323" spans="2:27" s="25" customFormat="1" ht="15.75" customHeight="1" x14ac:dyDescent="0.2">
      <c r="B323" s="89"/>
      <c r="C323"/>
      <c r="D323"/>
      <c r="E323" s="69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</row>
    <row r="324" spans="2:27" s="25" customFormat="1" ht="15.75" customHeight="1" x14ac:dyDescent="0.2">
      <c r="B324" s="89"/>
      <c r="C324"/>
      <c r="D324"/>
      <c r="E324" s="69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</row>
    <row r="325" spans="2:27" s="25" customFormat="1" ht="15.75" customHeight="1" x14ac:dyDescent="0.2">
      <c r="B325" s="89"/>
      <c r="C325"/>
      <c r="D325"/>
      <c r="E325" s="69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</row>
    <row r="326" spans="2:27" s="25" customFormat="1" ht="15.75" customHeight="1" x14ac:dyDescent="0.2">
      <c r="B326" s="89"/>
      <c r="C326"/>
      <c r="D326"/>
      <c r="E326" s="69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</row>
    <row r="327" spans="2:27" s="25" customFormat="1" ht="15.75" customHeight="1" x14ac:dyDescent="0.2">
      <c r="B327" s="89"/>
      <c r="C327"/>
      <c r="D327"/>
      <c r="E327" s="69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</row>
    <row r="328" spans="2:27" s="25" customFormat="1" ht="15.75" customHeight="1" x14ac:dyDescent="0.2">
      <c r="B328" s="89"/>
      <c r="C328"/>
      <c r="D328"/>
      <c r="E328" s="69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</row>
    <row r="329" spans="2:27" s="25" customFormat="1" ht="15.75" customHeight="1" x14ac:dyDescent="0.2">
      <c r="B329" s="89"/>
      <c r="C329"/>
      <c r="D329"/>
      <c r="E329" s="6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</row>
    <row r="330" spans="2:27" s="25" customFormat="1" ht="15.75" customHeight="1" x14ac:dyDescent="0.2">
      <c r="B330" s="89"/>
      <c r="C330"/>
      <c r="D330"/>
      <c r="E330" s="69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</row>
    <row r="331" spans="2:27" s="25" customFormat="1" ht="15.75" customHeight="1" x14ac:dyDescent="0.2">
      <c r="B331" s="89"/>
      <c r="C331"/>
      <c r="D331"/>
      <c r="E331" s="69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</row>
    <row r="332" spans="2:27" s="25" customFormat="1" ht="15.75" customHeight="1" x14ac:dyDescent="0.2">
      <c r="B332" s="89"/>
      <c r="C332"/>
      <c r="D332"/>
      <c r="E332" s="69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</row>
    <row r="333" spans="2:27" s="25" customFormat="1" ht="15.75" customHeight="1" x14ac:dyDescent="0.2">
      <c r="B333" s="89"/>
      <c r="C333"/>
      <c r="D333"/>
      <c r="E333" s="69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</row>
    <row r="334" spans="2:27" s="25" customFormat="1" ht="15.75" customHeight="1" x14ac:dyDescent="0.2">
      <c r="B334" s="89"/>
      <c r="C334"/>
      <c r="D334"/>
      <c r="E334" s="69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</row>
    <row r="335" spans="2:27" s="25" customFormat="1" ht="15.75" customHeight="1" x14ac:dyDescent="0.2">
      <c r="B335" s="89"/>
      <c r="C335"/>
      <c r="D335"/>
      <c r="E335" s="69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</row>
    <row r="336" spans="2:27" s="25" customFormat="1" ht="15.75" customHeight="1" x14ac:dyDescent="0.2">
      <c r="B336" s="89"/>
      <c r="C336"/>
      <c r="D336"/>
      <c r="E336" s="69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</row>
    <row r="337" spans="2:27" s="25" customFormat="1" ht="15.75" customHeight="1" x14ac:dyDescent="0.2">
      <c r="B337" s="89"/>
      <c r="C337"/>
      <c r="D337"/>
      <c r="E337" s="69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</row>
    <row r="338" spans="2:27" s="25" customFormat="1" ht="15.75" customHeight="1" x14ac:dyDescent="0.2">
      <c r="B338" s="89"/>
      <c r="C338"/>
      <c r="D338"/>
      <c r="E338" s="69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</row>
    <row r="339" spans="2:27" s="25" customFormat="1" ht="15.75" customHeight="1" x14ac:dyDescent="0.2">
      <c r="B339" s="89"/>
      <c r="C339"/>
      <c r="D339"/>
      <c r="E339" s="6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</row>
    <row r="340" spans="2:27" s="25" customFormat="1" ht="15.75" customHeight="1" x14ac:dyDescent="0.2">
      <c r="B340" s="89"/>
      <c r="C340"/>
      <c r="D340"/>
      <c r="E340" s="69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</row>
    <row r="341" spans="2:27" s="25" customFormat="1" ht="15.75" customHeight="1" x14ac:dyDescent="0.2">
      <c r="B341" s="89"/>
      <c r="C341"/>
      <c r="D341"/>
      <c r="E341" s="69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</row>
    <row r="342" spans="2:27" s="25" customFormat="1" ht="15.75" customHeight="1" x14ac:dyDescent="0.2">
      <c r="B342" s="89"/>
      <c r="C342"/>
      <c r="D342"/>
      <c r="E342" s="69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</row>
    <row r="343" spans="2:27" s="25" customFormat="1" ht="15.75" customHeight="1" x14ac:dyDescent="0.2">
      <c r="B343" s="89"/>
      <c r="C343"/>
      <c r="D343"/>
      <c r="E343" s="69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</row>
    <row r="344" spans="2:27" s="25" customFormat="1" ht="15.75" customHeight="1" x14ac:dyDescent="0.2">
      <c r="B344" s="89"/>
      <c r="C344"/>
      <c r="D344"/>
      <c r="E344" s="69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</row>
    <row r="345" spans="2:27" s="25" customFormat="1" ht="15.75" customHeight="1" x14ac:dyDescent="0.2">
      <c r="B345" s="89"/>
      <c r="C345"/>
      <c r="D345"/>
      <c r="E345" s="69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</row>
    <row r="346" spans="2:27" s="25" customFormat="1" ht="15.75" customHeight="1" x14ac:dyDescent="0.2">
      <c r="B346" s="89"/>
      <c r="C346"/>
      <c r="D346"/>
      <c r="E346" s="69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</row>
    <row r="347" spans="2:27" s="25" customFormat="1" ht="15.75" customHeight="1" x14ac:dyDescent="0.2">
      <c r="B347" s="89"/>
      <c r="C347"/>
      <c r="D347"/>
      <c r="E347" s="69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</row>
    <row r="348" spans="2:27" s="25" customFormat="1" ht="15.75" customHeight="1" x14ac:dyDescent="0.2">
      <c r="B348" s="89"/>
      <c r="C348"/>
      <c r="D348"/>
      <c r="E348" s="69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</row>
    <row r="349" spans="2:27" s="25" customFormat="1" ht="15.75" customHeight="1" x14ac:dyDescent="0.2">
      <c r="B349" s="89"/>
      <c r="C349"/>
      <c r="D349"/>
      <c r="E349" s="6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</row>
    <row r="350" spans="2:27" s="25" customFormat="1" ht="15.75" customHeight="1" x14ac:dyDescent="0.2">
      <c r="B350" s="89"/>
      <c r="C350"/>
      <c r="D350"/>
      <c r="E350" s="69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</row>
    <row r="351" spans="2:27" s="25" customFormat="1" ht="15.75" customHeight="1" x14ac:dyDescent="0.2">
      <c r="B351" s="89"/>
      <c r="C351"/>
      <c r="D351"/>
      <c r="E351" s="69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</row>
    <row r="352" spans="2:27" s="25" customFormat="1" ht="15.75" customHeight="1" x14ac:dyDescent="0.2">
      <c r="B352" s="89"/>
      <c r="C352"/>
      <c r="D352"/>
      <c r="E352" s="69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</row>
    <row r="353" spans="2:27" s="25" customFormat="1" ht="15.75" customHeight="1" x14ac:dyDescent="0.2">
      <c r="B353" s="89"/>
      <c r="C353"/>
      <c r="D353"/>
      <c r="E353" s="69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</row>
    <row r="354" spans="2:27" s="25" customFormat="1" ht="15.75" customHeight="1" x14ac:dyDescent="0.2">
      <c r="B354" s="89"/>
      <c r="C354"/>
      <c r="D354"/>
      <c r="E354" s="69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  <c r="AA354"/>
    </row>
    <row r="355" spans="2:27" s="25" customFormat="1" ht="15.75" customHeight="1" x14ac:dyDescent="0.2">
      <c r="B355" s="89"/>
      <c r="C355"/>
      <c r="D355"/>
      <c r="E355" s="69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</row>
    <row r="356" spans="2:27" s="25" customFormat="1" ht="15.75" customHeight="1" x14ac:dyDescent="0.2">
      <c r="B356" s="89"/>
      <c r="C356"/>
      <c r="D356"/>
      <c r="E356" s="69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</row>
    <row r="357" spans="2:27" s="25" customFormat="1" ht="15.75" customHeight="1" x14ac:dyDescent="0.2">
      <c r="B357" s="89"/>
      <c r="C357"/>
      <c r="D357"/>
      <c r="E357" s="69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</row>
    <row r="358" spans="2:27" s="25" customFormat="1" ht="15.75" customHeight="1" x14ac:dyDescent="0.2">
      <c r="B358" s="89"/>
      <c r="C358"/>
      <c r="D358"/>
      <c r="E358" s="69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</row>
    <row r="359" spans="2:27" s="25" customFormat="1" ht="15.75" customHeight="1" x14ac:dyDescent="0.2">
      <c r="B359" s="89"/>
      <c r="C359"/>
      <c r="D359"/>
      <c r="E359" s="6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</row>
    <row r="360" spans="2:27" s="25" customFormat="1" ht="15.75" customHeight="1" x14ac:dyDescent="0.2">
      <c r="B360" s="89"/>
      <c r="C360"/>
      <c r="D360"/>
      <c r="E360" s="69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</row>
    <row r="361" spans="2:27" s="25" customFormat="1" ht="15.75" customHeight="1" x14ac:dyDescent="0.2">
      <c r="B361" s="89"/>
      <c r="C361"/>
      <c r="D361"/>
      <c r="E361" s="69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</row>
    <row r="362" spans="2:27" s="25" customFormat="1" ht="15.75" customHeight="1" x14ac:dyDescent="0.2">
      <c r="B362" s="89"/>
      <c r="C362"/>
      <c r="D362"/>
      <c r="E362" s="69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</row>
    <row r="363" spans="2:27" s="25" customFormat="1" ht="15.75" customHeight="1" x14ac:dyDescent="0.2">
      <c r="B363" s="89"/>
      <c r="C363"/>
      <c r="D363"/>
      <c r="E363" s="69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</row>
    <row r="364" spans="2:27" s="25" customFormat="1" ht="15.75" customHeight="1" x14ac:dyDescent="0.2">
      <c r="B364" s="89"/>
      <c r="C364"/>
      <c r="D364"/>
      <c r="E364" s="69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</row>
    <row r="365" spans="2:27" s="25" customFormat="1" ht="15.75" customHeight="1" x14ac:dyDescent="0.2">
      <c r="B365" s="89"/>
      <c r="C365"/>
      <c r="D365"/>
      <c r="E365" s="69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</row>
    <row r="366" spans="2:27" s="25" customFormat="1" ht="15.75" customHeight="1" x14ac:dyDescent="0.2">
      <c r="B366" s="89"/>
      <c r="C366"/>
      <c r="D366"/>
      <c r="E366" s="69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</row>
    <row r="367" spans="2:27" s="25" customFormat="1" ht="15.75" customHeight="1" x14ac:dyDescent="0.2">
      <c r="B367" s="89"/>
      <c r="C367"/>
      <c r="D367"/>
      <c r="E367" s="69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</row>
    <row r="368" spans="2:27" s="25" customFormat="1" ht="15.75" customHeight="1" x14ac:dyDescent="0.2">
      <c r="B368" s="89"/>
      <c r="C368"/>
      <c r="D368"/>
      <c r="E368" s="69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</row>
    <row r="369" spans="2:27" s="25" customFormat="1" ht="15.75" customHeight="1" x14ac:dyDescent="0.2">
      <c r="B369" s="89"/>
      <c r="C369"/>
      <c r="D369"/>
      <c r="E369" s="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</row>
    <row r="370" spans="2:27" s="25" customFormat="1" ht="15.75" customHeight="1" x14ac:dyDescent="0.2">
      <c r="B370" s="89"/>
      <c r="C370"/>
      <c r="D370"/>
      <c r="E370" s="69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</row>
    <row r="371" spans="2:27" s="25" customFormat="1" ht="15.75" customHeight="1" x14ac:dyDescent="0.2">
      <c r="B371" s="89"/>
      <c r="C371"/>
      <c r="D371"/>
      <c r="E371" s="69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</row>
    <row r="372" spans="2:27" s="25" customFormat="1" ht="15.75" customHeight="1" x14ac:dyDescent="0.2">
      <c r="B372" s="89"/>
      <c r="C372"/>
      <c r="D372"/>
      <c r="E372" s="69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</row>
    <row r="373" spans="2:27" s="25" customFormat="1" ht="15.75" customHeight="1" x14ac:dyDescent="0.2">
      <c r="B373" s="89"/>
      <c r="C373"/>
      <c r="D373"/>
      <c r="E373" s="69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</row>
    <row r="374" spans="2:27" s="25" customFormat="1" ht="15.75" customHeight="1" x14ac:dyDescent="0.2">
      <c r="B374" s="89"/>
      <c r="C374"/>
      <c r="D374"/>
      <c r="E374" s="69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</row>
    <row r="375" spans="2:27" s="25" customFormat="1" ht="15.75" customHeight="1" x14ac:dyDescent="0.2">
      <c r="B375" s="89"/>
      <c r="C375"/>
      <c r="D375"/>
      <c r="E375" s="69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</row>
    <row r="376" spans="2:27" s="25" customFormat="1" ht="15.75" customHeight="1" x14ac:dyDescent="0.2">
      <c r="B376" s="89"/>
      <c r="C376"/>
      <c r="D376"/>
      <c r="E376" s="69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</row>
    <row r="377" spans="2:27" s="25" customFormat="1" ht="15.75" customHeight="1" x14ac:dyDescent="0.2">
      <c r="B377" s="89"/>
      <c r="C377"/>
      <c r="D377"/>
      <c r="E377" s="69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</row>
    <row r="378" spans="2:27" s="25" customFormat="1" ht="15.75" customHeight="1" x14ac:dyDescent="0.2">
      <c r="B378" s="89"/>
      <c r="C378"/>
      <c r="D378"/>
      <c r="E378" s="69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</row>
    <row r="379" spans="2:27" s="25" customFormat="1" ht="15.75" customHeight="1" x14ac:dyDescent="0.2">
      <c r="B379" s="89"/>
      <c r="C379"/>
      <c r="D379"/>
      <c r="E379" s="6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</row>
    <row r="380" spans="2:27" s="25" customFormat="1" ht="15.75" customHeight="1" x14ac:dyDescent="0.2">
      <c r="B380" s="89"/>
      <c r="C380"/>
      <c r="D380"/>
      <c r="E380" s="69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</row>
    <row r="381" spans="2:27" s="25" customFormat="1" ht="15.75" customHeight="1" x14ac:dyDescent="0.2">
      <c r="B381" s="89"/>
      <c r="C381"/>
      <c r="D381"/>
      <c r="E381" s="69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  <c r="AA381"/>
    </row>
    <row r="382" spans="2:27" s="25" customFormat="1" ht="15.75" customHeight="1" x14ac:dyDescent="0.2">
      <c r="B382" s="89"/>
      <c r="C382"/>
      <c r="D382"/>
      <c r="E382" s="69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  <c r="AA382"/>
    </row>
    <row r="383" spans="2:27" s="25" customFormat="1" ht="15.75" customHeight="1" x14ac:dyDescent="0.2">
      <c r="B383" s="89"/>
      <c r="C383"/>
      <c r="D383"/>
      <c r="E383" s="69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  <c r="AA383"/>
    </row>
    <row r="384" spans="2:27" s="25" customFormat="1" ht="15.75" customHeight="1" x14ac:dyDescent="0.2">
      <c r="B384" s="89"/>
      <c r="C384"/>
      <c r="D384"/>
      <c r="E384" s="69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</row>
    <row r="385" spans="2:27" s="25" customFormat="1" ht="15.75" customHeight="1" x14ac:dyDescent="0.2">
      <c r="B385" s="89"/>
      <c r="C385"/>
      <c r="D385"/>
      <c r="E385" s="69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  <c r="AA385"/>
    </row>
    <row r="386" spans="2:27" s="25" customFormat="1" ht="15.75" customHeight="1" x14ac:dyDescent="0.2">
      <c r="B386" s="89"/>
      <c r="C386"/>
      <c r="D386"/>
      <c r="E386" s="69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</row>
    <row r="387" spans="2:27" s="25" customFormat="1" ht="15.75" customHeight="1" x14ac:dyDescent="0.2">
      <c r="B387" s="89"/>
      <c r="C387"/>
      <c r="D387"/>
      <c r="E387" s="69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/>
    </row>
    <row r="388" spans="2:27" s="25" customFormat="1" ht="15.75" customHeight="1" x14ac:dyDescent="0.2">
      <c r="B388" s="89"/>
      <c r="C388"/>
      <c r="D388"/>
      <c r="E388" s="69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</row>
    <row r="389" spans="2:27" s="25" customFormat="1" ht="15.75" customHeight="1" x14ac:dyDescent="0.2">
      <c r="B389" s="89"/>
      <c r="C389"/>
      <c r="D389"/>
      <c r="E389" s="6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</row>
    <row r="390" spans="2:27" s="25" customFormat="1" ht="15.75" customHeight="1" x14ac:dyDescent="0.2">
      <c r="B390" s="89"/>
      <c r="C390"/>
      <c r="D390"/>
      <c r="E390" s="69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</row>
    <row r="391" spans="2:27" s="25" customFormat="1" ht="15.75" customHeight="1" x14ac:dyDescent="0.2">
      <c r="B391" s="89"/>
      <c r="C391"/>
      <c r="D391"/>
      <c r="E391" s="69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  <c r="AA391"/>
    </row>
    <row r="392" spans="2:27" s="25" customFormat="1" ht="15.75" customHeight="1" x14ac:dyDescent="0.2">
      <c r="B392" s="89"/>
      <c r="C392"/>
      <c r="D392"/>
      <c r="E392" s="69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</row>
    <row r="393" spans="2:27" s="25" customFormat="1" ht="15.75" customHeight="1" x14ac:dyDescent="0.2">
      <c r="B393" s="89"/>
      <c r="C393"/>
      <c r="D393"/>
      <c r="E393" s="69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  <c r="AA393"/>
    </row>
    <row r="394" spans="2:27" s="25" customFormat="1" ht="15.75" customHeight="1" x14ac:dyDescent="0.2">
      <c r="B394" s="89"/>
      <c r="C394"/>
      <c r="D394"/>
      <c r="E394" s="69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  <c r="AA394"/>
    </row>
    <row r="395" spans="2:27" s="25" customFormat="1" ht="15.75" customHeight="1" x14ac:dyDescent="0.2">
      <c r="B395" s="89"/>
      <c r="C395"/>
      <c r="D395"/>
      <c r="E395" s="69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  <c r="AA395"/>
    </row>
    <row r="396" spans="2:27" s="25" customFormat="1" ht="15.75" customHeight="1" x14ac:dyDescent="0.2">
      <c r="B396" s="89"/>
      <c r="C396"/>
      <c r="D396"/>
      <c r="E396" s="69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</row>
    <row r="397" spans="2:27" s="25" customFormat="1" ht="15.75" customHeight="1" x14ac:dyDescent="0.2">
      <c r="B397" s="89"/>
      <c r="C397"/>
      <c r="D397"/>
      <c r="E397" s="69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</row>
    <row r="398" spans="2:27" s="25" customFormat="1" ht="15.75" customHeight="1" x14ac:dyDescent="0.2">
      <c r="B398" s="89"/>
      <c r="C398"/>
      <c r="D398"/>
      <c r="E398" s="69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</row>
    <row r="399" spans="2:27" s="25" customFormat="1" ht="15.75" customHeight="1" x14ac:dyDescent="0.2">
      <c r="B399" s="89"/>
      <c r="C399"/>
      <c r="D399"/>
      <c r="E399" s="6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</row>
    <row r="400" spans="2:27" s="25" customFormat="1" ht="15.75" customHeight="1" x14ac:dyDescent="0.2">
      <c r="B400" s="89"/>
      <c r="C400"/>
      <c r="D400"/>
      <c r="E400" s="69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</row>
    <row r="401" spans="2:27" s="25" customFormat="1" ht="15.75" customHeight="1" x14ac:dyDescent="0.2">
      <c r="B401" s="89"/>
      <c r="C401"/>
      <c r="D401"/>
      <c r="E401" s="69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</row>
    <row r="402" spans="2:27" s="25" customFormat="1" ht="15.75" customHeight="1" x14ac:dyDescent="0.2">
      <c r="B402" s="89"/>
      <c r="C402"/>
      <c r="D402"/>
      <c r="E402" s="69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</row>
    <row r="403" spans="2:27" s="25" customFormat="1" ht="15.75" customHeight="1" x14ac:dyDescent="0.2">
      <c r="B403" s="89"/>
      <c r="C403"/>
      <c r="D403"/>
      <c r="E403" s="69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</row>
    <row r="404" spans="2:27" s="25" customFormat="1" ht="15.75" customHeight="1" x14ac:dyDescent="0.2">
      <c r="B404" s="89"/>
      <c r="C404"/>
      <c r="D404"/>
      <c r="E404" s="69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</row>
    <row r="405" spans="2:27" s="25" customFormat="1" ht="15.75" customHeight="1" x14ac:dyDescent="0.2">
      <c r="B405" s="89"/>
      <c r="C405"/>
      <c r="D405"/>
      <c r="E405" s="69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</row>
    <row r="406" spans="2:27" s="25" customFormat="1" ht="15.75" customHeight="1" x14ac:dyDescent="0.2">
      <c r="B406" s="89"/>
      <c r="C406"/>
      <c r="D406"/>
      <c r="E406" s="69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  <c r="AA406"/>
    </row>
    <row r="407" spans="2:27" s="25" customFormat="1" ht="15.75" customHeight="1" x14ac:dyDescent="0.2">
      <c r="B407" s="89"/>
      <c r="C407"/>
      <c r="D407"/>
      <c r="E407" s="69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  <c r="AA407"/>
    </row>
    <row r="408" spans="2:27" s="25" customFormat="1" ht="15.75" customHeight="1" x14ac:dyDescent="0.2">
      <c r="B408" s="89"/>
      <c r="C408"/>
      <c r="D408"/>
      <c r="E408" s="69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</row>
    <row r="409" spans="2:27" s="25" customFormat="1" ht="15.75" customHeight="1" x14ac:dyDescent="0.2">
      <c r="B409" s="89"/>
      <c r="C409"/>
      <c r="D409"/>
      <c r="E409" s="6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</row>
    <row r="410" spans="2:27" s="25" customFormat="1" ht="15.75" customHeight="1" x14ac:dyDescent="0.2">
      <c r="B410" s="89"/>
      <c r="C410"/>
      <c r="D410"/>
      <c r="E410" s="69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</row>
    <row r="411" spans="2:27" s="25" customFormat="1" ht="15.75" customHeight="1" x14ac:dyDescent="0.2">
      <c r="B411" s="89"/>
      <c r="C411"/>
      <c r="D411"/>
      <c r="E411" s="69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  <c r="AA411"/>
    </row>
    <row r="412" spans="2:27" s="25" customFormat="1" ht="15.75" customHeight="1" x14ac:dyDescent="0.2">
      <c r="B412" s="89"/>
      <c r="C412"/>
      <c r="D412"/>
      <c r="E412" s="69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</row>
    <row r="413" spans="2:27" s="25" customFormat="1" ht="15.75" customHeight="1" x14ac:dyDescent="0.2">
      <c r="B413" s="89"/>
      <c r="C413"/>
      <c r="D413"/>
      <c r="E413" s="69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/>
    </row>
    <row r="414" spans="2:27" s="25" customFormat="1" ht="15.75" customHeight="1" x14ac:dyDescent="0.2">
      <c r="B414" s="89"/>
      <c r="C414"/>
      <c r="D414"/>
      <c r="E414" s="69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  <c r="AA414"/>
    </row>
    <row r="415" spans="2:27" s="25" customFormat="1" ht="15.75" customHeight="1" x14ac:dyDescent="0.2">
      <c r="B415" s="89"/>
      <c r="C415"/>
      <c r="D415"/>
      <c r="E415" s="69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  <c r="Z415"/>
      <c r="AA415"/>
    </row>
    <row r="416" spans="2:27" s="25" customFormat="1" ht="15.75" customHeight="1" x14ac:dyDescent="0.2">
      <c r="B416" s="89"/>
      <c r="C416"/>
      <c r="D416"/>
      <c r="E416" s="69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  <c r="AA416"/>
    </row>
    <row r="417" spans="2:27" s="25" customFormat="1" ht="15.75" customHeight="1" x14ac:dyDescent="0.2">
      <c r="B417" s="89"/>
      <c r="C417"/>
      <c r="D417"/>
      <c r="E417" s="69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  <c r="AA417"/>
    </row>
    <row r="418" spans="2:27" s="25" customFormat="1" ht="15.75" customHeight="1" x14ac:dyDescent="0.2">
      <c r="B418" s="89"/>
      <c r="C418"/>
      <c r="D418"/>
      <c r="E418" s="69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  <c r="AA418"/>
    </row>
    <row r="419" spans="2:27" s="25" customFormat="1" ht="15.75" customHeight="1" x14ac:dyDescent="0.2">
      <c r="B419" s="89"/>
      <c r="C419"/>
      <c r="D419"/>
      <c r="E419" s="6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  <c r="AA419"/>
    </row>
    <row r="420" spans="2:27" s="25" customFormat="1" ht="15.75" customHeight="1" x14ac:dyDescent="0.2">
      <c r="B420" s="89"/>
      <c r="C420"/>
      <c r="D420"/>
      <c r="E420" s="69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</row>
    <row r="421" spans="2:27" s="25" customFormat="1" ht="15.75" customHeight="1" x14ac:dyDescent="0.2">
      <c r="B421" s="89"/>
      <c r="C421"/>
      <c r="D421"/>
      <c r="E421" s="69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/>
      <c r="W421"/>
      <c r="X421"/>
      <c r="Y421"/>
      <c r="Z421"/>
      <c r="AA421"/>
    </row>
    <row r="422" spans="2:27" s="25" customFormat="1" ht="15.75" customHeight="1" x14ac:dyDescent="0.2">
      <c r="B422" s="89"/>
      <c r="C422"/>
      <c r="D422"/>
      <c r="E422" s="69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  <c r="AA422"/>
    </row>
    <row r="423" spans="2:27" s="25" customFormat="1" ht="15.75" customHeight="1" x14ac:dyDescent="0.2">
      <c r="B423" s="89"/>
      <c r="C423"/>
      <c r="D423"/>
      <c r="E423" s="69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  <c r="AA423"/>
    </row>
    <row r="424" spans="2:27" s="25" customFormat="1" ht="15.75" customHeight="1" x14ac:dyDescent="0.2">
      <c r="B424" s="89"/>
      <c r="C424"/>
      <c r="D424"/>
      <c r="E424" s="69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  <c r="AA424"/>
    </row>
    <row r="425" spans="2:27" s="25" customFormat="1" ht="15.75" customHeight="1" x14ac:dyDescent="0.2">
      <c r="B425" s="89"/>
      <c r="C425"/>
      <c r="D425"/>
      <c r="E425" s="69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  <c r="AA425"/>
    </row>
    <row r="426" spans="2:27" s="25" customFormat="1" ht="15.75" customHeight="1" x14ac:dyDescent="0.2">
      <c r="B426" s="89"/>
      <c r="C426"/>
      <c r="D426"/>
      <c r="E426" s="69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  <c r="AA426"/>
    </row>
    <row r="427" spans="2:27" s="25" customFormat="1" ht="15.75" customHeight="1" x14ac:dyDescent="0.2">
      <c r="B427" s="89"/>
      <c r="C427"/>
      <c r="D427"/>
      <c r="E427" s="69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  <c r="AA427"/>
    </row>
    <row r="428" spans="2:27" s="25" customFormat="1" ht="15.75" customHeight="1" x14ac:dyDescent="0.2">
      <c r="B428" s="89"/>
      <c r="C428"/>
      <c r="D428"/>
      <c r="E428" s="69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</row>
    <row r="429" spans="2:27" s="25" customFormat="1" ht="15.75" customHeight="1" x14ac:dyDescent="0.2">
      <c r="B429" s="89"/>
      <c r="C429"/>
      <c r="D429"/>
      <c r="E429" s="6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  <c r="AA429"/>
    </row>
    <row r="430" spans="2:27" s="25" customFormat="1" ht="15.75" customHeight="1" x14ac:dyDescent="0.2">
      <c r="B430" s="89"/>
      <c r="C430"/>
      <c r="D430"/>
      <c r="E430" s="69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  <c r="W430"/>
      <c r="X430"/>
      <c r="Y430"/>
      <c r="Z430"/>
      <c r="AA430"/>
    </row>
    <row r="431" spans="2:27" s="25" customFormat="1" ht="15.75" customHeight="1" x14ac:dyDescent="0.2">
      <c r="B431" s="89"/>
      <c r="C431"/>
      <c r="D431"/>
      <c r="E431" s="69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  <c r="Y431"/>
      <c r="Z431"/>
      <c r="AA431"/>
    </row>
    <row r="432" spans="2:27" s="25" customFormat="1" ht="15.75" customHeight="1" x14ac:dyDescent="0.2">
      <c r="B432" s="89"/>
      <c r="C432"/>
      <c r="D432"/>
      <c r="E432" s="69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  <c r="AA432"/>
    </row>
    <row r="433" spans="2:27" s="25" customFormat="1" ht="15.75" customHeight="1" x14ac:dyDescent="0.2">
      <c r="B433" s="89"/>
      <c r="C433"/>
      <c r="D433"/>
      <c r="E433" s="69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  <c r="AA433"/>
    </row>
    <row r="434" spans="2:27" s="25" customFormat="1" ht="15.75" customHeight="1" x14ac:dyDescent="0.2">
      <c r="B434" s="89"/>
      <c r="C434"/>
      <c r="D434"/>
      <c r="E434" s="69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  <c r="AA434"/>
    </row>
    <row r="435" spans="2:27" s="25" customFormat="1" ht="15.75" customHeight="1" x14ac:dyDescent="0.2">
      <c r="B435" s="89"/>
      <c r="C435"/>
      <c r="D435"/>
      <c r="E435" s="69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  <c r="V435"/>
      <c r="W435"/>
      <c r="X435"/>
      <c r="Y435"/>
      <c r="Z435"/>
      <c r="AA435"/>
    </row>
    <row r="436" spans="2:27" s="25" customFormat="1" ht="15.75" customHeight="1" x14ac:dyDescent="0.2">
      <c r="B436" s="89"/>
      <c r="C436"/>
      <c r="D436"/>
      <c r="E436" s="69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</row>
    <row r="437" spans="2:27" s="25" customFormat="1" ht="15.75" customHeight="1" x14ac:dyDescent="0.2">
      <c r="B437" s="89"/>
      <c r="C437"/>
      <c r="D437"/>
      <c r="E437" s="69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  <c r="Y437"/>
      <c r="Z437"/>
      <c r="AA437"/>
    </row>
    <row r="438" spans="2:27" s="25" customFormat="1" ht="15.75" customHeight="1" x14ac:dyDescent="0.2">
      <c r="B438" s="89"/>
      <c r="C438"/>
      <c r="D438"/>
      <c r="E438" s="69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  <c r="W438"/>
      <c r="X438"/>
      <c r="Y438"/>
      <c r="Z438"/>
      <c r="AA438"/>
    </row>
    <row r="439" spans="2:27" s="25" customFormat="1" ht="15.75" customHeight="1" x14ac:dyDescent="0.2">
      <c r="B439" s="89"/>
      <c r="C439"/>
      <c r="D439"/>
      <c r="E439" s="6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  <c r="AA439"/>
    </row>
    <row r="440" spans="2:27" s="25" customFormat="1" ht="15.75" customHeight="1" x14ac:dyDescent="0.2">
      <c r="B440" s="89"/>
      <c r="C440"/>
      <c r="D440"/>
      <c r="E440" s="69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</row>
    <row r="441" spans="2:27" s="25" customFormat="1" ht="15.75" customHeight="1" x14ac:dyDescent="0.2">
      <c r="B441" s="89"/>
      <c r="C441"/>
      <c r="D441"/>
      <c r="E441" s="69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/>
      <c r="W441"/>
      <c r="X441"/>
      <c r="Y441"/>
      <c r="Z441"/>
      <c r="AA441"/>
    </row>
    <row r="442" spans="2:27" s="25" customFormat="1" ht="15.75" customHeight="1" x14ac:dyDescent="0.2">
      <c r="B442" s="89"/>
      <c r="C442"/>
      <c r="D442"/>
      <c r="E442" s="69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  <c r="AA442"/>
    </row>
    <row r="443" spans="2:27" s="25" customFormat="1" ht="15.75" customHeight="1" x14ac:dyDescent="0.2">
      <c r="B443" s="89"/>
      <c r="C443"/>
      <c r="D443"/>
      <c r="E443" s="69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  <c r="AA443"/>
    </row>
    <row r="444" spans="2:27" s="25" customFormat="1" ht="15.75" customHeight="1" x14ac:dyDescent="0.2">
      <c r="B444" s="89"/>
      <c r="C444"/>
      <c r="D444"/>
      <c r="E444" s="69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  <c r="AA444"/>
    </row>
    <row r="445" spans="2:27" s="25" customFormat="1" ht="15.75" customHeight="1" x14ac:dyDescent="0.2">
      <c r="B445" s="89"/>
      <c r="C445"/>
      <c r="D445"/>
      <c r="E445" s="69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  <c r="V445"/>
      <c r="W445"/>
      <c r="X445"/>
      <c r="Y445"/>
      <c r="Z445"/>
      <c r="AA445"/>
    </row>
    <row r="446" spans="2:27" s="25" customFormat="1" ht="15.75" customHeight="1" x14ac:dyDescent="0.2">
      <c r="B446" s="89"/>
      <c r="C446"/>
      <c r="D446"/>
      <c r="E446" s="69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  <c r="Y446"/>
      <c r="Z446"/>
      <c r="AA446"/>
    </row>
    <row r="447" spans="2:27" s="25" customFormat="1" ht="15.75" customHeight="1" x14ac:dyDescent="0.2">
      <c r="B447" s="89"/>
      <c r="C447"/>
      <c r="D447"/>
      <c r="E447" s="69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  <c r="W447"/>
      <c r="X447"/>
      <c r="Y447"/>
      <c r="Z447"/>
      <c r="AA447"/>
    </row>
    <row r="448" spans="2:27" s="25" customFormat="1" ht="15.75" customHeight="1" x14ac:dyDescent="0.2">
      <c r="B448" s="89"/>
      <c r="C448"/>
      <c r="D448"/>
      <c r="E448" s="69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</row>
    <row r="449" spans="2:27" s="25" customFormat="1" ht="15.75" customHeight="1" x14ac:dyDescent="0.2">
      <c r="B449" s="89"/>
      <c r="C449"/>
      <c r="D449"/>
      <c r="E449" s="6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  <c r="W449"/>
      <c r="X449"/>
      <c r="Y449"/>
      <c r="Z449"/>
      <c r="AA449"/>
    </row>
    <row r="450" spans="2:27" s="25" customFormat="1" ht="15.75" customHeight="1" x14ac:dyDescent="0.2">
      <c r="B450" s="89"/>
      <c r="C450"/>
      <c r="D450"/>
      <c r="E450" s="69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  <c r="AA450"/>
    </row>
    <row r="451" spans="2:27" s="25" customFormat="1" ht="15.75" customHeight="1" x14ac:dyDescent="0.2">
      <c r="B451" s="89"/>
      <c r="C451"/>
      <c r="D451"/>
      <c r="E451" s="69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  <c r="AA451"/>
    </row>
    <row r="452" spans="2:27" s="25" customFormat="1" ht="15.75" customHeight="1" x14ac:dyDescent="0.2">
      <c r="B452" s="89"/>
      <c r="C452"/>
      <c r="D452"/>
      <c r="E452" s="69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</row>
    <row r="453" spans="2:27" s="25" customFormat="1" ht="15.75" customHeight="1" x14ac:dyDescent="0.2">
      <c r="B453" s="89"/>
      <c r="C453"/>
      <c r="D453"/>
      <c r="E453" s="69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  <c r="AA453"/>
    </row>
    <row r="454" spans="2:27" s="25" customFormat="1" ht="15.75" customHeight="1" x14ac:dyDescent="0.2">
      <c r="B454" s="89"/>
      <c r="C454"/>
      <c r="D454"/>
      <c r="E454" s="69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  <c r="AA454"/>
    </row>
    <row r="455" spans="2:27" s="25" customFormat="1" ht="15.75" customHeight="1" x14ac:dyDescent="0.2">
      <c r="B455" s="89"/>
      <c r="C455"/>
      <c r="D455"/>
      <c r="E455" s="69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  <c r="AA455"/>
    </row>
    <row r="456" spans="2:27" s="25" customFormat="1" ht="15.75" customHeight="1" x14ac:dyDescent="0.2">
      <c r="B456" s="89"/>
      <c r="C456"/>
      <c r="D456"/>
      <c r="E456" s="69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  <c r="AA456"/>
    </row>
    <row r="457" spans="2:27" s="25" customFormat="1" ht="15.75" customHeight="1" x14ac:dyDescent="0.2">
      <c r="B457" s="89"/>
      <c r="C457"/>
      <c r="D457"/>
      <c r="E457" s="69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  <c r="AA457"/>
    </row>
    <row r="458" spans="2:27" s="25" customFormat="1" ht="15.75" customHeight="1" x14ac:dyDescent="0.2">
      <c r="B458" s="89"/>
      <c r="C458"/>
      <c r="D458"/>
      <c r="E458" s="69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  <c r="V458"/>
      <c r="W458"/>
      <c r="X458"/>
      <c r="Y458"/>
      <c r="Z458"/>
      <c r="AA458"/>
    </row>
    <row r="459" spans="2:27" s="25" customFormat="1" ht="15.75" customHeight="1" x14ac:dyDescent="0.2">
      <c r="B459" s="89"/>
      <c r="C459"/>
      <c r="D459"/>
      <c r="E459" s="6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  <c r="AA459"/>
    </row>
    <row r="460" spans="2:27" s="25" customFormat="1" ht="15.75" customHeight="1" x14ac:dyDescent="0.2">
      <c r="B460" s="89"/>
      <c r="C460"/>
      <c r="D460"/>
      <c r="E460" s="69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  <c r="AA460"/>
    </row>
    <row r="461" spans="2:27" s="25" customFormat="1" ht="15.75" customHeight="1" x14ac:dyDescent="0.2">
      <c r="B461" s="89"/>
      <c r="C461"/>
      <c r="D461"/>
      <c r="E461" s="69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  <c r="AA461"/>
    </row>
    <row r="462" spans="2:27" s="25" customFormat="1" ht="15.75" customHeight="1" x14ac:dyDescent="0.2">
      <c r="B462" s="89"/>
      <c r="C462"/>
      <c r="D462"/>
      <c r="E462" s="69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  <c r="AA462"/>
    </row>
    <row r="463" spans="2:27" s="25" customFormat="1" ht="15.75" customHeight="1" x14ac:dyDescent="0.2">
      <c r="B463" s="89"/>
      <c r="C463"/>
      <c r="D463"/>
      <c r="E463" s="69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  <c r="AA463"/>
    </row>
    <row r="464" spans="2:27" s="25" customFormat="1" ht="15.75" customHeight="1" x14ac:dyDescent="0.2">
      <c r="B464" s="89"/>
      <c r="C464"/>
      <c r="D464"/>
      <c r="E464" s="69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  <c r="AA464"/>
    </row>
    <row r="465" spans="2:27" s="25" customFormat="1" ht="15.75" customHeight="1" x14ac:dyDescent="0.2">
      <c r="B465" s="89"/>
      <c r="C465"/>
      <c r="D465"/>
      <c r="E465" s="69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  <c r="AA465"/>
    </row>
    <row r="466" spans="2:27" s="25" customFormat="1" ht="15.75" customHeight="1" x14ac:dyDescent="0.2">
      <c r="B466" s="89"/>
      <c r="C466"/>
      <c r="D466"/>
      <c r="E466" s="69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  <c r="AA466"/>
    </row>
    <row r="467" spans="2:27" s="25" customFormat="1" ht="15.75" customHeight="1" x14ac:dyDescent="0.2">
      <c r="B467" s="89"/>
      <c r="C467"/>
      <c r="D467"/>
      <c r="E467" s="69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  <c r="AA467"/>
    </row>
    <row r="468" spans="2:27" s="25" customFormat="1" ht="15.75" customHeight="1" x14ac:dyDescent="0.2">
      <c r="B468" s="89"/>
      <c r="C468"/>
      <c r="D468"/>
      <c r="E468" s="69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</row>
    <row r="469" spans="2:27" s="25" customFormat="1" ht="15.75" customHeight="1" x14ac:dyDescent="0.2">
      <c r="B469" s="89"/>
      <c r="C469"/>
      <c r="D469"/>
      <c r="E469" s="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  <c r="AA469"/>
    </row>
    <row r="470" spans="2:27" s="25" customFormat="1" ht="15.75" customHeight="1" x14ac:dyDescent="0.2">
      <c r="B470" s="89"/>
      <c r="C470"/>
      <c r="D470"/>
      <c r="E470" s="69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  <c r="AA470"/>
    </row>
    <row r="471" spans="2:27" s="25" customFormat="1" ht="15.75" customHeight="1" x14ac:dyDescent="0.2">
      <c r="B471" s="89"/>
      <c r="C471"/>
      <c r="D471"/>
      <c r="E471" s="69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  <c r="AA471"/>
    </row>
    <row r="472" spans="2:27" s="25" customFormat="1" ht="15.75" customHeight="1" x14ac:dyDescent="0.2">
      <c r="B472" s="89"/>
      <c r="C472"/>
      <c r="D472"/>
      <c r="E472" s="69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  <c r="AA472"/>
    </row>
    <row r="473" spans="2:27" s="25" customFormat="1" ht="15.75" customHeight="1" x14ac:dyDescent="0.2">
      <c r="B473" s="89"/>
      <c r="C473"/>
      <c r="D473"/>
      <c r="E473" s="69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  <c r="W473"/>
      <c r="X473"/>
      <c r="Y473"/>
      <c r="Z473"/>
      <c r="AA473"/>
    </row>
    <row r="474" spans="2:27" s="25" customFormat="1" ht="15.75" customHeight="1" x14ac:dyDescent="0.2">
      <c r="B474" s="89"/>
      <c r="C474"/>
      <c r="D474"/>
      <c r="E474" s="69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/>
      <c r="W474"/>
      <c r="X474"/>
      <c r="Y474"/>
      <c r="Z474"/>
      <c r="AA474"/>
    </row>
    <row r="475" spans="2:27" s="25" customFormat="1" ht="15.75" customHeight="1" x14ac:dyDescent="0.2">
      <c r="B475" s="89"/>
      <c r="C475"/>
      <c r="D475"/>
      <c r="E475" s="69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  <c r="W475"/>
      <c r="X475"/>
      <c r="Y475"/>
      <c r="Z475"/>
      <c r="AA475"/>
    </row>
    <row r="476" spans="2:27" s="25" customFormat="1" ht="15.75" customHeight="1" x14ac:dyDescent="0.2">
      <c r="B476" s="89"/>
      <c r="C476"/>
      <c r="D476"/>
      <c r="E476" s="69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  <c r="W476"/>
      <c r="X476"/>
      <c r="Y476"/>
      <c r="Z476"/>
      <c r="AA476"/>
    </row>
    <row r="477" spans="2:27" s="25" customFormat="1" ht="15.75" customHeight="1" x14ac:dyDescent="0.2">
      <c r="B477" s="89"/>
      <c r="C477"/>
      <c r="D477"/>
      <c r="E477" s="69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  <c r="W477"/>
      <c r="X477"/>
      <c r="Y477"/>
      <c r="Z477"/>
      <c r="AA477"/>
    </row>
    <row r="478" spans="2:27" s="25" customFormat="1" ht="15.75" customHeight="1" x14ac:dyDescent="0.2">
      <c r="B478" s="89"/>
      <c r="C478"/>
      <c r="D478"/>
      <c r="E478" s="69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  <c r="W478"/>
      <c r="X478"/>
      <c r="Y478"/>
      <c r="Z478"/>
      <c r="AA478"/>
    </row>
    <row r="479" spans="2:27" s="25" customFormat="1" ht="15.75" customHeight="1" x14ac:dyDescent="0.2">
      <c r="B479" s="89"/>
      <c r="C479"/>
      <c r="D479"/>
      <c r="E479" s="6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  <c r="W479"/>
      <c r="X479"/>
      <c r="Y479"/>
      <c r="Z479"/>
      <c r="AA479"/>
    </row>
    <row r="480" spans="2:27" s="25" customFormat="1" ht="15.75" customHeight="1" x14ac:dyDescent="0.2">
      <c r="B480" s="89"/>
      <c r="C480"/>
      <c r="D480"/>
      <c r="E480" s="69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  <c r="AA480"/>
    </row>
    <row r="481" spans="2:27" s="25" customFormat="1" ht="15.75" customHeight="1" x14ac:dyDescent="0.2">
      <c r="B481" s="89"/>
      <c r="C481"/>
      <c r="D481"/>
      <c r="E481" s="69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  <c r="V481"/>
      <c r="W481"/>
      <c r="X481"/>
      <c r="Y481"/>
      <c r="Z481"/>
      <c r="AA481"/>
    </row>
    <row r="482" spans="2:27" s="25" customFormat="1" ht="15.75" customHeight="1" x14ac:dyDescent="0.2">
      <c r="B482" s="89"/>
      <c r="C482"/>
      <c r="D482"/>
      <c r="E482" s="69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  <c r="W482"/>
      <c r="X482"/>
      <c r="Y482"/>
      <c r="Z482"/>
      <c r="AA482"/>
    </row>
    <row r="483" spans="2:27" s="25" customFormat="1" ht="15.75" customHeight="1" x14ac:dyDescent="0.2">
      <c r="B483" s="89"/>
      <c r="C483"/>
      <c r="D483"/>
      <c r="E483" s="69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  <c r="W483"/>
      <c r="X483"/>
      <c r="Y483"/>
      <c r="Z483"/>
      <c r="AA483"/>
    </row>
    <row r="484" spans="2:27" s="25" customFormat="1" ht="15.75" customHeight="1" x14ac:dyDescent="0.2">
      <c r="B484" s="89"/>
      <c r="C484"/>
      <c r="D484"/>
      <c r="E484" s="69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  <c r="AA484"/>
    </row>
    <row r="485" spans="2:27" s="25" customFormat="1" ht="15.75" customHeight="1" x14ac:dyDescent="0.2">
      <c r="B485" s="89"/>
      <c r="C485"/>
      <c r="D485"/>
      <c r="E485" s="69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  <c r="W485"/>
      <c r="X485"/>
      <c r="Y485"/>
      <c r="Z485"/>
      <c r="AA485"/>
    </row>
    <row r="486" spans="2:27" s="25" customFormat="1" ht="15.75" customHeight="1" x14ac:dyDescent="0.2">
      <c r="B486" s="89"/>
      <c r="C486"/>
      <c r="D486"/>
      <c r="E486" s="69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  <c r="V486"/>
      <c r="W486"/>
      <c r="X486"/>
      <c r="Y486"/>
      <c r="Z486"/>
      <c r="AA486"/>
    </row>
    <row r="487" spans="2:27" s="25" customFormat="1" ht="15.75" customHeight="1" x14ac:dyDescent="0.2">
      <c r="B487" s="89"/>
      <c r="C487"/>
      <c r="D487"/>
      <c r="E487" s="69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  <c r="V487"/>
      <c r="W487"/>
      <c r="X487"/>
      <c r="Y487"/>
      <c r="Z487"/>
      <c r="AA487"/>
    </row>
    <row r="488" spans="2:27" s="25" customFormat="1" ht="15.75" customHeight="1" x14ac:dyDescent="0.2">
      <c r="B488" s="89"/>
      <c r="C488"/>
      <c r="D488"/>
      <c r="E488" s="69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  <c r="AA488"/>
    </row>
    <row r="489" spans="2:27" s="25" customFormat="1" ht="15.75" customHeight="1" x14ac:dyDescent="0.2">
      <c r="B489" s="89"/>
      <c r="C489"/>
      <c r="D489"/>
      <c r="E489" s="6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  <c r="W489"/>
      <c r="X489"/>
      <c r="Y489"/>
      <c r="Z489"/>
      <c r="AA489"/>
    </row>
    <row r="490" spans="2:27" s="25" customFormat="1" ht="15.75" customHeight="1" x14ac:dyDescent="0.2">
      <c r="B490" s="89"/>
      <c r="C490"/>
      <c r="D490"/>
      <c r="E490" s="69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  <c r="V490"/>
      <c r="W490"/>
      <c r="X490"/>
      <c r="Y490"/>
      <c r="Z490"/>
      <c r="AA490"/>
    </row>
    <row r="491" spans="2:27" s="25" customFormat="1" ht="15.75" customHeight="1" x14ac:dyDescent="0.2">
      <c r="B491" s="89"/>
      <c r="C491"/>
      <c r="D491"/>
      <c r="E491" s="69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  <c r="V491"/>
      <c r="W491"/>
      <c r="X491"/>
      <c r="Y491"/>
      <c r="Z491"/>
      <c r="AA491"/>
    </row>
    <row r="492" spans="2:27" s="25" customFormat="1" ht="15.75" customHeight="1" x14ac:dyDescent="0.2">
      <c r="B492" s="89"/>
      <c r="C492"/>
      <c r="D492"/>
      <c r="E492" s="69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  <c r="AA492"/>
    </row>
    <row r="493" spans="2:27" s="25" customFormat="1" ht="15.75" customHeight="1" x14ac:dyDescent="0.2">
      <c r="B493" s="89"/>
      <c r="C493"/>
      <c r="D493"/>
      <c r="E493" s="69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  <c r="W493"/>
      <c r="X493"/>
      <c r="Y493"/>
      <c r="Z493"/>
      <c r="AA493"/>
    </row>
    <row r="494" spans="2:27" s="25" customFormat="1" ht="15.75" customHeight="1" x14ac:dyDescent="0.2">
      <c r="B494" s="89"/>
      <c r="C494"/>
      <c r="D494"/>
      <c r="E494" s="69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  <c r="W494"/>
      <c r="X494"/>
      <c r="Y494"/>
      <c r="Z494"/>
      <c r="AA494"/>
    </row>
    <row r="495" spans="2:27" s="25" customFormat="1" ht="15.75" customHeight="1" x14ac:dyDescent="0.2">
      <c r="B495" s="89"/>
      <c r="C495"/>
      <c r="D495"/>
      <c r="E495" s="69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  <c r="V495"/>
      <c r="W495"/>
      <c r="X495"/>
      <c r="Y495"/>
      <c r="Z495"/>
      <c r="AA495"/>
    </row>
    <row r="496" spans="2:27" s="25" customFormat="1" ht="15.75" customHeight="1" x14ac:dyDescent="0.2">
      <c r="B496" s="89"/>
      <c r="C496"/>
      <c r="D496"/>
      <c r="E496" s="69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  <c r="W496"/>
      <c r="X496"/>
      <c r="Y496"/>
      <c r="Z496"/>
      <c r="AA496"/>
    </row>
    <row r="497" spans="2:27" s="25" customFormat="1" ht="15.75" customHeight="1" x14ac:dyDescent="0.2">
      <c r="B497" s="89"/>
      <c r="C497"/>
      <c r="D497"/>
      <c r="E497" s="69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  <c r="W497"/>
      <c r="X497"/>
      <c r="Y497"/>
      <c r="Z497"/>
      <c r="AA497"/>
    </row>
    <row r="498" spans="2:27" s="25" customFormat="1" ht="15.75" customHeight="1" x14ac:dyDescent="0.2">
      <c r="B498" s="89"/>
      <c r="C498"/>
      <c r="D498"/>
      <c r="E498" s="69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  <c r="W498"/>
      <c r="X498"/>
      <c r="Y498"/>
      <c r="Z498"/>
      <c r="AA498"/>
    </row>
    <row r="499" spans="2:27" s="25" customFormat="1" ht="15.75" customHeight="1" x14ac:dyDescent="0.2">
      <c r="B499" s="89"/>
      <c r="C499"/>
      <c r="D499"/>
      <c r="E499" s="6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  <c r="W499"/>
      <c r="X499"/>
      <c r="Y499"/>
      <c r="Z499"/>
      <c r="AA499"/>
    </row>
    <row r="500" spans="2:27" s="25" customFormat="1" ht="15.75" customHeight="1" x14ac:dyDescent="0.2">
      <c r="B500" s="89"/>
      <c r="C500"/>
      <c r="D500"/>
      <c r="E500" s="69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  <c r="AA500"/>
    </row>
    <row r="501" spans="2:27" s="25" customFormat="1" ht="15.75" customHeight="1" x14ac:dyDescent="0.2">
      <c r="B501" s="89"/>
      <c r="C501"/>
      <c r="D501"/>
      <c r="E501" s="69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/>
      <c r="W501"/>
      <c r="X501"/>
      <c r="Y501"/>
      <c r="Z501"/>
      <c r="AA501"/>
    </row>
    <row r="502" spans="2:27" s="25" customFormat="1" ht="15.75" customHeight="1" x14ac:dyDescent="0.2">
      <c r="B502" s="89"/>
      <c r="C502"/>
      <c r="D502"/>
      <c r="E502" s="69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  <c r="W502"/>
      <c r="X502"/>
      <c r="Y502"/>
      <c r="Z502"/>
      <c r="AA502"/>
    </row>
    <row r="503" spans="2:27" s="25" customFormat="1" ht="15.75" customHeight="1" x14ac:dyDescent="0.2">
      <c r="B503" s="89"/>
      <c r="C503"/>
      <c r="D503"/>
      <c r="E503" s="69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  <c r="AA503"/>
    </row>
    <row r="504" spans="2:27" s="25" customFormat="1" ht="15.75" customHeight="1" x14ac:dyDescent="0.2">
      <c r="B504" s="89"/>
      <c r="C504"/>
      <c r="D504"/>
      <c r="E504" s="69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  <c r="V504"/>
      <c r="W504"/>
      <c r="X504"/>
      <c r="Y504"/>
      <c r="Z504"/>
      <c r="AA504"/>
    </row>
    <row r="505" spans="2:27" s="25" customFormat="1" ht="15.75" customHeight="1" x14ac:dyDescent="0.2">
      <c r="B505" s="89"/>
      <c r="C505"/>
      <c r="D505"/>
      <c r="E505" s="69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  <c r="V505"/>
      <c r="W505"/>
      <c r="X505"/>
      <c r="Y505"/>
      <c r="Z505"/>
      <c r="AA505"/>
    </row>
    <row r="506" spans="2:27" s="25" customFormat="1" ht="15.75" customHeight="1" x14ac:dyDescent="0.2">
      <c r="B506" s="89"/>
      <c r="C506"/>
      <c r="D506"/>
      <c r="E506" s="69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  <c r="V506"/>
      <c r="W506"/>
      <c r="X506"/>
      <c r="Y506"/>
      <c r="Z506"/>
      <c r="AA506"/>
    </row>
    <row r="507" spans="2:27" s="25" customFormat="1" ht="15.75" customHeight="1" x14ac:dyDescent="0.2">
      <c r="B507" s="89"/>
      <c r="C507"/>
      <c r="D507"/>
      <c r="E507" s="69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  <c r="V507"/>
      <c r="W507"/>
      <c r="X507"/>
      <c r="Y507"/>
      <c r="Z507"/>
      <c r="AA507"/>
    </row>
    <row r="508" spans="2:27" s="25" customFormat="1" ht="15.75" customHeight="1" x14ac:dyDescent="0.2">
      <c r="B508" s="89"/>
      <c r="C508"/>
      <c r="D508"/>
      <c r="E508" s="69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  <c r="V508"/>
      <c r="W508"/>
      <c r="X508"/>
      <c r="Y508"/>
      <c r="Z508"/>
      <c r="AA508"/>
    </row>
    <row r="509" spans="2:27" s="25" customFormat="1" ht="15.75" customHeight="1" x14ac:dyDescent="0.2">
      <c r="B509" s="89"/>
      <c r="C509"/>
      <c r="D509"/>
      <c r="E509" s="6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  <c r="V509"/>
      <c r="W509"/>
      <c r="X509"/>
      <c r="Y509"/>
      <c r="Z509"/>
      <c r="AA509"/>
    </row>
    <row r="510" spans="2:27" s="25" customFormat="1" ht="15.75" customHeight="1" x14ac:dyDescent="0.2">
      <c r="B510" s="89"/>
      <c r="C510"/>
      <c r="D510"/>
      <c r="E510" s="69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  <c r="V510"/>
      <c r="W510"/>
      <c r="X510"/>
      <c r="Y510"/>
      <c r="Z510"/>
      <c r="AA510"/>
    </row>
    <row r="511" spans="2:27" s="25" customFormat="1" ht="15.75" customHeight="1" x14ac:dyDescent="0.2">
      <c r="B511" s="89"/>
      <c r="C511"/>
      <c r="D511"/>
      <c r="E511" s="69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  <c r="V511"/>
      <c r="W511"/>
      <c r="X511"/>
      <c r="Y511"/>
      <c r="Z511"/>
      <c r="AA511"/>
    </row>
    <row r="512" spans="2:27" s="25" customFormat="1" ht="15.75" customHeight="1" x14ac:dyDescent="0.2">
      <c r="B512" s="89"/>
      <c r="C512"/>
      <c r="D512"/>
      <c r="E512" s="69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  <c r="V512"/>
      <c r="W512"/>
      <c r="X512"/>
      <c r="Y512"/>
      <c r="Z512"/>
      <c r="AA512"/>
    </row>
    <row r="513" spans="2:27" s="25" customFormat="1" ht="15.75" customHeight="1" x14ac:dyDescent="0.2">
      <c r="B513" s="89"/>
      <c r="C513"/>
      <c r="D513"/>
      <c r="E513" s="69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  <c r="V513"/>
      <c r="W513"/>
      <c r="X513"/>
      <c r="Y513"/>
      <c r="Z513"/>
      <c r="AA513"/>
    </row>
    <row r="514" spans="2:27" s="25" customFormat="1" ht="15.75" customHeight="1" x14ac:dyDescent="0.2">
      <c r="B514" s="89"/>
      <c r="C514"/>
      <c r="D514"/>
      <c r="E514" s="69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  <c r="V514"/>
      <c r="W514"/>
      <c r="X514"/>
      <c r="Y514"/>
      <c r="Z514"/>
      <c r="AA514"/>
    </row>
    <row r="515" spans="2:27" s="25" customFormat="1" ht="15.75" customHeight="1" x14ac:dyDescent="0.2">
      <c r="B515" s="89"/>
      <c r="C515"/>
      <c r="D515"/>
      <c r="E515" s="69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  <c r="V515"/>
      <c r="W515"/>
      <c r="X515"/>
      <c r="Y515"/>
      <c r="Z515"/>
      <c r="AA515"/>
    </row>
    <row r="516" spans="2:27" s="25" customFormat="1" ht="15.75" customHeight="1" x14ac:dyDescent="0.2">
      <c r="B516" s="89"/>
      <c r="C516"/>
      <c r="D516"/>
      <c r="E516" s="69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  <c r="V516"/>
      <c r="W516"/>
      <c r="X516"/>
      <c r="Y516"/>
      <c r="Z516"/>
      <c r="AA516"/>
    </row>
    <row r="517" spans="2:27" s="25" customFormat="1" ht="15.75" customHeight="1" x14ac:dyDescent="0.2">
      <c r="B517" s="89"/>
      <c r="C517"/>
      <c r="D517"/>
      <c r="E517" s="69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  <c r="V517"/>
      <c r="W517"/>
      <c r="X517"/>
      <c r="Y517"/>
      <c r="Z517"/>
      <c r="AA517"/>
    </row>
    <row r="518" spans="2:27" s="25" customFormat="1" ht="15.75" customHeight="1" x14ac:dyDescent="0.2">
      <c r="B518" s="89"/>
      <c r="C518"/>
      <c r="D518"/>
      <c r="E518" s="69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  <c r="V518"/>
      <c r="W518"/>
      <c r="X518"/>
      <c r="Y518"/>
      <c r="Z518"/>
      <c r="AA518"/>
    </row>
    <row r="519" spans="2:27" s="25" customFormat="1" ht="15.75" customHeight="1" x14ac:dyDescent="0.2">
      <c r="B519" s="89"/>
      <c r="C519"/>
      <c r="D519"/>
      <c r="E519" s="6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  <c r="V519"/>
      <c r="W519"/>
      <c r="X519"/>
      <c r="Y519"/>
      <c r="Z519"/>
      <c r="AA519"/>
    </row>
    <row r="520" spans="2:27" s="25" customFormat="1" ht="15.75" customHeight="1" x14ac:dyDescent="0.2">
      <c r="B520" s="89"/>
      <c r="C520"/>
      <c r="D520"/>
      <c r="E520" s="69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  <c r="V520"/>
      <c r="W520"/>
      <c r="X520"/>
      <c r="Y520"/>
      <c r="Z520"/>
      <c r="AA520"/>
    </row>
    <row r="521" spans="2:27" s="25" customFormat="1" ht="15.75" customHeight="1" x14ac:dyDescent="0.2">
      <c r="B521" s="89"/>
      <c r="C521"/>
      <c r="D521"/>
      <c r="E521" s="69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  <c r="V521"/>
      <c r="W521"/>
      <c r="X521"/>
      <c r="Y521"/>
      <c r="Z521"/>
      <c r="AA521"/>
    </row>
    <row r="522" spans="2:27" s="25" customFormat="1" ht="15.75" customHeight="1" x14ac:dyDescent="0.2">
      <c r="B522" s="89"/>
      <c r="C522"/>
      <c r="D522"/>
      <c r="E522" s="69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  <c r="V522"/>
      <c r="W522"/>
      <c r="X522"/>
      <c r="Y522"/>
      <c r="Z522"/>
      <c r="AA522"/>
    </row>
    <row r="523" spans="2:27" s="25" customFormat="1" ht="15.75" customHeight="1" x14ac:dyDescent="0.2">
      <c r="B523" s="89"/>
      <c r="C523"/>
      <c r="D523"/>
      <c r="E523" s="69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  <c r="V523"/>
      <c r="W523"/>
      <c r="X523"/>
      <c r="Y523"/>
      <c r="Z523"/>
      <c r="AA523"/>
    </row>
    <row r="524" spans="2:27" s="25" customFormat="1" ht="15.75" customHeight="1" x14ac:dyDescent="0.2">
      <c r="B524" s="89"/>
      <c r="C524"/>
      <c r="D524"/>
      <c r="E524" s="69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  <c r="V524"/>
      <c r="W524"/>
      <c r="X524"/>
      <c r="Y524"/>
      <c r="Z524"/>
      <c r="AA524"/>
    </row>
    <row r="525" spans="2:27" s="25" customFormat="1" ht="15.75" customHeight="1" x14ac:dyDescent="0.2">
      <c r="B525" s="89"/>
      <c r="C525"/>
      <c r="D525"/>
      <c r="E525" s="69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  <c r="V525"/>
      <c r="W525"/>
      <c r="X525"/>
      <c r="Y525"/>
      <c r="Z525"/>
      <c r="AA525"/>
    </row>
    <row r="526" spans="2:27" s="25" customFormat="1" ht="15.75" customHeight="1" x14ac:dyDescent="0.2">
      <c r="B526" s="89"/>
      <c r="C526"/>
      <c r="D526"/>
      <c r="E526" s="69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  <c r="V526"/>
      <c r="W526"/>
      <c r="X526"/>
      <c r="Y526"/>
      <c r="Z526"/>
      <c r="AA526"/>
    </row>
    <row r="527" spans="2:27" s="25" customFormat="1" ht="15.75" customHeight="1" x14ac:dyDescent="0.2">
      <c r="B527" s="89"/>
      <c r="C527"/>
      <c r="D527"/>
      <c r="E527" s="69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  <c r="V527"/>
      <c r="W527"/>
      <c r="X527"/>
      <c r="Y527"/>
      <c r="Z527"/>
      <c r="AA527"/>
    </row>
    <row r="528" spans="2:27" s="25" customFormat="1" ht="15.75" customHeight="1" x14ac:dyDescent="0.2">
      <c r="B528" s="89"/>
      <c r="C528"/>
      <c r="D528"/>
      <c r="E528" s="69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  <c r="V528"/>
      <c r="W528"/>
      <c r="X528"/>
      <c r="Y528"/>
      <c r="Z528"/>
      <c r="AA528"/>
    </row>
    <row r="529" spans="2:27" s="25" customFormat="1" ht="15.75" customHeight="1" x14ac:dyDescent="0.2">
      <c r="B529" s="89"/>
      <c r="C529"/>
      <c r="D529"/>
      <c r="E529" s="6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  <c r="V529"/>
      <c r="W529"/>
      <c r="X529"/>
      <c r="Y529"/>
      <c r="Z529"/>
      <c r="AA529"/>
    </row>
    <row r="530" spans="2:27" s="25" customFormat="1" ht="15.75" customHeight="1" x14ac:dyDescent="0.2">
      <c r="B530" s="89"/>
      <c r="C530"/>
      <c r="D530"/>
      <c r="E530" s="69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  <c r="V530"/>
      <c r="W530"/>
      <c r="X530"/>
      <c r="Y530"/>
      <c r="Z530"/>
      <c r="AA530"/>
    </row>
    <row r="531" spans="2:27" s="25" customFormat="1" ht="15.75" customHeight="1" x14ac:dyDescent="0.2">
      <c r="B531" s="89"/>
      <c r="C531"/>
      <c r="D531"/>
      <c r="E531" s="69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  <c r="V531"/>
      <c r="W531"/>
      <c r="X531"/>
      <c r="Y531"/>
      <c r="Z531"/>
      <c r="AA531"/>
    </row>
    <row r="532" spans="2:27" s="25" customFormat="1" ht="15.75" customHeight="1" x14ac:dyDescent="0.2">
      <c r="B532" s="89"/>
      <c r="C532"/>
      <c r="D532"/>
      <c r="E532" s="69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  <c r="V532"/>
      <c r="W532"/>
      <c r="X532"/>
      <c r="Y532"/>
      <c r="Z532"/>
      <c r="AA532"/>
    </row>
    <row r="533" spans="2:27" s="25" customFormat="1" ht="15.75" customHeight="1" x14ac:dyDescent="0.2">
      <c r="B533" s="89"/>
      <c r="C533"/>
      <c r="D533"/>
      <c r="E533" s="69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  <c r="V533"/>
      <c r="W533"/>
      <c r="X533"/>
      <c r="Y533"/>
      <c r="Z533"/>
      <c r="AA533"/>
    </row>
    <row r="534" spans="2:27" s="25" customFormat="1" ht="15.75" customHeight="1" x14ac:dyDescent="0.2">
      <c r="B534" s="89"/>
      <c r="C534"/>
      <c r="D534"/>
      <c r="E534" s="69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  <c r="V534"/>
      <c r="W534"/>
      <c r="X534"/>
      <c r="Y534"/>
      <c r="Z534"/>
      <c r="AA534"/>
    </row>
    <row r="535" spans="2:27" s="25" customFormat="1" ht="15.75" customHeight="1" x14ac:dyDescent="0.2">
      <c r="B535" s="89"/>
      <c r="C535"/>
      <c r="D535"/>
      <c r="E535" s="69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  <c r="V535"/>
      <c r="W535"/>
      <c r="X535"/>
      <c r="Y535"/>
      <c r="Z535"/>
      <c r="AA535"/>
    </row>
    <row r="536" spans="2:27" s="25" customFormat="1" ht="15.75" customHeight="1" x14ac:dyDescent="0.2">
      <c r="B536" s="89"/>
      <c r="C536"/>
      <c r="D536"/>
      <c r="E536" s="69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  <c r="V536"/>
      <c r="W536"/>
      <c r="X536"/>
      <c r="Y536"/>
      <c r="Z536"/>
      <c r="AA536"/>
    </row>
    <row r="537" spans="2:27" s="25" customFormat="1" ht="15.75" customHeight="1" x14ac:dyDescent="0.2">
      <c r="B537" s="89"/>
      <c r="C537"/>
      <c r="D537"/>
      <c r="E537" s="69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  <c r="V537"/>
      <c r="W537"/>
      <c r="X537"/>
      <c r="Y537"/>
      <c r="Z537"/>
      <c r="AA537"/>
    </row>
    <row r="538" spans="2:27" s="25" customFormat="1" ht="15.75" customHeight="1" x14ac:dyDescent="0.2">
      <c r="B538" s="89"/>
      <c r="C538"/>
      <c r="D538"/>
      <c r="E538" s="69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  <c r="V538"/>
      <c r="W538"/>
      <c r="X538"/>
      <c r="Y538"/>
      <c r="Z538"/>
      <c r="AA538"/>
    </row>
    <row r="539" spans="2:27" s="25" customFormat="1" ht="15.75" customHeight="1" x14ac:dyDescent="0.2">
      <c r="B539" s="89"/>
      <c r="C539"/>
      <c r="D539"/>
      <c r="E539" s="6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  <c r="V539"/>
      <c r="W539"/>
      <c r="X539"/>
      <c r="Y539"/>
      <c r="Z539"/>
      <c r="AA539"/>
    </row>
    <row r="540" spans="2:27" s="25" customFormat="1" ht="15.75" customHeight="1" x14ac:dyDescent="0.2">
      <c r="B540" s="89"/>
      <c r="C540"/>
      <c r="D540"/>
      <c r="E540" s="69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  <c r="V540"/>
      <c r="W540"/>
      <c r="X540"/>
      <c r="Y540"/>
      <c r="Z540"/>
      <c r="AA540"/>
    </row>
    <row r="541" spans="2:27" s="25" customFormat="1" ht="15.75" customHeight="1" x14ac:dyDescent="0.2">
      <c r="B541" s="89"/>
      <c r="C541"/>
      <c r="D541"/>
      <c r="E541" s="69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  <c r="V541"/>
      <c r="W541"/>
      <c r="X541"/>
      <c r="Y541"/>
      <c r="Z541"/>
      <c r="AA541"/>
    </row>
    <row r="542" spans="2:27" s="25" customFormat="1" ht="15.75" customHeight="1" x14ac:dyDescent="0.2">
      <c r="B542" s="89"/>
      <c r="C542"/>
      <c r="D542"/>
      <c r="E542" s="69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  <c r="V542"/>
      <c r="W542"/>
      <c r="X542"/>
      <c r="Y542"/>
      <c r="Z542"/>
      <c r="AA542"/>
    </row>
    <row r="543" spans="2:27" s="25" customFormat="1" ht="15.75" customHeight="1" x14ac:dyDescent="0.2">
      <c r="B543" s="89"/>
      <c r="C543"/>
      <c r="D543"/>
      <c r="E543" s="69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  <c r="V543"/>
      <c r="W543"/>
      <c r="X543"/>
      <c r="Y543"/>
      <c r="Z543"/>
      <c r="AA543"/>
    </row>
    <row r="544" spans="2:27" s="25" customFormat="1" ht="15.75" customHeight="1" x14ac:dyDescent="0.2">
      <c r="B544" s="89"/>
      <c r="C544"/>
      <c r="D544"/>
      <c r="E544" s="69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  <c r="V544"/>
      <c r="W544"/>
      <c r="X544"/>
      <c r="Y544"/>
      <c r="Z544"/>
      <c r="AA544"/>
    </row>
    <row r="545" spans="2:27" s="25" customFormat="1" ht="15.75" customHeight="1" x14ac:dyDescent="0.2">
      <c r="B545" s="89"/>
      <c r="C545"/>
      <c r="D545"/>
      <c r="E545" s="69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  <c r="V545"/>
      <c r="W545"/>
      <c r="X545"/>
      <c r="Y545"/>
      <c r="Z545"/>
      <c r="AA545"/>
    </row>
    <row r="546" spans="2:27" s="25" customFormat="1" ht="15.75" customHeight="1" x14ac:dyDescent="0.2">
      <c r="B546" s="89"/>
      <c r="C546"/>
      <c r="D546"/>
      <c r="E546" s="69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  <c r="V546"/>
      <c r="W546"/>
      <c r="X546"/>
      <c r="Y546"/>
      <c r="Z546"/>
      <c r="AA546"/>
    </row>
    <row r="547" spans="2:27" s="25" customFormat="1" ht="15.75" customHeight="1" x14ac:dyDescent="0.2">
      <c r="B547" s="89"/>
      <c r="C547"/>
      <c r="D547"/>
      <c r="E547" s="69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  <c r="V547"/>
      <c r="W547"/>
      <c r="X547"/>
      <c r="Y547"/>
      <c r="Z547"/>
      <c r="AA547"/>
    </row>
    <row r="548" spans="2:27" s="25" customFormat="1" ht="15.75" customHeight="1" x14ac:dyDescent="0.2">
      <c r="B548" s="89"/>
      <c r="C548"/>
      <c r="D548"/>
      <c r="E548" s="69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  <c r="V548"/>
      <c r="W548"/>
      <c r="X548"/>
      <c r="Y548"/>
      <c r="Z548"/>
      <c r="AA548"/>
    </row>
    <row r="549" spans="2:27" s="25" customFormat="1" ht="15.75" customHeight="1" x14ac:dyDescent="0.2">
      <c r="B549" s="89"/>
      <c r="C549"/>
      <c r="D549"/>
      <c r="E549" s="6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  <c r="U549"/>
      <c r="V549"/>
      <c r="W549"/>
      <c r="X549"/>
      <c r="Y549"/>
      <c r="Z549"/>
      <c r="AA549"/>
    </row>
    <row r="550" spans="2:27" s="25" customFormat="1" ht="15.75" customHeight="1" x14ac:dyDescent="0.2">
      <c r="B550" s="89"/>
      <c r="C550"/>
      <c r="D550"/>
      <c r="E550" s="69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  <c r="V550"/>
      <c r="W550"/>
      <c r="X550"/>
      <c r="Y550"/>
      <c r="Z550"/>
      <c r="AA550"/>
    </row>
    <row r="551" spans="2:27" s="25" customFormat="1" ht="15.75" customHeight="1" x14ac:dyDescent="0.2">
      <c r="B551" s="89"/>
      <c r="C551"/>
      <c r="D551"/>
      <c r="E551" s="69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  <c r="V551"/>
      <c r="W551"/>
      <c r="X551"/>
      <c r="Y551"/>
      <c r="Z551"/>
      <c r="AA551"/>
    </row>
    <row r="552" spans="2:27" s="25" customFormat="1" ht="15.75" customHeight="1" x14ac:dyDescent="0.2">
      <c r="B552" s="89"/>
      <c r="C552"/>
      <c r="D552"/>
      <c r="E552" s="69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  <c r="V552"/>
      <c r="W552"/>
      <c r="X552"/>
      <c r="Y552"/>
      <c r="Z552"/>
      <c r="AA552"/>
    </row>
    <row r="553" spans="2:27" s="25" customFormat="1" ht="15.75" customHeight="1" x14ac:dyDescent="0.2">
      <c r="B553" s="89"/>
      <c r="C553"/>
      <c r="D553"/>
      <c r="E553" s="69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  <c r="V553"/>
      <c r="W553"/>
      <c r="X553"/>
      <c r="Y553"/>
      <c r="Z553"/>
      <c r="AA553"/>
    </row>
    <row r="554" spans="2:27" s="25" customFormat="1" ht="15.75" customHeight="1" x14ac:dyDescent="0.2">
      <c r="B554" s="89"/>
      <c r="C554"/>
      <c r="D554"/>
      <c r="E554" s="69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  <c r="V554"/>
      <c r="W554"/>
      <c r="X554"/>
      <c r="Y554"/>
      <c r="Z554"/>
      <c r="AA554"/>
    </row>
    <row r="555" spans="2:27" s="25" customFormat="1" ht="15.75" customHeight="1" x14ac:dyDescent="0.2">
      <c r="B555" s="89"/>
      <c r="C555"/>
      <c r="D555"/>
      <c r="E555" s="69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  <c r="V555"/>
      <c r="W555"/>
      <c r="X555"/>
      <c r="Y555"/>
      <c r="Z555"/>
      <c r="AA555"/>
    </row>
    <row r="556" spans="2:27" s="25" customFormat="1" ht="15.75" customHeight="1" x14ac:dyDescent="0.2">
      <c r="B556" s="89"/>
      <c r="C556"/>
      <c r="D556"/>
      <c r="E556" s="69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  <c r="V556"/>
      <c r="W556"/>
      <c r="X556"/>
      <c r="Y556"/>
      <c r="Z556"/>
      <c r="AA556"/>
    </row>
    <row r="557" spans="2:27" s="25" customFormat="1" ht="15.75" customHeight="1" x14ac:dyDescent="0.2">
      <c r="B557" s="89"/>
      <c r="C557"/>
      <c r="D557"/>
      <c r="E557" s="69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  <c r="V557"/>
      <c r="W557"/>
      <c r="X557"/>
      <c r="Y557"/>
      <c r="Z557"/>
      <c r="AA557"/>
    </row>
    <row r="558" spans="2:27" s="25" customFormat="1" ht="15.75" customHeight="1" x14ac:dyDescent="0.2">
      <c r="B558" s="89"/>
      <c r="C558"/>
      <c r="D558"/>
      <c r="E558" s="69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  <c r="V558"/>
      <c r="W558"/>
      <c r="X558"/>
      <c r="Y558"/>
      <c r="Z558"/>
      <c r="AA558"/>
    </row>
    <row r="559" spans="2:27" s="25" customFormat="1" ht="15.75" customHeight="1" x14ac:dyDescent="0.2">
      <c r="B559" s="89"/>
      <c r="C559"/>
      <c r="D559"/>
      <c r="E559" s="6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  <c r="V559"/>
      <c r="W559"/>
      <c r="X559"/>
      <c r="Y559"/>
      <c r="Z559"/>
      <c r="AA559"/>
    </row>
    <row r="560" spans="2:27" s="25" customFormat="1" ht="15.75" customHeight="1" x14ac:dyDescent="0.2">
      <c r="B560" s="89"/>
      <c r="C560"/>
      <c r="D560"/>
      <c r="E560" s="69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  <c r="V560"/>
      <c r="W560"/>
      <c r="X560"/>
      <c r="Y560"/>
      <c r="Z560"/>
      <c r="AA560"/>
    </row>
    <row r="561" spans="2:27" s="25" customFormat="1" ht="15.75" customHeight="1" x14ac:dyDescent="0.2">
      <c r="B561" s="89"/>
      <c r="C561"/>
      <c r="D561"/>
      <c r="E561" s="69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  <c r="V561"/>
      <c r="W561"/>
      <c r="X561"/>
      <c r="Y561"/>
      <c r="Z561"/>
      <c r="AA561"/>
    </row>
    <row r="562" spans="2:27" s="25" customFormat="1" ht="15.75" customHeight="1" x14ac:dyDescent="0.2">
      <c r="B562" s="89"/>
      <c r="C562"/>
      <c r="D562"/>
      <c r="E562" s="69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  <c r="V562"/>
      <c r="W562"/>
      <c r="X562"/>
      <c r="Y562"/>
      <c r="Z562"/>
      <c r="AA562"/>
    </row>
    <row r="563" spans="2:27" s="25" customFormat="1" ht="15.75" customHeight="1" x14ac:dyDescent="0.2">
      <c r="B563" s="89"/>
      <c r="C563"/>
      <c r="D563"/>
      <c r="E563" s="69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  <c r="V563"/>
      <c r="W563"/>
      <c r="X563"/>
      <c r="Y563"/>
      <c r="Z563"/>
      <c r="AA563"/>
    </row>
    <row r="564" spans="2:27" s="25" customFormat="1" ht="15.75" customHeight="1" x14ac:dyDescent="0.2">
      <c r="B564" s="89"/>
      <c r="C564"/>
      <c r="D564"/>
      <c r="E564" s="69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  <c r="V564"/>
      <c r="W564"/>
      <c r="X564"/>
      <c r="Y564"/>
      <c r="Z564"/>
      <c r="AA564"/>
    </row>
    <row r="565" spans="2:27" s="25" customFormat="1" ht="15.75" customHeight="1" x14ac:dyDescent="0.2">
      <c r="B565" s="89"/>
      <c r="C565"/>
      <c r="D565"/>
      <c r="E565" s="69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  <c r="V565"/>
      <c r="W565"/>
      <c r="X565"/>
      <c r="Y565"/>
      <c r="Z565"/>
      <c r="AA565"/>
    </row>
    <row r="566" spans="2:27" s="25" customFormat="1" ht="15.75" customHeight="1" x14ac:dyDescent="0.2">
      <c r="B566" s="89"/>
      <c r="C566"/>
      <c r="D566"/>
      <c r="E566" s="69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  <c r="V566"/>
      <c r="W566"/>
      <c r="X566"/>
      <c r="Y566"/>
      <c r="Z566"/>
      <c r="AA566"/>
    </row>
    <row r="567" spans="2:27" s="25" customFormat="1" ht="15.75" customHeight="1" x14ac:dyDescent="0.2">
      <c r="B567" s="89"/>
      <c r="C567"/>
      <c r="D567"/>
      <c r="E567" s="69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  <c r="V567"/>
      <c r="W567"/>
      <c r="X567"/>
      <c r="Y567"/>
      <c r="Z567"/>
      <c r="AA567"/>
    </row>
    <row r="568" spans="2:27" s="25" customFormat="1" ht="15.75" customHeight="1" x14ac:dyDescent="0.2">
      <c r="B568" s="89"/>
      <c r="C568"/>
      <c r="D568"/>
      <c r="E568" s="69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  <c r="V568"/>
      <c r="W568"/>
      <c r="X568"/>
      <c r="Y568"/>
      <c r="Z568"/>
      <c r="AA568"/>
    </row>
    <row r="569" spans="2:27" s="25" customFormat="1" ht="15.75" customHeight="1" x14ac:dyDescent="0.2">
      <c r="B569" s="89"/>
      <c r="C569"/>
      <c r="D569"/>
      <c r="E569" s="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  <c r="V569"/>
      <c r="W569"/>
      <c r="X569"/>
      <c r="Y569"/>
      <c r="Z569"/>
      <c r="AA569"/>
    </row>
    <row r="570" spans="2:27" s="25" customFormat="1" ht="15.75" customHeight="1" x14ac:dyDescent="0.2">
      <c r="B570" s="89"/>
      <c r="C570"/>
      <c r="D570"/>
      <c r="E570" s="69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  <c r="V570"/>
      <c r="W570"/>
      <c r="X570"/>
      <c r="Y570"/>
      <c r="Z570"/>
      <c r="AA570"/>
    </row>
    <row r="571" spans="2:27" s="25" customFormat="1" ht="15.75" customHeight="1" x14ac:dyDescent="0.2">
      <c r="B571" s="89"/>
      <c r="C571"/>
      <c r="D571"/>
      <c r="E571" s="69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  <c r="V571"/>
      <c r="W571"/>
      <c r="X571"/>
      <c r="Y571"/>
      <c r="Z571"/>
      <c r="AA571"/>
    </row>
    <row r="572" spans="2:27" s="25" customFormat="1" ht="15.75" customHeight="1" x14ac:dyDescent="0.2">
      <c r="B572" s="89"/>
      <c r="C572"/>
      <c r="D572"/>
      <c r="E572" s="69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  <c r="V572"/>
      <c r="W572"/>
      <c r="X572"/>
      <c r="Y572"/>
      <c r="Z572"/>
      <c r="AA572"/>
    </row>
    <row r="573" spans="2:27" s="25" customFormat="1" ht="15.75" customHeight="1" x14ac:dyDescent="0.2">
      <c r="B573" s="89"/>
      <c r="C573"/>
      <c r="D573"/>
      <c r="E573" s="69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  <c r="V573"/>
      <c r="W573"/>
      <c r="X573"/>
      <c r="Y573"/>
      <c r="Z573"/>
      <c r="AA573"/>
    </row>
    <row r="574" spans="2:27" s="25" customFormat="1" ht="15.75" customHeight="1" x14ac:dyDescent="0.2">
      <c r="B574" s="89"/>
      <c r="C574"/>
      <c r="D574"/>
      <c r="E574" s="69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  <c r="V574"/>
      <c r="W574"/>
      <c r="X574"/>
      <c r="Y574"/>
      <c r="Z574"/>
      <c r="AA574"/>
    </row>
    <row r="575" spans="2:27" s="25" customFormat="1" ht="15.75" customHeight="1" x14ac:dyDescent="0.2">
      <c r="B575" s="89"/>
      <c r="C575"/>
      <c r="D575"/>
      <c r="E575" s="69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  <c r="V575"/>
      <c r="W575"/>
      <c r="X575"/>
      <c r="Y575"/>
      <c r="Z575"/>
      <c r="AA575"/>
    </row>
    <row r="576" spans="2:27" s="25" customFormat="1" ht="15.75" customHeight="1" x14ac:dyDescent="0.2">
      <c r="B576" s="89"/>
      <c r="C576"/>
      <c r="D576"/>
      <c r="E576" s="69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  <c r="V576"/>
      <c r="W576"/>
      <c r="X576"/>
      <c r="Y576"/>
      <c r="Z576"/>
      <c r="AA576"/>
    </row>
    <row r="577" spans="2:27" s="25" customFormat="1" ht="15.75" customHeight="1" x14ac:dyDescent="0.2">
      <c r="B577" s="89"/>
      <c r="C577"/>
      <c r="D577"/>
      <c r="E577" s="69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  <c r="V577"/>
      <c r="W577"/>
      <c r="X577"/>
      <c r="Y577"/>
      <c r="Z577"/>
      <c r="AA577"/>
    </row>
    <row r="578" spans="2:27" s="25" customFormat="1" ht="15.75" customHeight="1" x14ac:dyDescent="0.2">
      <c r="B578" s="89"/>
      <c r="C578"/>
      <c r="D578"/>
      <c r="E578" s="69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  <c r="V578"/>
      <c r="W578"/>
      <c r="X578"/>
      <c r="Y578"/>
      <c r="Z578"/>
      <c r="AA578"/>
    </row>
    <row r="579" spans="2:27" s="25" customFormat="1" ht="15.75" customHeight="1" x14ac:dyDescent="0.2">
      <c r="B579" s="89"/>
      <c r="C579"/>
      <c r="D579"/>
      <c r="E579" s="6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  <c r="V579"/>
      <c r="W579"/>
      <c r="X579"/>
      <c r="Y579"/>
      <c r="Z579"/>
      <c r="AA579"/>
    </row>
    <row r="580" spans="2:27" s="25" customFormat="1" ht="15.75" customHeight="1" x14ac:dyDescent="0.2">
      <c r="B580" s="89"/>
      <c r="C580"/>
      <c r="D580"/>
      <c r="E580" s="69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  <c r="V580"/>
      <c r="W580"/>
      <c r="X580"/>
      <c r="Y580"/>
      <c r="Z580"/>
      <c r="AA580"/>
    </row>
    <row r="581" spans="2:27" s="25" customFormat="1" ht="15.75" customHeight="1" x14ac:dyDescent="0.2">
      <c r="B581" s="89"/>
      <c r="C581"/>
      <c r="D581"/>
      <c r="E581" s="69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  <c r="V581"/>
      <c r="W581"/>
      <c r="X581"/>
      <c r="Y581"/>
      <c r="Z581"/>
      <c r="AA581"/>
    </row>
    <row r="582" spans="2:27" s="25" customFormat="1" ht="15.75" customHeight="1" x14ac:dyDescent="0.2">
      <c r="B582" s="89"/>
      <c r="C582"/>
      <c r="D582"/>
      <c r="E582" s="69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  <c r="V582"/>
      <c r="W582"/>
      <c r="X582"/>
      <c r="Y582"/>
      <c r="Z582"/>
      <c r="AA582"/>
    </row>
    <row r="583" spans="2:27" s="25" customFormat="1" ht="15.75" customHeight="1" x14ac:dyDescent="0.2">
      <c r="B583" s="89"/>
      <c r="C583"/>
      <c r="D583"/>
      <c r="E583" s="69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  <c r="U583"/>
      <c r="V583"/>
      <c r="W583"/>
      <c r="X583"/>
      <c r="Y583"/>
      <c r="Z583"/>
      <c r="AA583"/>
    </row>
    <row r="584" spans="2:27" s="25" customFormat="1" ht="15.75" customHeight="1" x14ac:dyDescent="0.2">
      <c r="B584" s="89"/>
      <c r="C584"/>
      <c r="D584"/>
      <c r="E584" s="69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  <c r="V584"/>
      <c r="W584"/>
      <c r="X584"/>
      <c r="Y584"/>
      <c r="Z584"/>
      <c r="AA584"/>
    </row>
    <row r="585" spans="2:27" s="25" customFormat="1" ht="15.75" customHeight="1" x14ac:dyDescent="0.2">
      <c r="B585" s="89"/>
      <c r="C585"/>
      <c r="D585"/>
      <c r="E585" s="69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  <c r="V585"/>
      <c r="W585"/>
      <c r="X585"/>
      <c r="Y585"/>
      <c r="Z585"/>
      <c r="AA585"/>
    </row>
    <row r="586" spans="2:27" s="25" customFormat="1" ht="15.75" customHeight="1" x14ac:dyDescent="0.2">
      <c r="B586" s="89"/>
      <c r="C586"/>
      <c r="D586"/>
      <c r="E586" s="69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  <c r="V586"/>
      <c r="W586"/>
      <c r="X586"/>
      <c r="Y586"/>
      <c r="Z586"/>
      <c r="AA586"/>
    </row>
    <row r="587" spans="2:27" s="25" customFormat="1" ht="15.75" customHeight="1" x14ac:dyDescent="0.2">
      <c r="B587" s="89"/>
      <c r="C587"/>
      <c r="D587"/>
      <c r="E587" s="69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  <c r="V587"/>
      <c r="W587"/>
      <c r="X587"/>
      <c r="Y587"/>
      <c r="Z587"/>
      <c r="AA587"/>
    </row>
    <row r="588" spans="2:27" s="25" customFormat="1" ht="15.75" customHeight="1" x14ac:dyDescent="0.2">
      <c r="B588" s="89"/>
      <c r="C588"/>
      <c r="D588"/>
      <c r="E588" s="69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  <c r="V588"/>
      <c r="W588"/>
      <c r="X588"/>
      <c r="Y588"/>
      <c r="Z588"/>
      <c r="AA588"/>
    </row>
    <row r="589" spans="2:27" s="25" customFormat="1" ht="15.75" customHeight="1" x14ac:dyDescent="0.2">
      <c r="B589" s="89"/>
      <c r="C589"/>
      <c r="D589"/>
      <c r="E589" s="6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  <c r="V589"/>
      <c r="W589"/>
      <c r="X589"/>
      <c r="Y589"/>
      <c r="Z589"/>
      <c r="AA589"/>
    </row>
    <row r="590" spans="2:27" s="25" customFormat="1" ht="15.75" customHeight="1" x14ac:dyDescent="0.2">
      <c r="B590" s="89"/>
      <c r="C590"/>
      <c r="D590"/>
      <c r="E590" s="69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  <c r="V590"/>
      <c r="W590"/>
      <c r="X590"/>
      <c r="Y590"/>
      <c r="Z590"/>
      <c r="AA590"/>
    </row>
    <row r="591" spans="2:27" s="25" customFormat="1" ht="15.75" customHeight="1" x14ac:dyDescent="0.2">
      <c r="B591" s="89"/>
      <c r="C591"/>
      <c r="D591"/>
      <c r="E591" s="69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  <c r="U591"/>
      <c r="V591"/>
      <c r="W591"/>
      <c r="X591"/>
      <c r="Y591"/>
      <c r="Z591"/>
      <c r="AA591"/>
    </row>
    <row r="592" spans="2:27" s="25" customFormat="1" ht="15.75" customHeight="1" x14ac:dyDescent="0.2">
      <c r="B592" s="89"/>
      <c r="C592"/>
      <c r="D592"/>
      <c r="E592" s="69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  <c r="V592"/>
      <c r="W592"/>
      <c r="X592"/>
      <c r="Y592"/>
      <c r="Z592"/>
      <c r="AA592"/>
    </row>
    <row r="593" spans="2:27" s="25" customFormat="1" ht="15.75" customHeight="1" x14ac:dyDescent="0.2">
      <c r="B593" s="89"/>
      <c r="C593"/>
      <c r="D593"/>
      <c r="E593" s="69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  <c r="V593"/>
      <c r="W593"/>
      <c r="X593"/>
      <c r="Y593"/>
      <c r="Z593"/>
      <c r="AA593"/>
    </row>
    <row r="594" spans="2:27" s="25" customFormat="1" ht="15.75" customHeight="1" x14ac:dyDescent="0.2">
      <c r="B594" s="89"/>
      <c r="C594"/>
      <c r="D594"/>
      <c r="E594" s="69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  <c r="V594"/>
      <c r="W594"/>
      <c r="X594"/>
      <c r="Y594"/>
      <c r="Z594"/>
      <c r="AA594"/>
    </row>
    <row r="595" spans="2:27" s="25" customFormat="1" ht="15.75" customHeight="1" x14ac:dyDescent="0.2">
      <c r="B595" s="89"/>
      <c r="C595"/>
      <c r="D595"/>
      <c r="E595" s="69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  <c r="V595"/>
      <c r="W595"/>
      <c r="X595"/>
      <c r="Y595"/>
      <c r="Z595"/>
      <c r="AA595"/>
    </row>
    <row r="596" spans="2:27" s="25" customFormat="1" ht="15.75" customHeight="1" x14ac:dyDescent="0.2">
      <c r="B596" s="89"/>
      <c r="C596"/>
      <c r="D596"/>
      <c r="E596" s="69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  <c r="V596"/>
      <c r="W596"/>
      <c r="X596"/>
      <c r="Y596"/>
      <c r="Z596"/>
      <c r="AA596"/>
    </row>
    <row r="597" spans="2:27" s="25" customFormat="1" ht="15.75" customHeight="1" x14ac:dyDescent="0.2">
      <c r="B597" s="89"/>
      <c r="C597"/>
      <c r="D597"/>
      <c r="E597" s="69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  <c r="V597"/>
      <c r="W597"/>
      <c r="X597"/>
      <c r="Y597"/>
      <c r="Z597"/>
      <c r="AA597"/>
    </row>
    <row r="598" spans="2:27" s="25" customFormat="1" ht="15.75" customHeight="1" x14ac:dyDescent="0.2">
      <c r="B598" s="89"/>
      <c r="C598"/>
      <c r="D598"/>
      <c r="E598" s="69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  <c r="V598"/>
      <c r="W598"/>
      <c r="X598"/>
      <c r="Y598"/>
      <c r="Z598"/>
      <c r="AA598"/>
    </row>
    <row r="599" spans="2:27" s="25" customFormat="1" ht="15.75" customHeight="1" x14ac:dyDescent="0.2">
      <c r="B599" s="89"/>
      <c r="C599"/>
      <c r="D599"/>
      <c r="E599" s="6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  <c r="V599"/>
      <c r="W599"/>
      <c r="X599"/>
      <c r="Y599"/>
      <c r="Z599"/>
      <c r="AA599"/>
    </row>
    <row r="600" spans="2:27" s="25" customFormat="1" ht="15.75" customHeight="1" x14ac:dyDescent="0.2">
      <c r="B600" s="89"/>
      <c r="C600"/>
      <c r="D600"/>
      <c r="E600" s="69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  <c r="V600"/>
      <c r="W600"/>
      <c r="X600"/>
      <c r="Y600"/>
      <c r="Z600"/>
      <c r="AA600"/>
    </row>
    <row r="601" spans="2:27" s="25" customFormat="1" ht="15.75" customHeight="1" x14ac:dyDescent="0.2">
      <c r="B601" s="89"/>
      <c r="C601"/>
      <c r="D601"/>
      <c r="E601" s="69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  <c r="V601"/>
      <c r="W601"/>
      <c r="X601"/>
      <c r="Y601"/>
      <c r="Z601"/>
      <c r="AA601"/>
    </row>
    <row r="602" spans="2:27" s="25" customFormat="1" ht="15.75" customHeight="1" x14ac:dyDescent="0.2">
      <c r="B602" s="89"/>
      <c r="C602"/>
      <c r="D602"/>
      <c r="E602" s="69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  <c r="V602"/>
      <c r="W602"/>
      <c r="X602"/>
      <c r="Y602"/>
      <c r="Z602"/>
      <c r="AA602"/>
    </row>
    <row r="603" spans="2:27" s="25" customFormat="1" ht="15.75" customHeight="1" x14ac:dyDescent="0.2">
      <c r="B603" s="89"/>
      <c r="C603"/>
      <c r="D603"/>
      <c r="E603" s="69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  <c r="V603"/>
      <c r="W603"/>
      <c r="X603"/>
      <c r="Y603"/>
      <c r="Z603"/>
      <c r="AA603"/>
    </row>
    <row r="604" spans="2:27" s="25" customFormat="1" ht="15.75" customHeight="1" x14ac:dyDescent="0.2">
      <c r="B604" s="89"/>
      <c r="C604"/>
      <c r="D604"/>
      <c r="E604" s="69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  <c r="V604"/>
      <c r="W604"/>
      <c r="X604"/>
      <c r="Y604"/>
      <c r="Z604"/>
      <c r="AA604"/>
    </row>
    <row r="605" spans="2:27" s="25" customFormat="1" ht="15.75" customHeight="1" x14ac:dyDescent="0.2">
      <c r="B605" s="89"/>
      <c r="C605"/>
      <c r="D605"/>
      <c r="E605" s="69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  <c r="V605"/>
      <c r="W605"/>
      <c r="X605"/>
      <c r="Y605"/>
      <c r="Z605"/>
      <c r="AA605"/>
    </row>
    <row r="606" spans="2:27" s="25" customFormat="1" ht="15.75" customHeight="1" x14ac:dyDescent="0.2">
      <c r="B606" s="89"/>
      <c r="C606"/>
      <c r="D606"/>
      <c r="E606" s="69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  <c r="U606"/>
      <c r="V606"/>
      <c r="W606"/>
      <c r="X606"/>
      <c r="Y606"/>
      <c r="Z606"/>
      <c r="AA606"/>
    </row>
    <row r="607" spans="2:27" s="25" customFormat="1" ht="15.75" customHeight="1" x14ac:dyDescent="0.2">
      <c r="B607" s="89"/>
      <c r="C607"/>
      <c r="D607"/>
      <c r="E607" s="69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  <c r="U607"/>
      <c r="V607"/>
      <c r="W607"/>
      <c r="X607"/>
      <c r="Y607"/>
      <c r="Z607"/>
      <c r="AA607"/>
    </row>
    <row r="608" spans="2:27" s="25" customFormat="1" ht="15.75" customHeight="1" x14ac:dyDescent="0.2">
      <c r="B608" s="89"/>
      <c r="C608"/>
      <c r="D608"/>
      <c r="E608" s="69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  <c r="V608"/>
      <c r="W608"/>
      <c r="X608"/>
      <c r="Y608"/>
      <c r="Z608"/>
      <c r="AA608"/>
    </row>
    <row r="609" spans="2:27" s="25" customFormat="1" ht="15.75" customHeight="1" x14ac:dyDescent="0.2">
      <c r="B609" s="89"/>
      <c r="C609"/>
      <c r="D609"/>
      <c r="E609" s="6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  <c r="V609"/>
      <c r="W609"/>
      <c r="X609"/>
      <c r="Y609"/>
      <c r="Z609"/>
      <c r="AA609"/>
    </row>
    <row r="610" spans="2:27" s="25" customFormat="1" ht="15.75" customHeight="1" x14ac:dyDescent="0.2">
      <c r="B610" s="89"/>
      <c r="C610"/>
      <c r="D610"/>
      <c r="E610" s="69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  <c r="V610"/>
      <c r="W610"/>
      <c r="X610"/>
      <c r="Y610"/>
      <c r="Z610"/>
      <c r="AA610"/>
    </row>
    <row r="611" spans="2:27" s="25" customFormat="1" ht="15.75" customHeight="1" x14ac:dyDescent="0.2">
      <c r="B611" s="89"/>
      <c r="C611"/>
      <c r="D611"/>
      <c r="E611" s="69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  <c r="V611"/>
      <c r="W611"/>
      <c r="X611"/>
      <c r="Y611"/>
      <c r="Z611"/>
      <c r="AA611"/>
    </row>
    <row r="612" spans="2:27" s="25" customFormat="1" ht="15.75" customHeight="1" x14ac:dyDescent="0.2">
      <c r="B612" s="89"/>
      <c r="C612"/>
      <c r="D612"/>
      <c r="E612" s="69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  <c r="V612"/>
      <c r="W612"/>
      <c r="X612"/>
      <c r="Y612"/>
      <c r="Z612"/>
      <c r="AA612"/>
    </row>
    <row r="613" spans="2:27" s="25" customFormat="1" ht="15.75" customHeight="1" x14ac:dyDescent="0.2">
      <c r="B613" s="89"/>
      <c r="C613"/>
      <c r="D613"/>
      <c r="E613" s="69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  <c r="V613"/>
      <c r="W613"/>
      <c r="X613"/>
      <c r="Y613"/>
      <c r="Z613"/>
      <c r="AA613"/>
    </row>
    <row r="614" spans="2:27" s="25" customFormat="1" ht="15.75" customHeight="1" x14ac:dyDescent="0.2">
      <c r="B614" s="89"/>
      <c r="C614"/>
      <c r="D614"/>
      <c r="E614" s="69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  <c r="V614"/>
      <c r="W614"/>
      <c r="X614"/>
      <c r="Y614"/>
      <c r="Z614"/>
      <c r="AA614"/>
    </row>
    <row r="615" spans="2:27" s="25" customFormat="1" ht="15.75" customHeight="1" x14ac:dyDescent="0.2">
      <c r="B615" s="89"/>
      <c r="C615"/>
      <c r="D615"/>
      <c r="E615" s="69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  <c r="V615"/>
      <c r="W615"/>
      <c r="X615"/>
      <c r="Y615"/>
      <c r="Z615"/>
      <c r="AA615"/>
    </row>
    <row r="616" spans="2:27" s="25" customFormat="1" ht="15.75" customHeight="1" x14ac:dyDescent="0.2">
      <c r="B616" s="89"/>
      <c r="C616"/>
      <c r="D616"/>
      <c r="E616" s="69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  <c r="V616"/>
      <c r="W616"/>
      <c r="X616"/>
      <c r="Y616"/>
      <c r="Z616"/>
      <c r="AA616"/>
    </row>
    <row r="617" spans="2:27" s="25" customFormat="1" ht="15.75" customHeight="1" x14ac:dyDescent="0.2">
      <c r="B617" s="89"/>
      <c r="C617"/>
      <c r="D617"/>
      <c r="E617" s="69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  <c r="V617"/>
      <c r="W617"/>
      <c r="X617"/>
      <c r="Y617"/>
      <c r="Z617"/>
      <c r="AA617"/>
    </row>
    <row r="618" spans="2:27" s="25" customFormat="1" ht="15.75" customHeight="1" x14ac:dyDescent="0.2">
      <c r="B618" s="89"/>
      <c r="C618"/>
      <c r="D618"/>
      <c r="E618" s="69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  <c r="V618"/>
      <c r="W618"/>
      <c r="X618"/>
      <c r="Y618"/>
      <c r="Z618"/>
      <c r="AA618"/>
    </row>
    <row r="619" spans="2:27" s="25" customFormat="1" ht="15.75" customHeight="1" x14ac:dyDescent="0.2">
      <c r="B619" s="89"/>
      <c r="C619"/>
      <c r="D619"/>
      <c r="E619" s="6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  <c r="V619"/>
      <c r="W619"/>
      <c r="X619"/>
      <c r="Y619"/>
      <c r="Z619"/>
      <c r="AA619"/>
    </row>
    <row r="620" spans="2:27" s="25" customFormat="1" ht="15.75" customHeight="1" x14ac:dyDescent="0.2">
      <c r="B620" s="89"/>
      <c r="C620"/>
      <c r="D620"/>
      <c r="E620" s="69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  <c r="V620"/>
      <c r="W620"/>
      <c r="X620"/>
      <c r="Y620"/>
      <c r="Z620"/>
      <c r="AA620"/>
    </row>
    <row r="621" spans="2:27" s="25" customFormat="1" ht="15.75" customHeight="1" x14ac:dyDescent="0.2">
      <c r="B621" s="89"/>
      <c r="C621"/>
      <c r="D621"/>
      <c r="E621" s="69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  <c r="V621"/>
      <c r="W621"/>
      <c r="X621"/>
      <c r="Y621"/>
      <c r="Z621"/>
      <c r="AA621"/>
    </row>
    <row r="622" spans="2:27" s="25" customFormat="1" ht="15.75" customHeight="1" x14ac:dyDescent="0.2">
      <c r="B622" s="89"/>
      <c r="C622"/>
      <c r="D622"/>
      <c r="E622" s="69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  <c r="V622"/>
      <c r="W622"/>
      <c r="X622"/>
      <c r="Y622"/>
      <c r="Z622"/>
      <c r="AA622"/>
    </row>
    <row r="623" spans="2:27" s="25" customFormat="1" ht="15.75" customHeight="1" x14ac:dyDescent="0.2">
      <c r="B623" s="89"/>
      <c r="C623"/>
      <c r="D623"/>
      <c r="E623" s="69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  <c r="V623"/>
      <c r="W623"/>
      <c r="X623"/>
      <c r="Y623"/>
      <c r="Z623"/>
      <c r="AA623"/>
    </row>
    <row r="624" spans="2:27" s="25" customFormat="1" ht="15.75" customHeight="1" x14ac:dyDescent="0.2">
      <c r="B624" s="89"/>
      <c r="C624"/>
      <c r="D624"/>
      <c r="E624" s="69"/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  <c r="T624"/>
      <c r="U624"/>
      <c r="V624"/>
      <c r="W624"/>
      <c r="X624"/>
      <c r="Y624"/>
      <c r="Z624"/>
      <c r="AA624"/>
    </row>
    <row r="625" spans="2:27" s="25" customFormat="1" ht="15.75" customHeight="1" x14ac:dyDescent="0.2">
      <c r="B625" s="89"/>
      <c r="C625"/>
      <c r="D625"/>
      <c r="E625" s="69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  <c r="V625"/>
      <c r="W625"/>
      <c r="X625"/>
      <c r="Y625"/>
      <c r="Z625"/>
      <c r="AA625"/>
    </row>
    <row r="626" spans="2:27" s="25" customFormat="1" ht="15.75" customHeight="1" x14ac:dyDescent="0.2">
      <c r="B626" s="89"/>
      <c r="C626"/>
      <c r="D626"/>
      <c r="E626" s="69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  <c r="V626"/>
      <c r="W626"/>
      <c r="X626"/>
      <c r="Y626"/>
      <c r="Z626"/>
      <c r="AA626"/>
    </row>
    <row r="627" spans="2:27" s="25" customFormat="1" ht="15.75" customHeight="1" x14ac:dyDescent="0.2">
      <c r="B627" s="89"/>
      <c r="C627"/>
      <c r="D627"/>
      <c r="E627" s="69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  <c r="V627"/>
      <c r="W627"/>
      <c r="X627"/>
      <c r="Y627"/>
      <c r="Z627"/>
      <c r="AA627"/>
    </row>
    <row r="628" spans="2:27" s="25" customFormat="1" ht="15.75" customHeight="1" x14ac:dyDescent="0.2">
      <c r="B628" s="89"/>
      <c r="C628"/>
      <c r="D628"/>
      <c r="E628" s="69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  <c r="V628"/>
      <c r="W628"/>
      <c r="X628"/>
      <c r="Y628"/>
      <c r="Z628"/>
      <c r="AA628"/>
    </row>
    <row r="629" spans="2:27" s="25" customFormat="1" ht="15.75" customHeight="1" x14ac:dyDescent="0.2">
      <c r="B629" s="89"/>
      <c r="C629"/>
      <c r="D629"/>
      <c r="E629" s="6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  <c r="V629"/>
      <c r="W629"/>
      <c r="X629"/>
      <c r="Y629"/>
      <c r="Z629"/>
      <c r="AA629"/>
    </row>
    <row r="630" spans="2:27" s="25" customFormat="1" ht="15.75" customHeight="1" x14ac:dyDescent="0.2">
      <c r="B630" s="89"/>
      <c r="C630"/>
      <c r="D630"/>
      <c r="E630" s="69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  <c r="V630"/>
      <c r="W630"/>
      <c r="X630"/>
      <c r="Y630"/>
      <c r="Z630"/>
      <c r="AA630"/>
    </row>
    <row r="631" spans="2:27" s="25" customFormat="1" ht="15.75" customHeight="1" x14ac:dyDescent="0.2">
      <c r="B631" s="89"/>
      <c r="C631"/>
      <c r="D631"/>
      <c r="E631" s="69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  <c r="V631"/>
      <c r="W631"/>
      <c r="X631"/>
      <c r="Y631"/>
      <c r="Z631"/>
      <c r="AA631"/>
    </row>
    <row r="632" spans="2:27" s="25" customFormat="1" ht="15.75" customHeight="1" x14ac:dyDescent="0.2">
      <c r="B632" s="89"/>
      <c r="C632"/>
      <c r="D632"/>
      <c r="E632" s="69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  <c r="V632"/>
      <c r="W632"/>
      <c r="X632"/>
      <c r="Y632"/>
      <c r="Z632"/>
      <c r="AA632"/>
    </row>
    <row r="633" spans="2:27" s="25" customFormat="1" ht="15.75" customHeight="1" x14ac:dyDescent="0.2">
      <c r="B633" s="89"/>
      <c r="C633"/>
      <c r="D633"/>
      <c r="E633" s="69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  <c r="V633"/>
      <c r="W633"/>
      <c r="X633"/>
      <c r="Y633"/>
      <c r="Z633"/>
      <c r="AA633"/>
    </row>
    <row r="634" spans="2:27" s="25" customFormat="1" ht="15.75" customHeight="1" x14ac:dyDescent="0.2">
      <c r="B634" s="89"/>
      <c r="C634"/>
      <c r="D634"/>
      <c r="E634" s="69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  <c r="V634"/>
      <c r="W634"/>
      <c r="X634"/>
      <c r="Y634"/>
      <c r="Z634"/>
      <c r="AA634"/>
    </row>
    <row r="635" spans="2:27" s="25" customFormat="1" ht="15.75" customHeight="1" x14ac:dyDescent="0.2">
      <c r="B635" s="89"/>
      <c r="C635"/>
      <c r="D635"/>
      <c r="E635" s="69"/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  <c r="V635"/>
      <c r="W635"/>
      <c r="X635"/>
      <c r="Y635"/>
      <c r="Z635"/>
      <c r="AA635"/>
    </row>
    <row r="636" spans="2:27" s="25" customFormat="1" ht="15.75" customHeight="1" x14ac:dyDescent="0.2">
      <c r="B636" s="89"/>
      <c r="C636"/>
      <c r="D636"/>
      <c r="E636" s="69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  <c r="V636"/>
      <c r="W636"/>
      <c r="X636"/>
      <c r="Y636"/>
      <c r="Z636"/>
      <c r="AA636"/>
    </row>
    <row r="637" spans="2:27" s="25" customFormat="1" ht="15.75" customHeight="1" x14ac:dyDescent="0.2">
      <c r="B637" s="89"/>
      <c r="C637"/>
      <c r="D637"/>
      <c r="E637" s="69"/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  <c r="V637"/>
      <c r="W637"/>
      <c r="X637"/>
      <c r="Y637"/>
      <c r="Z637"/>
      <c r="AA637"/>
    </row>
    <row r="638" spans="2:27" s="25" customFormat="1" ht="15.75" customHeight="1" x14ac:dyDescent="0.2">
      <c r="B638" s="89"/>
      <c r="C638"/>
      <c r="D638"/>
      <c r="E638" s="69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  <c r="V638"/>
      <c r="W638"/>
      <c r="X638"/>
      <c r="Y638"/>
      <c r="Z638"/>
      <c r="AA638"/>
    </row>
    <row r="639" spans="2:27" s="25" customFormat="1" ht="15.75" customHeight="1" x14ac:dyDescent="0.2">
      <c r="B639" s="89"/>
      <c r="C639"/>
      <c r="D639"/>
      <c r="E639" s="69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  <c r="U639"/>
      <c r="V639"/>
      <c r="W639"/>
      <c r="X639"/>
      <c r="Y639"/>
      <c r="Z639"/>
      <c r="AA639"/>
    </row>
    <row r="640" spans="2:27" s="25" customFormat="1" ht="15.75" customHeight="1" x14ac:dyDescent="0.2">
      <c r="B640" s="89"/>
      <c r="C640"/>
      <c r="D640"/>
      <c r="E640" s="69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  <c r="V640"/>
      <c r="W640"/>
      <c r="X640"/>
      <c r="Y640"/>
      <c r="Z640"/>
      <c r="AA640"/>
    </row>
    <row r="641" spans="2:27" s="25" customFormat="1" ht="15.75" customHeight="1" x14ac:dyDescent="0.2">
      <c r="B641" s="89"/>
      <c r="C641"/>
      <c r="D641"/>
      <c r="E641" s="69"/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/>
      <c r="U641"/>
      <c r="V641"/>
      <c r="W641"/>
      <c r="X641"/>
      <c r="Y641"/>
      <c r="Z641"/>
      <c r="AA641"/>
    </row>
    <row r="642" spans="2:27" s="25" customFormat="1" ht="15.75" customHeight="1" x14ac:dyDescent="0.2">
      <c r="B642" s="89"/>
      <c r="C642"/>
      <c r="D642"/>
      <c r="E642" s="69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  <c r="V642"/>
      <c r="W642"/>
      <c r="X642"/>
      <c r="Y642"/>
      <c r="Z642"/>
      <c r="AA642"/>
    </row>
    <row r="643" spans="2:27" s="25" customFormat="1" ht="15.75" customHeight="1" x14ac:dyDescent="0.2">
      <c r="B643" s="89"/>
      <c r="C643"/>
      <c r="D643"/>
      <c r="E643" s="69"/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  <c r="T643"/>
      <c r="U643"/>
      <c r="V643"/>
      <c r="W643"/>
      <c r="X643"/>
      <c r="Y643"/>
      <c r="Z643"/>
      <c r="AA643"/>
    </row>
    <row r="644" spans="2:27" s="25" customFormat="1" ht="15.75" customHeight="1" x14ac:dyDescent="0.2">
      <c r="B644" s="89"/>
      <c r="C644"/>
      <c r="D644"/>
      <c r="E644" s="69"/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  <c r="U644"/>
      <c r="V644"/>
      <c r="W644"/>
      <c r="X644"/>
      <c r="Y644"/>
      <c r="Z644"/>
      <c r="AA644"/>
    </row>
    <row r="645" spans="2:27" s="25" customFormat="1" ht="15.75" customHeight="1" x14ac:dyDescent="0.2">
      <c r="B645" s="89"/>
      <c r="C645"/>
      <c r="D645"/>
      <c r="E645" s="69"/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  <c r="T645"/>
      <c r="U645"/>
      <c r="V645"/>
      <c r="W645"/>
      <c r="X645"/>
      <c r="Y645"/>
      <c r="Z645"/>
      <c r="AA645"/>
    </row>
    <row r="646" spans="2:27" s="25" customFormat="1" ht="15.75" customHeight="1" x14ac:dyDescent="0.2">
      <c r="B646" s="89"/>
      <c r="C646"/>
      <c r="D646"/>
      <c r="E646" s="69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  <c r="U646"/>
      <c r="V646"/>
      <c r="W646"/>
      <c r="X646"/>
      <c r="Y646"/>
      <c r="Z646"/>
      <c r="AA646"/>
    </row>
    <row r="647" spans="2:27" s="25" customFormat="1" ht="15.75" customHeight="1" x14ac:dyDescent="0.2">
      <c r="B647" s="89"/>
      <c r="C647"/>
      <c r="D647"/>
      <c r="E647" s="69"/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  <c r="V647"/>
      <c r="W647"/>
      <c r="X647"/>
      <c r="Y647"/>
      <c r="Z647"/>
      <c r="AA647"/>
    </row>
    <row r="648" spans="2:27" s="25" customFormat="1" ht="15.75" customHeight="1" x14ac:dyDescent="0.2">
      <c r="B648" s="89"/>
      <c r="C648"/>
      <c r="D648"/>
      <c r="E648" s="69"/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  <c r="U648"/>
      <c r="V648"/>
      <c r="W648"/>
      <c r="X648"/>
      <c r="Y648"/>
      <c r="Z648"/>
      <c r="AA648"/>
    </row>
    <row r="649" spans="2:27" s="25" customFormat="1" ht="15.75" customHeight="1" x14ac:dyDescent="0.2">
      <c r="B649" s="89"/>
      <c r="C649"/>
      <c r="D649"/>
      <c r="E649" s="69"/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  <c r="T649"/>
      <c r="U649"/>
      <c r="V649"/>
      <c r="W649"/>
      <c r="X649"/>
      <c r="Y649"/>
      <c r="Z649"/>
      <c r="AA649"/>
    </row>
    <row r="650" spans="2:27" s="25" customFormat="1" ht="15.75" customHeight="1" x14ac:dyDescent="0.2">
      <c r="B650" s="89"/>
      <c r="C650"/>
      <c r="D650"/>
      <c r="E650" s="69"/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  <c r="T650"/>
      <c r="U650"/>
      <c r="V650"/>
      <c r="W650"/>
      <c r="X650"/>
      <c r="Y650"/>
      <c r="Z650"/>
      <c r="AA650"/>
    </row>
    <row r="651" spans="2:27" s="25" customFormat="1" ht="15.75" customHeight="1" x14ac:dyDescent="0.2">
      <c r="B651" s="89"/>
      <c r="C651"/>
      <c r="D651"/>
      <c r="E651" s="69"/>
      <c r="F651"/>
      <c r="G651"/>
      <c r="H651"/>
      <c r="I651"/>
      <c r="J651"/>
      <c r="K651"/>
      <c r="L651"/>
      <c r="M651"/>
      <c r="N651"/>
      <c r="O651"/>
      <c r="P651"/>
      <c r="Q651"/>
      <c r="R651"/>
      <c r="S651"/>
      <c r="T651"/>
      <c r="U651"/>
      <c r="V651"/>
      <c r="W651"/>
      <c r="X651"/>
      <c r="Y651"/>
      <c r="Z651"/>
      <c r="AA651"/>
    </row>
    <row r="652" spans="2:27" s="25" customFormat="1" ht="15.75" customHeight="1" x14ac:dyDescent="0.2">
      <c r="B652" s="89"/>
      <c r="C652"/>
      <c r="D652"/>
      <c r="E652" s="69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  <c r="V652"/>
      <c r="W652"/>
      <c r="X652"/>
      <c r="Y652"/>
      <c r="Z652"/>
      <c r="AA652"/>
    </row>
    <row r="653" spans="2:27" s="25" customFormat="1" ht="15.75" customHeight="1" x14ac:dyDescent="0.2">
      <c r="B653" s="89"/>
      <c r="C653"/>
      <c r="D653"/>
      <c r="E653" s="69"/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  <c r="T653"/>
      <c r="U653"/>
      <c r="V653"/>
      <c r="W653"/>
      <c r="X653"/>
      <c r="Y653"/>
      <c r="Z653"/>
      <c r="AA653"/>
    </row>
    <row r="654" spans="2:27" s="25" customFormat="1" ht="15.75" customHeight="1" x14ac:dyDescent="0.2">
      <c r="B654" s="89"/>
      <c r="C654"/>
      <c r="D654"/>
      <c r="E654" s="69"/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  <c r="T654"/>
      <c r="U654"/>
      <c r="V654"/>
      <c r="W654"/>
      <c r="X654"/>
      <c r="Y654"/>
      <c r="Z654"/>
      <c r="AA654"/>
    </row>
    <row r="655" spans="2:27" s="25" customFormat="1" ht="15.75" customHeight="1" x14ac:dyDescent="0.2">
      <c r="B655" s="89"/>
      <c r="C655"/>
      <c r="D655"/>
      <c r="E655" s="69"/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  <c r="V655"/>
      <c r="W655"/>
      <c r="X655"/>
      <c r="Y655"/>
      <c r="Z655"/>
      <c r="AA655"/>
    </row>
    <row r="656" spans="2:27" s="25" customFormat="1" ht="15.75" customHeight="1" x14ac:dyDescent="0.2">
      <c r="B656" s="89"/>
      <c r="C656"/>
      <c r="D656"/>
      <c r="E656" s="69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/>
      <c r="U656"/>
      <c r="V656"/>
      <c r="W656"/>
      <c r="X656"/>
      <c r="Y656"/>
      <c r="Z656"/>
      <c r="AA656"/>
    </row>
    <row r="657" spans="2:27" s="25" customFormat="1" ht="15.75" customHeight="1" x14ac:dyDescent="0.2">
      <c r="B657" s="89"/>
      <c r="C657"/>
      <c r="D657"/>
      <c r="E657" s="69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  <c r="V657"/>
      <c r="W657"/>
      <c r="X657"/>
      <c r="Y657"/>
      <c r="Z657"/>
      <c r="AA657"/>
    </row>
    <row r="658" spans="2:27" s="25" customFormat="1" ht="15.75" customHeight="1" x14ac:dyDescent="0.2">
      <c r="B658" s="89"/>
      <c r="C658"/>
      <c r="D658"/>
      <c r="E658" s="69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  <c r="U658"/>
      <c r="V658"/>
      <c r="W658"/>
      <c r="X658"/>
      <c r="Y658"/>
      <c r="Z658"/>
      <c r="AA658"/>
    </row>
    <row r="659" spans="2:27" s="25" customFormat="1" ht="15.75" customHeight="1" x14ac:dyDescent="0.2">
      <c r="B659" s="89"/>
      <c r="C659"/>
      <c r="D659"/>
      <c r="E659" s="69"/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  <c r="V659"/>
      <c r="W659"/>
      <c r="X659"/>
      <c r="Y659"/>
      <c r="Z659"/>
      <c r="AA659"/>
    </row>
    <row r="660" spans="2:27" s="25" customFormat="1" ht="15.75" customHeight="1" x14ac:dyDescent="0.2">
      <c r="B660" s="89"/>
      <c r="C660"/>
      <c r="D660"/>
      <c r="E660" s="69"/>
      <c r="F660"/>
      <c r="G660"/>
      <c r="H660"/>
      <c r="I660"/>
      <c r="J660"/>
      <c r="K660"/>
      <c r="L660"/>
      <c r="M660"/>
      <c r="N660"/>
      <c r="O660"/>
      <c r="P660"/>
      <c r="Q660"/>
      <c r="R660"/>
      <c r="S660"/>
      <c r="T660"/>
      <c r="U660"/>
      <c r="V660"/>
      <c r="W660"/>
      <c r="X660"/>
      <c r="Y660"/>
      <c r="Z660"/>
      <c r="AA660"/>
    </row>
    <row r="661" spans="2:27" s="25" customFormat="1" ht="15.75" customHeight="1" x14ac:dyDescent="0.2">
      <c r="B661" s="89"/>
      <c r="C661"/>
      <c r="D661"/>
      <c r="E661" s="69"/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  <c r="V661"/>
      <c r="W661"/>
      <c r="X661"/>
      <c r="Y661"/>
      <c r="Z661"/>
      <c r="AA661"/>
    </row>
    <row r="662" spans="2:27" s="25" customFormat="1" ht="15.75" customHeight="1" x14ac:dyDescent="0.2">
      <c r="B662" s="89"/>
      <c r="C662"/>
      <c r="D662"/>
      <c r="E662" s="69"/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  <c r="T662"/>
      <c r="U662"/>
      <c r="V662"/>
      <c r="W662"/>
      <c r="X662"/>
      <c r="Y662"/>
      <c r="Z662"/>
      <c r="AA662"/>
    </row>
    <row r="663" spans="2:27" s="25" customFormat="1" ht="15.75" customHeight="1" x14ac:dyDescent="0.2">
      <c r="B663" s="89"/>
      <c r="C663"/>
      <c r="D663"/>
      <c r="E663" s="69"/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  <c r="T663"/>
      <c r="U663"/>
      <c r="V663"/>
      <c r="W663"/>
      <c r="X663"/>
      <c r="Y663"/>
      <c r="Z663"/>
      <c r="AA663"/>
    </row>
    <row r="664" spans="2:27" s="25" customFormat="1" ht="15.75" customHeight="1" x14ac:dyDescent="0.2">
      <c r="B664" s="89"/>
      <c r="C664"/>
      <c r="D664"/>
      <c r="E664" s="69"/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/>
      <c r="U664"/>
      <c r="V664"/>
      <c r="W664"/>
      <c r="X664"/>
      <c r="Y664"/>
      <c r="Z664"/>
      <c r="AA664"/>
    </row>
    <row r="665" spans="2:27" s="25" customFormat="1" ht="15.75" customHeight="1" x14ac:dyDescent="0.2">
      <c r="B665" s="89"/>
      <c r="C665"/>
      <c r="D665"/>
      <c r="E665" s="69"/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  <c r="T665"/>
      <c r="U665"/>
      <c r="V665"/>
      <c r="W665"/>
      <c r="X665"/>
      <c r="Y665"/>
      <c r="Z665"/>
      <c r="AA665"/>
    </row>
    <row r="666" spans="2:27" s="25" customFormat="1" ht="15.75" customHeight="1" x14ac:dyDescent="0.2">
      <c r="B666" s="89"/>
      <c r="C666"/>
      <c r="D666"/>
      <c r="E666" s="69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  <c r="V666"/>
      <c r="W666"/>
      <c r="X666"/>
      <c r="Y666"/>
      <c r="Z666"/>
      <c r="AA666"/>
    </row>
    <row r="667" spans="2:27" s="25" customFormat="1" ht="15.75" customHeight="1" x14ac:dyDescent="0.2">
      <c r="B667" s="89"/>
      <c r="C667"/>
      <c r="D667"/>
      <c r="E667" s="69"/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  <c r="T667"/>
      <c r="U667"/>
      <c r="V667"/>
      <c r="W667"/>
      <c r="X667"/>
      <c r="Y667"/>
      <c r="Z667"/>
      <c r="AA667"/>
    </row>
    <row r="668" spans="2:27" s="25" customFormat="1" ht="15.75" customHeight="1" x14ac:dyDescent="0.2">
      <c r="B668" s="89"/>
      <c r="C668"/>
      <c r="D668"/>
      <c r="E668" s="69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  <c r="V668"/>
      <c r="W668"/>
      <c r="X668"/>
      <c r="Y668"/>
      <c r="Z668"/>
      <c r="AA668"/>
    </row>
    <row r="669" spans="2:27" s="25" customFormat="1" ht="15.75" customHeight="1" x14ac:dyDescent="0.2">
      <c r="B669" s="89"/>
      <c r="C669"/>
      <c r="D669"/>
      <c r="E669" s="69"/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  <c r="V669"/>
      <c r="W669"/>
      <c r="X669"/>
      <c r="Y669"/>
      <c r="Z669"/>
      <c r="AA669"/>
    </row>
    <row r="670" spans="2:27" s="25" customFormat="1" ht="15.75" customHeight="1" x14ac:dyDescent="0.2">
      <c r="B670" s="89"/>
      <c r="C670"/>
      <c r="D670"/>
      <c r="E670" s="69"/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  <c r="U670"/>
      <c r="V670"/>
      <c r="W670"/>
      <c r="X670"/>
      <c r="Y670"/>
      <c r="Z670"/>
      <c r="AA670"/>
    </row>
    <row r="671" spans="2:27" s="25" customFormat="1" ht="15.75" customHeight="1" x14ac:dyDescent="0.2">
      <c r="B671" s="89"/>
      <c r="C671"/>
      <c r="D671"/>
      <c r="E671" s="69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  <c r="V671"/>
      <c r="W671"/>
      <c r="X671"/>
      <c r="Y671"/>
      <c r="Z671"/>
      <c r="AA671"/>
    </row>
    <row r="672" spans="2:27" s="25" customFormat="1" ht="15.75" customHeight="1" x14ac:dyDescent="0.2">
      <c r="B672" s="89"/>
      <c r="C672"/>
      <c r="D672"/>
      <c r="E672" s="69"/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  <c r="T672"/>
      <c r="U672"/>
      <c r="V672"/>
      <c r="W672"/>
      <c r="X672"/>
      <c r="Y672"/>
      <c r="Z672"/>
      <c r="AA672"/>
    </row>
    <row r="673" spans="2:27" s="25" customFormat="1" ht="15.75" customHeight="1" x14ac:dyDescent="0.2">
      <c r="B673" s="89"/>
      <c r="C673"/>
      <c r="D673"/>
      <c r="E673" s="69"/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  <c r="T673"/>
      <c r="U673"/>
      <c r="V673"/>
      <c r="W673"/>
      <c r="X673"/>
      <c r="Y673"/>
      <c r="Z673"/>
      <c r="AA673"/>
    </row>
    <row r="674" spans="2:27" s="25" customFormat="1" ht="15.75" customHeight="1" x14ac:dyDescent="0.2">
      <c r="B674" s="89"/>
      <c r="C674"/>
      <c r="D674"/>
      <c r="E674" s="69"/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  <c r="U674"/>
      <c r="V674"/>
      <c r="W674"/>
      <c r="X674"/>
      <c r="Y674"/>
      <c r="Z674"/>
      <c r="AA674"/>
    </row>
    <row r="675" spans="2:27" s="25" customFormat="1" ht="15.75" customHeight="1" x14ac:dyDescent="0.2">
      <c r="B675" s="89"/>
      <c r="C675"/>
      <c r="D675"/>
      <c r="E675" s="69"/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  <c r="U675"/>
      <c r="V675"/>
      <c r="W675"/>
      <c r="X675"/>
      <c r="Y675"/>
      <c r="Z675"/>
      <c r="AA675"/>
    </row>
    <row r="676" spans="2:27" s="25" customFormat="1" ht="15.75" customHeight="1" x14ac:dyDescent="0.2">
      <c r="B676" s="89"/>
      <c r="C676"/>
      <c r="D676"/>
      <c r="E676" s="69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  <c r="V676"/>
      <c r="W676"/>
      <c r="X676"/>
      <c r="Y676"/>
      <c r="Z676"/>
      <c r="AA676"/>
    </row>
    <row r="677" spans="2:27" s="25" customFormat="1" ht="15.75" customHeight="1" x14ac:dyDescent="0.2">
      <c r="B677" s="89"/>
      <c r="C677"/>
      <c r="D677"/>
      <c r="E677" s="69"/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  <c r="V677"/>
      <c r="W677"/>
      <c r="X677"/>
      <c r="Y677"/>
      <c r="Z677"/>
      <c r="AA677"/>
    </row>
    <row r="678" spans="2:27" s="25" customFormat="1" ht="15.75" customHeight="1" x14ac:dyDescent="0.2">
      <c r="B678" s="89"/>
      <c r="C678"/>
      <c r="D678"/>
      <c r="E678" s="69"/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  <c r="T678"/>
      <c r="U678"/>
      <c r="V678"/>
      <c r="W678"/>
      <c r="X678"/>
      <c r="Y678"/>
      <c r="Z678"/>
      <c r="AA678"/>
    </row>
    <row r="679" spans="2:27" s="25" customFormat="1" ht="15.75" customHeight="1" x14ac:dyDescent="0.2">
      <c r="B679" s="89"/>
      <c r="C679"/>
      <c r="D679"/>
      <c r="E679" s="69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  <c r="V679"/>
      <c r="W679"/>
      <c r="X679"/>
      <c r="Y679"/>
      <c r="Z679"/>
      <c r="AA679"/>
    </row>
    <row r="680" spans="2:27" s="25" customFormat="1" ht="15.75" customHeight="1" x14ac:dyDescent="0.2">
      <c r="B680" s="89"/>
      <c r="C680"/>
      <c r="D680"/>
      <c r="E680" s="69"/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  <c r="U680"/>
      <c r="V680"/>
      <c r="W680"/>
      <c r="X680"/>
      <c r="Y680"/>
      <c r="Z680"/>
      <c r="AA680"/>
    </row>
    <row r="681" spans="2:27" s="25" customFormat="1" ht="15.75" customHeight="1" x14ac:dyDescent="0.2">
      <c r="B681" s="89"/>
      <c r="C681"/>
      <c r="D681"/>
      <c r="E681" s="69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  <c r="U681"/>
      <c r="V681"/>
      <c r="W681"/>
      <c r="X681"/>
      <c r="Y681"/>
      <c r="Z681"/>
      <c r="AA681"/>
    </row>
    <row r="682" spans="2:27" s="25" customFormat="1" ht="15.75" customHeight="1" x14ac:dyDescent="0.2">
      <c r="B682" s="89"/>
      <c r="C682"/>
      <c r="D682"/>
      <c r="E682" s="69"/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  <c r="T682"/>
      <c r="U682"/>
      <c r="V682"/>
      <c r="W682"/>
      <c r="X682"/>
      <c r="Y682"/>
      <c r="Z682"/>
      <c r="AA682"/>
    </row>
    <row r="683" spans="2:27" s="25" customFormat="1" ht="15.75" customHeight="1" x14ac:dyDescent="0.2">
      <c r="B683" s="89"/>
      <c r="C683"/>
      <c r="D683"/>
      <c r="E683" s="69"/>
      <c r="F683"/>
      <c r="G683"/>
      <c r="H683"/>
      <c r="I683"/>
      <c r="J683"/>
      <c r="K683"/>
      <c r="L683"/>
      <c r="M683"/>
      <c r="N683"/>
      <c r="O683"/>
      <c r="P683"/>
      <c r="Q683"/>
      <c r="R683"/>
      <c r="S683"/>
      <c r="T683"/>
      <c r="U683"/>
      <c r="V683"/>
      <c r="W683"/>
      <c r="X683"/>
      <c r="Y683"/>
      <c r="Z683"/>
      <c r="AA683"/>
    </row>
    <row r="684" spans="2:27" s="25" customFormat="1" ht="15.75" customHeight="1" x14ac:dyDescent="0.2">
      <c r="B684" s="89"/>
      <c r="C684"/>
      <c r="D684"/>
      <c r="E684" s="69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  <c r="V684"/>
      <c r="W684"/>
      <c r="X684"/>
      <c r="Y684"/>
      <c r="Z684"/>
      <c r="AA684"/>
    </row>
    <row r="685" spans="2:27" s="25" customFormat="1" ht="15.75" customHeight="1" x14ac:dyDescent="0.2">
      <c r="B685" s="89"/>
      <c r="C685"/>
      <c r="D685"/>
      <c r="E685" s="69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  <c r="V685"/>
      <c r="W685"/>
      <c r="X685"/>
      <c r="Y685"/>
      <c r="Z685"/>
      <c r="AA685"/>
    </row>
    <row r="686" spans="2:27" s="25" customFormat="1" ht="15.75" customHeight="1" x14ac:dyDescent="0.2">
      <c r="B686" s="89"/>
      <c r="C686"/>
      <c r="D686"/>
      <c r="E686" s="69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  <c r="U686"/>
      <c r="V686"/>
      <c r="W686"/>
      <c r="X686"/>
      <c r="Y686"/>
      <c r="Z686"/>
      <c r="AA686"/>
    </row>
    <row r="687" spans="2:27" s="25" customFormat="1" ht="15.75" customHeight="1" x14ac:dyDescent="0.2">
      <c r="B687" s="89"/>
      <c r="C687"/>
      <c r="D687"/>
      <c r="E687" s="69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  <c r="V687"/>
      <c r="W687"/>
      <c r="X687"/>
      <c r="Y687"/>
      <c r="Z687"/>
      <c r="AA687"/>
    </row>
    <row r="688" spans="2:27" s="25" customFormat="1" ht="15.75" customHeight="1" x14ac:dyDescent="0.2">
      <c r="B688" s="89"/>
      <c r="C688"/>
      <c r="D688"/>
      <c r="E688" s="69"/>
      <c r="F688"/>
      <c r="G688"/>
      <c r="H688"/>
      <c r="I688"/>
      <c r="J688"/>
      <c r="K688"/>
      <c r="L688"/>
      <c r="M688"/>
      <c r="N688"/>
      <c r="O688"/>
      <c r="P688"/>
      <c r="Q688"/>
      <c r="R688"/>
      <c r="S688"/>
      <c r="T688"/>
      <c r="U688"/>
      <c r="V688"/>
      <c r="W688"/>
      <c r="X688"/>
      <c r="Y688"/>
      <c r="Z688"/>
      <c r="AA688"/>
    </row>
    <row r="689" spans="2:27" s="25" customFormat="1" ht="15.75" customHeight="1" x14ac:dyDescent="0.2">
      <c r="B689" s="89"/>
      <c r="C689"/>
      <c r="D689"/>
      <c r="E689" s="6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  <c r="V689"/>
      <c r="W689"/>
      <c r="X689"/>
      <c r="Y689"/>
      <c r="Z689"/>
      <c r="AA689"/>
    </row>
    <row r="690" spans="2:27" s="25" customFormat="1" ht="15.75" customHeight="1" x14ac:dyDescent="0.2">
      <c r="B690" s="89"/>
      <c r="C690"/>
      <c r="D690"/>
      <c r="E690" s="69"/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  <c r="T690"/>
      <c r="U690"/>
      <c r="V690"/>
      <c r="W690"/>
      <c r="X690"/>
      <c r="Y690"/>
      <c r="Z690"/>
      <c r="AA690"/>
    </row>
    <row r="691" spans="2:27" s="25" customFormat="1" ht="15.75" customHeight="1" x14ac:dyDescent="0.2">
      <c r="B691" s="89"/>
      <c r="C691"/>
      <c r="D691"/>
      <c r="E691" s="69"/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  <c r="U691"/>
      <c r="V691"/>
      <c r="W691"/>
      <c r="X691"/>
      <c r="Y691"/>
      <c r="Z691"/>
      <c r="AA691"/>
    </row>
    <row r="692" spans="2:27" s="25" customFormat="1" ht="15.75" customHeight="1" x14ac:dyDescent="0.2">
      <c r="B692" s="89"/>
      <c r="C692"/>
      <c r="D692"/>
      <c r="E692" s="69"/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  <c r="T692"/>
      <c r="U692"/>
      <c r="V692"/>
      <c r="W692"/>
      <c r="X692"/>
      <c r="Y692"/>
      <c r="Z692"/>
      <c r="AA692"/>
    </row>
    <row r="693" spans="2:27" s="25" customFormat="1" ht="15.75" customHeight="1" x14ac:dyDescent="0.2">
      <c r="B693" s="89"/>
      <c r="C693"/>
      <c r="D693"/>
      <c r="E693" s="69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  <c r="U693"/>
      <c r="V693"/>
      <c r="W693"/>
      <c r="X693"/>
      <c r="Y693"/>
      <c r="Z693"/>
      <c r="AA693"/>
    </row>
    <row r="694" spans="2:27" s="25" customFormat="1" ht="15.75" customHeight="1" x14ac:dyDescent="0.2">
      <c r="B694" s="89"/>
      <c r="C694"/>
      <c r="D694"/>
      <c r="E694" s="69"/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  <c r="V694"/>
      <c r="W694"/>
      <c r="X694"/>
      <c r="Y694"/>
      <c r="Z694"/>
      <c r="AA694"/>
    </row>
    <row r="695" spans="2:27" s="25" customFormat="1" ht="15.75" customHeight="1" x14ac:dyDescent="0.2">
      <c r="B695" s="89"/>
      <c r="C695"/>
      <c r="D695"/>
      <c r="E695" s="69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  <c r="V695"/>
      <c r="W695"/>
      <c r="X695"/>
      <c r="Y695"/>
      <c r="Z695"/>
      <c r="AA695"/>
    </row>
    <row r="696" spans="2:27" s="25" customFormat="1" ht="15.75" customHeight="1" x14ac:dyDescent="0.2">
      <c r="B696" s="89"/>
      <c r="C696"/>
      <c r="D696"/>
      <c r="E696" s="69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  <c r="U696"/>
      <c r="V696"/>
      <c r="W696"/>
      <c r="X696"/>
      <c r="Y696"/>
      <c r="Z696"/>
      <c r="AA696"/>
    </row>
    <row r="697" spans="2:27" s="25" customFormat="1" ht="15.75" customHeight="1" x14ac:dyDescent="0.2">
      <c r="B697" s="89"/>
      <c r="C697"/>
      <c r="D697"/>
      <c r="E697" s="69"/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  <c r="V697"/>
      <c r="W697"/>
      <c r="X697"/>
      <c r="Y697"/>
      <c r="Z697"/>
      <c r="AA697"/>
    </row>
    <row r="698" spans="2:27" s="25" customFormat="1" ht="15.75" customHeight="1" x14ac:dyDescent="0.2">
      <c r="B698" s="89"/>
      <c r="C698"/>
      <c r="D698"/>
      <c r="E698" s="69"/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  <c r="V698"/>
      <c r="W698"/>
      <c r="X698"/>
      <c r="Y698"/>
      <c r="Z698"/>
      <c r="AA698"/>
    </row>
    <row r="699" spans="2:27" s="25" customFormat="1" ht="15.75" customHeight="1" x14ac:dyDescent="0.2">
      <c r="B699" s="89"/>
      <c r="C699"/>
      <c r="D699"/>
      <c r="E699" s="69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  <c r="V699"/>
      <c r="W699"/>
      <c r="X699"/>
      <c r="Y699"/>
      <c r="Z699"/>
      <c r="AA699"/>
    </row>
    <row r="700" spans="2:27" s="25" customFormat="1" ht="15.75" customHeight="1" x14ac:dyDescent="0.2">
      <c r="B700" s="89"/>
      <c r="C700"/>
      <c r="D700"/>
      <c r="E700" s="69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  <c r="V700"/>
      <c r="W700"/>
      <c r="X700"/>
      <c r="Y700"/>
      <c r="Z700"/>
      <c r="AA700"/>
    </row>
    <row r="701" spans="2:27" s="25" customFormat="1" ht="15.75" customHeight="1" x14ac:dyDescent="0.2">
      <c r="B701" s="89"/>
      <c r="C701"/>
      <c r="D701"/>
      <c r="E701" s="69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  <c r="V701"/>
      <c r="W701"/>
      <c r="X701"/>
      <c r="Y701"/>
      <c r="Z701"/>
      <c r="AA701"/>
    </row>
    <row r="702" spans="2:27" s="25" customFormat="1" ht="15.75" customHeight="1" x14ac:dyDescent="0.2">
      <c r="B702" s="89"/>
      <c r="C702"/>
      <c r="D702"/>
      <c r="E702" s="69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  <c r="V702"/>
      <c r="W702"/>
      <c r="X702"/>
      <c r="Y702"/>
      <c r="Z702"/>
      <c r="AA702"/>
    </row>
    <row r="703" spans="2:27" s="25" customFormat="1" ht="15.75" customHeight="1" x14ac:dyDescent="0.2">
      <c r="B703" s="89"/>
      <c r="C703"/>
      <c r="D703"/>
      <c r="E703" s="69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  <c r="V703"/>
      <c r="W703"/>
      <c r="X703"/>
      <c r="Y703"/>
      <c r="Z703"/>
      <c r="AA703"/>
    </row>
    <row r="704" spans="2:27" s="25" customFormat="1" ht="15.75" customHeight="1" x14ac:dyDescent="0.2">
      <c r="B704" s="89"/>
      <c r="C704"/>
      <c r="D704"/>
      <c r="E704" s="69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  <c r="V704"/>
      <c r="W704"/>
      <c r="X704"/>
      <c r="Y704"/>
      <c r="Z704"/>
      <c r="AA704"/>
    </row>
    <row r="705" spans="2:27" s="25" customFormat="1" ht="15.75" customHeight="1" x14ac:dyDescent="0.2">
      <c r="B705" s="89"/>
      <c r="C705"/>
      <c r="D705"/>
      <c r="E705" s="69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  <c r="V705"/>
      <c r="W705"/>
      <c r="X705"/>
      <c r="Y705"/>
      <c r="Z705"/>
      <c r="AA705"/>
    </row>
    <row r="706" spans="2:27" s="25" customFormat="1" ht="15.75" customHeight="1" x14ac:dyDescent="0.2">
      <c r="B706" s="89"/>
      <c r="C706"/>
      <c r="D706"/>
      <c r="E706" s="69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  <c r="V706"/>
      <c r="W706"/>
      <c r="X706"/>
      <c r="Y706"/>
      <c r="Z706"/>
      <c r="AA706"/>
    </row>
    <row r="707" spans="2:27" s="25" customFormat="1" ht="15.75" customHeight="1" x14ac:dyDescent="0.2">
      <c r="B707" s="89"/>
      <c r="C707"/>
      <c r="D707"/>
      <c r="E707" s="69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  <c r="V707"/>
      <c r="W707"/>
      <c r="X707"/>
      <c r="Y707"/>
      <c r="Z707"/>
      <c r="AA707"/>
    </row>
    <row r="708" spans="2:27" s="25" customFormat="1" ht="15.75" customHeight="1" x14ac:dyDescent="0.2">
      <c r="B708" s="89"/>
      <c r="C708"/>
      <c r="D708"/>
      <c r="E708" s="69"/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  <c r="V708"/>
      <c r="W708"/>
      <c r="X708"/>
      <c r="Y708"/>
      <c r="Z708"/>
      <c r="AA708"/>
    </row>
    <row r="709" spans="2:27" s="25" customFormat="1" ht="15.75" customHeight="1" x14ac:dyDescent="0.2">
      <c r="B709" s="89"/>
      <c r="C709"/>
      <c r="D709"/>
      <c r="E709" s="69"/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  <c r="T709"/>
      <c r="U709"/>
      <c r="V709"/>
      <c r="W709"/>
      <c r="X709"/>
      <c r="Y709"/>
      <c r="Z709"/>
      <c r="AA709"/>
    </row>
    <row r="710" spans="2:27" s="25" customFormat="1" ht="15.75" customHeight="1" x14ac:dyDescent="0.2">
      <c r="B710" s="89"/>
      <c r="C710"/>
      <c r="D710"/>
      <c r="E710" s="69"/>
      <c r="F710"/>
      <c r="G710"/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  <c r="V710"/>
      <c r="W710"/>
      <c r="X710"/>
      <c r="Y710"/>
      <c r="Z710"/>
      <c r="AA710"/>
    </row>
    <row r="711" spans="2:27" s="25" customFormat="1" ht="15.75" customHeight="1" x14ac:dyDescent="0.2">
      <c r="B711" s="89"/>
      <c r="C711"/>
      <c r="D711"/>
      <c r="E711" s="69"/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  <c r="U711"/>
      <c r="V711"/>
      <c r="W711"/>
      <c r="X711"/>
      <c r="Y711"/>
      <c r="Z711"/>
      <c r="AA711"/>
    </row>
    <row r="712" spans="2:27" s="25" customFormat="1" ht="15.75" customHeight="1" x14ac:dyDescent="0.2">
      <c r="B712" s="89"/>
      <c r="C712"/>
      <c r="D712"/>
      <c r="E712" s="69"/>
      <c r="F712"/>
      <c r="G712"/>
      <c r="H712"/>
      <c r="I712"/>
      <c r="J712"/>
      <c r="K712"/>
      <c r="L712"/>
      <c r="M712"/>
      <c r="N712"/>
      <c r="O712"/>
      <c r="P712"/>
      <c r="Q712"/>
      <c r="R712"/>
      <c r="S712"/>
      <c r="T712"/>
      <c r="U712"/>
      <c r="V712"/>
      <c r="W712"/>
      <c r="X712"/>
      <c r="Y712"/>
      <c r="Z712"/>
      <c r="AA712"/>
    </row>
    <row r="713" spans="2:27" s="25" customFormat="1" ht="15.75" customHeight="1" x14ac:dyDescent="0.2">
      <c r="B713" s="89"/>
      <c r="C713"/>
      <c r="D713"/>
      <c r="E713" s="69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  <c r="V713"/>
      <c r="W713"/>
      <c r="X713"/>
      <c r="Y713"/>
      <c r="Z713"/>
      <c r="AA713"/>
    </row>
    <row r="714" spans="2:27" s="25" customFormat="1" ht="15.75" customHeight="1" x14ac:dyDescent="0.2">
      <c r="B714" s="89"/>
      <c r="C714"/>
      <c r="D714"/>
      <c r="E714" s="69"/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  <c r="U714"/>
      <c r="V714"/>
      <c r="W714"/>
      <c r="X714"/>
      <c r="Y714"/>
      <c r="Z714"/>
      <c r="AA714"/>
    </row>
    <row r="715" spans="2:27" s="25" customFormat="1" ht="15.75" customHeight="1" x14ac:dyDescent="0.2">
      <c r="B715" s="89"/>
      <c r="C715"/>
      <c r="D715"/>
      <c r="E715" s="69"/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  <c r="V715"/>
      <c r="W715"/>
      <c r="X715"/>
      <c r="Y715"/>
      <c r="Z715"/>
      <c r="AA715"/>
    </row>
    <row r="716" spans="2:27" s="25" customFormat="1" ht="15.75" customHeight="1" x14ac:dyDescent="0.2">
      <c r="B716" s="89"/>
      <c r="C716"/>
      <c r="D716"/>
      <c r="E716" s="69"/>
      <c r="F716"/>
      <c r="G716"/>
      <c r="H716"/>
      <c r="I716"/>
      <c r="J716"/>
      <c r="K716"/>
      <c r="L716"/>
      <c r="M716"/>
      <c r="N716"/>
      <c r="O716"/>
      <c r="P716"/>
      <c r="Q716"/>
      <c r="R716"/>
      <c r="S716"/>
      <c r="T716"/>
      <c r="U716"/>
      <c r="V716"/>
      <c r="W716"/>
      <c r="X716"/>
      <c r="Y716"/>
      <c r="Z716"/>
      <c r="AA716"/>
    </row>
    <row r="717" spans="2:27" s="25" customFormat="1" ht="15.75" customHeight="1" x14ac:dyDescent="0.2">
      <c r="B717" s="89"/>
      <c r="C717"/>
      <c r="D717"/>
      <c r="E717" s="69"/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  <c r="V717"/>
      <c r="W717"/>
      <c r="X717"/>
      <c r="Y717"/>
      <c r="Z717"/>
      <c r="AA717"/>
    </row>
    <row r="718" spans="2:27" s="25" customFormat="1" ht="15.75" customHeight="1" x14ac:dyDescent="0.2">
      <c r="B718" s="89"/>
      <c r="C718"/>
      <c r="D718"/>
      <c r="E718" s="69"/>
      <c r="F718"/>
      <c r="G718"/>
      <c r="H718"/>
      <c r="I718"/>
      <c r="J718"/>
      <c r="K718"/>
      <c r="L718"/>
      <c r="M718"/>
      <c r="N718"/>
      <c r="O718"/>
      <c r="P718"/>
      <c r="Q718"/>
      <c r="R718"/>
      <c r="S718"/>
      <c r="T718"/>
      <c r="U718"/>
      <c r="V718"/>
      <c r="W718"/>
      <c r="X718"/>
      <c r="Y718"/>
      <c r="Z718"/>
      <c r="AA718"/>
    </row>
    <row r="719" spans="2:27" s="25" customFormat="1" ht="15.75" customHeight="1" x14ac:dyDescent="0.2">
      <c r="B719" s="89"/>
      <c r="C719"/>
      <c r="D719"/>
      <c r="E719" s="69"/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  <c r="T719"/>
      <c r="U719"/>
      <c r="V719"/>
      <c r="W719"/>
      <c r="X719"/>
      <c r="Y719"/>
      <c r="Z719"/>
      <c r="AA719"/>
    </row>
    <row r="720" spans="2:27" s="25" customFormat="1" ht="15.75" customHeight="1" x14ac:dyDescent="0.2">
      <c r="B720" s="89"/>
      <c r="C720"/>
      <c r="D720"/>
      <c r="E720" s="69"/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  <c r="U720"/>
      <c r="V720"/>
      <c r="W720"/>
      <c r="X720"/>
      <c r="Y720"/>
      <c r="Z720"/>
      <c r="AA720"/>
    </row>
    <row r="721" spans="2:27" s="25" customFormat="1" ht="15.75" customHeight="1" x14ac:dyDescent="0.2">
      <c r="B721" s="89"/>
      <c r="C721"/>
      <c r="D721"/>
      <c r="E721" s="69"/>
      <c r="F721"/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  <c r="V721"/>
      <c r="W721"/>
      <c r="X721"/>
      <c r="Y721"/>
      <c r="Z721"/>
      <c r="AA721"/>
    </row>
    <row r="722" spans="2:27" s="25" customFormat="1" ht="15.75" customHeight="1" x14ac:dyDescent="0.2">
      <c r="B722" s="89"/>
      <c r="C722"/>
      <c r="D722"/>
      <c r="E722" s="69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  <c r="V722"/>
      <c r="W722"/>
      <c r="X722"/>
      <c r="Y722"/>
      <c r="Z722"/>
      <c r="AA722"/>
    </row>
    <row r="723" spans="2:27" s="25" customFormat="1" ht="15.75" customHeight="1" x14ac:dyDescent="0.2">
      <c r="B723" s="89"/>
      <c r="C723"/>
      <c r="D723"/>
      <c r="E723" s="69"/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  <c r="U723"/>
      <c r="V723"/>
      <c r="W723"/>
      <c r="X723"/>
      <c r="Y723"/>
      <c r="Z723"/>
      <c r="AA723"/>
    </row>
    <row r="724" spans="2:27" s="25" customFormat="1" ht="15.75" customHeight="1" x14ac:dyDescent="0.2">
      <c r="B724" s="89"/>
      <c r="C724"/>
      <c r="D724"/>
      <c r="E724" s="69"/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  <c r="U724"/>
      <c r="V724"/>
      <c r="W724"/>
      <c r="X724"/>
      <c r="Y724"/>
      <c r="Z724"/>
      <c r="AA724"/>
    </row>
    <row r="725" spans="2:27" s="25" customFormat="1" ht="15.75" customHeight="1" x14ac:dyDescent="0.2">
      <c r="B725" s="89"/>
      <c r="C725"/>
      <c r="D725"/>
      <c r="E725" s="69"/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/>
      <c r="U725"/>
      <c r="V725"/>
      <c r="W725"/>
      <c r="X725"/>
      <c r="Y725"/>
      <c r="Z725"/>
      <c r="AA725"/>
    </row>
    <row r="726" spans="2:27" s="25" customFormat="1" ht="15.75" customHeight="1" x14ac:dyDescent="0.2">
      <c r="B726" s="89"/>
      <c r="C726"/>
      <c r="D726"/>
      <c r="E726" s="69"/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  <c r="U726"/>
      <c r="V726"/>
      <c r="W726"/>
      <c r="X726"/>
      <c r="Y726"/>
      <c r="Z726"/>
      <c r="AA726"/>
    </row>
    <row r="727" spans="2:27" s="25" customFormat="1" ht="15.75" customHeight="1" x14ac:dyDescent="0.2">
      <c r="B727" s="89"/>
      <c r="C727"/>
      <c r="D727"/>
      <c r="E727" s="69"/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  <c r="V727"/>
      <c r="W727"/>
      <c r="X727"/>
      <c r="Y727"/>
      <c r="Z727"/>
      <c r="AA727"/>
    </row>
    <row r="728" spans="2:27" s="25" customFormat="1" ht="15.75" customHeight="1" x14ac:dyDescent="0.2">
      <c r="B728" s="89"/>
      <c r="C728"/>
      <c r="D728"/>
      <c r="E728" s="69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  <c r="V728"/>
      <c r="W728"/>
      <c r="X728"/>
      <c r="Y728"/>
      <c r="Z728"/>
      <c r="AA728"/>
    </row>
    <row r="729" spans="2:27" s="25" customFormat="1" ht="15.75" customHeight="1" x14ac:dyDescent="0.2">
      <c r="B729" s="89"/>
      <c r="C729"/>
      <c r="D729"/>
      <c r="E729" s="69"/>
      <c r="F729"/>
      <c r="G729"/>
      <c r="H729"/>
      <c r="I729"/>
      <c r="J729"/>
      <c r="K729"/>
      <c r="L729"/>
      <c r="M729"/>
      <c r="N729"/>
      <c r="O729"/>
      <c r="P729"/>
      <c r="Q729"/>
      <c r="R729"/>
      <c r="S729"/>
      <c r="T729"/>
      <c r="U729"/>
      <c r="V729"/>
      <c r="W729"/>
      <c r="X729"/>
      <c r="Y729"/>
      <c r="Z729"/>
      <c r="AA729"/>
    </row>
    <row r="730" spans="2:27" s="25" customFormat="1" ht="15.75" customHeight="1" x14ac:dyDescent="0.2">
      <c r="B730" s="89"/>
      <c r="C730"/>
      <c r="D730"/>
      <c r="E730" s="69"/>
      <c r="F730"/>
      <c r="G730"/>
      <c r="H730"/>
      <c r="I730"/>
      <c r="J730"/>
      <c r="K730"/>
      <c r="L730"/>
      <c r="M730"/>
      <c r="N730"/>
      <c r="O730"/>
      <c r="P730"/>
      <c r="Q730"/>
      <c r="R730"/>
      <c r="S730"/>
      <c r="T730"/>
      <c r="U730"/>
      <c r="V730"/>
      <c r="W730"/>
      <c r="X730"/>
      <c r="Y730"/>
      <c r="Z730"/>
      <c r="AA730"/>
    </row>
    <row r="731" spans="2:27" s="25" customFormat="1" ht="15.75" customHeight="1" x14ac:dyDescent="0.2">
      <c r="B731" s="89"/>
      <c r="C731"/>
      <c r="D731"/>
      <c r="E731" s="69"/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  <c r="V731"/>
      <c r="W731"/>
      <c r="X731"/>
      <c r="Y731"/>
      <c r="Z731"/>
      <c r="AA731"/>
    </row>
    <row r="732" spans="2:27" s="25" customFormat="1" ht="15.75" customHeight="1" x14ac:dyDescent="0.2">
      <c r="B732" s="89"/>
      <c r="C732"/>
      <c r="D732"/>
      <c r="E732" s="69"/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  <c r="U732"/>
      <c r="V732"/>
      <c r="W732"/>
      <c r="X732"/>
      <c r="Y732"/>
      <c r="Z732"/>
      <c r="AA732"/>
    </row>
    <row r="733" spans="2:27" s="25" customFormat="1" ht="15.75" customHeight="1" x14ac:dyDescent="0.2">
      <c r="B733" s="89"/>
      <c r="C733"/>
      <c r="D733"/>
      <c r="E733" s="69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  <c r="V733"/>
      <c r="W733"/>
      <c r="X733"/>
      <c r="Y733"/>
      <c r="Z733"/>
      <c r="AA733"/>
    </row>
    <row r="734" spans="2:27" s="25" customFormat="1" ht="15.75" customHeight="1" x14ac:dyDescent="0.2">
      <c r="B734" s="89"/>
      <c r="C734"/>
      <c r="D734"/>
      <c r="E734" s="69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  <c r="V734"/>
      <c r="W734"/>
      <c r="X734"/>
      <c r="Y734"/>
      <c r="Z734"/>
      <c r="AA734"/>
    </row>
    <row r="735" spans="2:27" s="25" customFormat="1" ht="15.75" customHeight="1" x14ac:dyDescent="0.2">
      <c r="B735" s="89"/>
      <c r="C735"/>
      <c r="D735"/>
      <c r="E735" s="69"/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  <c r="U735"/>
      <c r="V735"/>
      <c r="W735"/>
      <c r="X735"/>
      <c r="Y735"/>
      <c r="Z735"/>
      <c r="AA735"/>
    </row>
    <row r="736" spans="2:27" s="25" customFormat="1" ht="15.75" customHeight="1" x14ac:dyDescent="0.2">
      <c r="B736" s="89"/>
      <c r="C736"/>
      <c r="D736"/>
      <c r="E736" s="69"/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  <c r="U736"/>
      <c r="V736"/>
      <c r="W736"/>
      <c r="X736"/>
      <c r="Y736"/>
      <c r="Z736"/>
      <c r="AA736"/>
    </row>
    <row r="737" spans="2:27" s="25" customFormat="1" ht="15.75" customHeight="1" x14ac:dyDescent="0.2">
      <c r="B737" s="89"/>
      <c r="C737"/>
      <c r="D737"/>
      <c r="E737" s="69"/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  <c r="U737"/>
      <c r="V737"/>
      <c r="W737"/>
      <c r="X737"/>
      <c r="Y737"/>
      <c r="Z737"/>
      <c r="AA737"/>
    </row>
    <row r="738" spans="2:27" s="25" customFormat="1" ht="15.75" customHeight="1" x14ac:dyDescent="0.2">
      <c r="B738" s="89"/>
      <c r="C738"/>
      <c r="D738"/>
      <c r="E738" s="69"/>
      <c r="F738"/>
      <c r="G738"/>
      <c r="H738"/>
      <c r="I738"/>
      <c r="J738"/>
      <c r="K738"/>
      <c r="L738"/>
      <c r="M738"/>
      <c r="N738"/>
      <c r="O738"/>
      <c r="P738"/>
      <c r="Q738"/>
      <c r="R738"/>
      <c r="S738"/>
      <c r="T738"/>
      <c r="U738"/>
      <c r="V738"/>
      <c r="W738"/>
      <c r="X738"/>
      <c r="Y738"/>
      <c r="Z738"/>
      <c r="AA738"/>
    </row>
    <row r="739" spans="2:27" s="25" customFormat="1" ht="15.75" customHeight="1" x14ac:dyDescent="0.2">
      <c r="B739" s="89"/>
      <c r="C739"/>
      <c r="D739"/>
      <c r="E739" s="69"/>
      <c r="F739"/>
      <c r="G739"/>
      <c r="H739"/>
      <c r="I739"/>
      <c r="J739"/>
      <c r="K739"/>
      <c r="L739"/>
      <c r="M739"/>
      <c r="N739"/>
      <c r="O739"/>
      <c r="P739"/>
      <c r="Q739"/>
      <c r="R739"/>
      <c r="S739"/>
      <c r="T739"/>
      <c r="U739"/>
      <c r="V739"/>
      <c r="W739"/>
      <c r="X739"/>
      <c r="Y739"/>
      <c r="Z739"/>
      <c r="AA739"/>
    </row>
    <row r="740" spans="2:27" s="25" customFormat="1" ht="15.75" customHeight="1" x14ac:dyDescent="0.2">
      <c r="B740" s="89"/>
      <c r="C740"/>
      <c r="D740"/>
      <c r="E740" s="69"/>
      <c r="F740"/>
      <c r="G740"/>
      <c r="H740"/>
      <c r="I740"/>
      <c r="J740"/>
      <c r="K740"/>
      <c r="L740"/>
      <c r="M740"/>
      <c r="N740"/>
      <c r="O740"/>
      <c r="P740"/>
      <c r="Q740"/>
      <c r="R740"/>
      <c r="S740"/>
      <c r="T740"/>
      <c r="U740"/>
      <c r="V740"/>
      <c r="W740"/>
      <c r="X740"/>
      <c r="Y740"/>
      <c r="Z740"/>
      <c r="AA740"/>
    </row>
    <row r="741" spans="2:27" s="25" customFormat="1" ht="15.75" customHeight="1" x14ac:dyDescent="0.2">
      <c r="B741" s="89"/>
      <c r="C741"/>
      <c r="D741"/>
      <c r="E741" s="69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  <c r="V741"/>
      <c r="W741"/>
      <c r="X741"/>
      <c r="Y741"/>
      <c r="Z741"/>
      <c r="AA741"/>
    </row>
    <row r="742" spans="2:27" s="25" customFormat="1" ht="15.75" customHeight="1" x14ac:dyDescent="0.2">
      <c r="B742" s="89"/>
      <c r="C742"/>
      <c r="D742"/>
      <c r="E742" s="69"/>
      <c r="F742"/>
      <c r="G742"/>
      <c r="H742"/>
      <c r="I742"/>
      <c r="J742"/>
      <c r="K742"/>
      <c r="L742"/>
      <c r="M742"/>
      <c r="N742"/>
      <c r="O742"/>
      <c r="P742"/>
      <c r="Q742"/>
      <c r="R742"/>
      <c r="S742"/>
      <c r="T742"/>
      <c r="U742"/>
      <c r="V742"/>
      <c r="W742"/>
      <c r="X742"/>
      <c r="Y742"/>
      <c r="Z742"/>
      <c r="AA742"/>
    </row>
    <row r="743" spans="2:27" s="25" customFormat="1" ht="15.75" customHeight="1" x14ac:dyDescent="0.2">
      <c r="B743" s="89"/>
      <c r="C743"/>
      <c r="D743"/>
      <c r="E743" s="69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  <c r="V743"/>
      <c r="W743"/>
      <c r="X743"/>
      <c r="Y743"/>
      <c r="Z743"/>
      <c r="AA743"/>
    </row>
    <row r="744" spans="2:27" s="25" customFormat="1" ht="15.75" customHeight="1" x14ac:dyDescent="0.2">
      <c r="B744" s="89"/>
      <c r="C744"/>
      <c r="D744"/>
      <c r="E744" s="69"/>
      <c r="F744"/>
      <c r="G744"/>
      <c r="H744"/>
      <c r="I744"/>
      <c r="J744"/>
      <c r="K744"/>
      <c r="L744"/>
      <c r="M744"/>
      <c r="N744"/>
      <c r="O744"/>
      <c r="P744"/>
      <c r="Q744"/>
      <c r="R744"/>
      <c r="S744"/>
      <c r="T744"/>
      <c r="U744"/>
      <c r="V744"/>
      <c r="W744"/>
      <c r="X744"/>
      <c r="Y744"/>
      <c r="Z744"/>
      <c r="AA744"/>
    </row>
    <row r="745" spans="2:27" s="25" customFormat="1" ht="15.75" customHeight="1" x14ac:dyDescent="0.2">
      <c r="B745" s="89"/>
      <c r="C745"/>
      <c r="D745"/>
      <c r="E745" s="69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  <c r="V745"/>
      <c r="W745"/>
      <c r="X745"/>
      <c r="Y745"/>
      <c r="Z745"/>
      <c r="AA745"/>
    </row>
    <row r="746" spans="2:27" s="25" customFormat="1" ht="15.75" customHeight="1" x14ac:dyDescent="0.2">
      <c r="B746" s="89"/>
      <c r="C746"/>
      <c r="D746"/>
      <c r="E746" s="69"/>
      <c r="F746"/>
      <c r="G746"/>
      <c r="H746"/>
      <c r="I746"/>
      <c r="J746"/>
      <c r="K746"/>
      <c r="L746"/>
      <c r="M746"/>
      <c r="N746"/>
      <c r="O746"/>
      <c r="P746"/>
      <c r="Q746"/>
      <c r="R746"/>
      <c r="S746"/>
      <c r="T746"/>
      <c r="U746"/>
      <c r="V746"/>
      <c r="W746"/>
      <c r="X746"/>
      <c r="Y746"/>
      <c r="Z746"/>
      <c r="AA746"/>
    </row>
    <row r="747" spans="2:27" s="25" customFormat="1" ht="15.75" customHeight="1" x14ac:dyDescent="0.2">
      <c r="B747" s="89"/>
      <c r="C747"/>
      <c r="D747"/>
      <c r="E747" s="69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  <c r="U747"/>
      <c r="V747"/>
      <c r="W747"/>
      <c r="X747"/>
      <c r="Y747"/>
      <c r="Z747"/>
      <c r="AA747"/>
    </row>
    <row r="748" spans="2:27" s="25" customFormat="1" ht="15.75" customHeight="1" x14ac:dyDescent="0.2">
      <c r="B748" s="89"/>
      <c r="C748"/>
      <c r="D748"/>
      <c r="E748" s="69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  <c r="V748"/>
      <c r="W748"/>
      <c r="X748"/>
      <c r="Y748"/>
      <c r="Z748"/>
      <c r="AA748"/>
    </row>
    <row r="749" spans="2:27" s="25" customFormat="1" ht="15.75" customHeight="1" x14ac:dyDescent="0.2">
      <c r="B749" s="89"/>
      <c r="C749"/>
      <c r="D749"/>
      <c r="E749" s="69"/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  <c r="T749"/>
      <c r="U749"/>
      <c r="V749"/>
      <c r="W749"/>
      <c r="X749"/>
      <c r="Y749"/>
      <c r="Z749"/>
      <c r="AA749"/>
    </row>
    <row r="750" spans="2:27" s="25" customFormat="1" ht="15.75" customHeight="1" x14ac:dyDescent="0.2">
      <c r="B750" s="89"/>
      <c r="C750"/>
      <c r="D750"/>
      <c r="E750" s="69"/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  <c r="V750"/>
      <c r="W750"/>
      <c r="X750"/>
      <c r="Y750"/>
      <c r="Z750"/>
      <c r="AA750"/>
    </row>
    <row r="751" spans="2:27" s="25" customFormat="1" ht="15.75" customHeight="1" x14ac:dyDescent="0.2">
      <c r="B751" s="89"/>
      <c r="C751"/>
      <c r="D751"/>
      <c r="E751" s="69"/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  <c r="V751"/>
      <c r="W751"/>
      <c r="X751"/>
      <c r="Y751"/>
      <c r="Z751"/>
      <c r="AA751"/>
    </row>
    <row r="752" spans="2:27" s="25" customFormat="1" ht="15.75" customHeight="1" x14ac:dyDescent="0.2">
      <c r="B752" s="89"/>
      <c r="C752"/>
      <c r="D752"/>
      <c r="E752" s="69"/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  <c r="V752"/>
      <c r="W752"/>
      <c r="X752"/>
      <c r="Y752"/>
      <c r="Z752"/>
      <c r="AA752"/>
    </row>
    <row r="753" spans="2:27" s="25" customFormat="1" ht="15.75" customHeight="1" x14ac:dyDescent="0.2">
      <c r="B753" s="89"/>
      <c r="C753"/>
      <c r="D753"/>
      <c r="E753" s="69"/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  <c r="T753"/>
      <c r="U753"/>
      <c r="V753"/>
      <c r="W753"/>
      <c r="X753"/>
      <c r="Y753"/>
      <c r="Z753"/>
      <c r="AA753"/>
    </row>
    <row r="754" spans="2:27" s="25" customFormat="1" ht="15.75" customHeight="1" x14ac:dyDescent="0.2">
      <c r="B754" s="89"/>
      <c r="C754"/>
      <c r="D754"/>
      <c r="E754" s="69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  <c r="T754"/>
      <c r="U754"/>
      <c r="V754"/>
      <c r="W754"/>
      <c r="X754"/>
      <c r="Y754"/>
      <c r="Z754"/>
      <c r="AA754"/>
    </row>
    <row r="755" spans="2:27" s="25" customFormat="1" ht="15.75" customHeight="1" x14ac:dyDescent="0.2">
      <c r="B755" s="89"/>
      <c r="C755"/>
      <c r="D755"/>
      <c r="E755" s="69"/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  <c r="V755"/>
      <c r="W755"/>
      <c r="X755"/>
      <c r="Y755"/>
      <c r="Z755"/>
      <c r="AA755"/>
    </row>
    <row r="756" spans="2:27" s="25" customFormat="1" ht="15.75" customHeight="1" x14ac:dyDescent="0.2">
      <c r="B756" s="89"/>
      <c r="C756"/>
      <c r="D756"/>
      <c r="E756" s="69"/>
      <c r="F756"/>
      <c r="G756"/>
      <c r="H756"/>
      <c r="I756"/>
      <c r="J756"/>
      <c r="K756"/>
      <c r="L756"/>
      <c r="M756"/>
      <c r="N756"/>
      <c r="O756"/>
      <c r="P756"/>
      <c r="Q756"/>
      <c r="R756"/>
      <c r="S756"/>
      <c r="T756"/>
      <c r="U756"/>
      <c r="V756"/>
      <c r="W756"/>
      <c r="X756"/>
      <c r="Y756"/>
      <c r="Z756"/>
      <c r="AA756"/>
    </row>
    <row r="757" spans="2:27" s="25" customFormat="1" ht="15.75" customHeight="1" x14ac:dyDescent="0.2">
      <c r="B757" s="89"/>
      <c r="C757"/>
      <c r="D757"/>
      <c r="E757" s="69"/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  <c r="T757"/>
      <c r="U757"/>
      <c r="V757"/>
      <c r="W757"/>
      <c r="X757"/>
      <c r="Y757"/>
      <c r="Z757"/>
      <c r="AA757"/>
    </row>
    <row r="758" spans="2:27" s="25" customFormat="1" ht="15.75" customHeight="1" x14ac:dyDescent="0.2">
      <c r="B758" s="89"/>
      <c r="C758"/>
      <c r="D758"/>
      <c r="E758" s="69"/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  <c r="T758"/>
      <c r="U758"/>
      <c r="V758"/>
      <c r="W758"/>
      <c r="X758"/>
      <c r="Y758"/>
      <c r="Z758"/>
      <c r="AA758"/>
    </row>
    <row r="759" spans="2:27" s="25" customFormat="1" ht="15.75" customHeight="1" x14ac:dyDescent="0.2">
      <c r="B759" s="89"/>
      <c r="C759"/>
      <c r="D759"/>
      <c r="E759" s="69"/>
      <c r="F759"/>
      <c r="G759"/>
      <c r="H759"/>
      <c r="I759"/>
      <c r="J759"/>
      <c r="K759"/>
      <c r="L759"/>
      <c r="M759"/>
      <c r="N759"/>
      <c r="O759"/>
      <c r="P759"/>
      <c r="Q759"/>
      <c r="R759"/>
      <c r="S759"/>
      <c r="T759"/>
      <c r="U759"/>
      <c r="V759"/>
      <c r="W759"/>
      <c r="X759"/>
      <c r="Y759"/>
      <c r="Z759"/>
      <c r="AA759"/>
    </row>
    <row r="760" spans="2:27" s="25" customFormat="1" ht="15.75" customHeight="1" x14ac:dyDescent="0.2">
      <c r="B760" s="89"/>
      <c r="C760"/>
      <c r="D760"/>
      <c r="E760" s="69"/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  <c r="T760"/>
      <c r="U760"/>
      <c r="V760"/>
      <c r="W760"/>
      <c r="X760"/>
      <c r="Y760"/>
      <c r="Z760"/>
      <c r="AA760"/>
    </row>
    <row r="761" spans="2:27" s="25" customFormat="1" ht="15.75" customHeight="1" x14ac:dyDescent="0.2">
      <c r="B761" s="89"/>
      <c r="C761"/>
      <c r="D761"/>
      <c r="E761" s="69"/>
      <c r="F761"/>
      <c r="G761"/>
      <c r="H761"/>
      <c r="I761"/>
      <c r="J761"/>
      <c r="K761"/>
      <c r="L761"/>
      <c r="M761"/>
      <c r="N761"/>
      <c r="O761"/>
      <c r="P761"/>
      <c r="Q761"/>
      <c r="R761"/>
      <c r="S761"/>
      <c r="T761"/>
      <c r="U761"/>
      <c r="V761"/>
      <c r="W761"/>
      <c r="X761"/>
      <c r="Y761"/>
      <c r="Z761"/>
      <c r="AA761"/>
    </row>
    <row r="762" spans="2:27" s="25" customFormat="1" ht="15.75" customHeight="1" x14ac:dyDescent="0.2">
      <c r="B762" s="89"/>
      <c r="C762"/>
      <c r="D762"/>
      <c r="E762" s="69"/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  <c r="U762"/>
      <c r="V762"/>
      <c r="W762"/>
      <c r="X762"/>
      <c r="Y762"/>
      <c r="Z762"/>
      <c r="AA762"/>
    </row>
    <row r="763" spans="2:27" s="25" customFormat="1" ht="15.75" customHeight="1" x14ac:dyDescent="0.2">
      <c r="B763" s="89"/>
      <c r="C763"/>
      <c r="D763"/>
      <c r="E763" s="69"/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  <c r="V763"/>
      <c r="W763"/>
      <c r="X763"/>
      <c r="Y763"/>
      <c r="Z763"/>
      <c r="AA763"/>
    </row>
    <row r="764" spans="2:27" s="25" customFormat="1" ht="15.75" customHeight="1" x14ac:dyDescent="0.2">
      <c r="B764" s="89"/>
      <c r="C764"/>
      <c r="D764"/>
      <c r="E764" s="69"/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  <c r="V764"/>
      <c r="W764"/>
      <c r="X764"/>
      <c r="Y764"/>
      <c r="Z764"/>
      <c r="AA764"/>
    </row>
    <row r="765" spans="2:27" s="25" customFormat="1" ht="15.75" customHeight="1" x14ac:dyDescent="0.2">
      <c r="B765" s="89"/>
      <c r="C765"/>
      <c r="D765"/>
      <c r="E765" s="69"/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  <c r="U765"/>
      <c r="V765"/>
      <c r="W765"/>
      <c r="X765"/>
      <c r="Y765"/>
      <c r="Z765"/>
      <c r="AA765"/>
    </row>
    <row r="766" spans="2:27" s="25" customFormat="1" ht="15.75" customHeight="1" x14ac:dyDescent="0.2">
      <c r="B766" s="89"/>
      <c r="C766"/>
      <c r="D766"/>
      <c r="E766" s="69"/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  <c r="T766"/>
      <c r="U766"/>
      <c r="V766"/>
      <c r="W766"/>
      <c r="X766"/>
      <c r="Y766"/>
      <c r="Z766"/>
      <c r="AA766"/>
    </row>
    <row r="767" spans="2:27" s="25" customFormat="1" ht="15.75" customHeight="1" x14ac:dyDescent="0.2">
      <c r="B767" s="89"/>
      <c r="C767"/>
      <c r="D767"/>
      <c r="E767" s="69"/>
      <c r="F767"/>
      <c r="G767"/>
      <c r="H767"/>
      <c r="I767"/>
      <c r="J767"/>
      <c r="K767"/>
      <c r="L767"/>
      <c r="M767"/>
      <c r="N767"/>
      <c r="O767"/>
      <c r="P767"/>
      <c r="Q767"/>
      <c r="R767"/>
      <c r="S767"/>
      <c r="T767"/>
      <c r="U767"/>
      <c r="V767"/>
      <c r="W767"/>
      <c r="X767"/>
      <c r="Y767"/>
      <c r="Z767"/>
      <c r="AA767"/>
    </row>
    <row r="768" spans="2:27" s="25" customFormat="1" ht="15.75" customHeight="1" x14ac:dyDescent="0.2">
      <c r="B768" s="89"/>
      <c r="C768"/>
      <c r="D768"/>
      <c r="E768" s="69"/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  <c r="U768"/>
      <c r="V768"/>
      <c r="W768"/>
      <c r="X768"/>
      <c r="Y768"/>
      <c r="Z768"/>
      <c r="AA768"/>
    </row>
    <row r="769" spans="2:27" s="25" customFormat="1" ht="15.75" customHeight="1" x14ac:dyDescent="0.2">
      <c r="B769" s="89"/>
      <c r="C769"/>
      <c r="D769"/>
      <c r="E769" s="69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  <c r="V769"/>
      <c r="W769"/>
      <c r="X769"/>
      <c r="Y769"/>
      <c r="Z769"/>
      <c r="AA769"/>
    </row>
    <row r="770" spans="2:27" s="25" customFormat="1" ht="15.75" customHeight="1" x14ac:dyDescent="0.2">
      <c r="B770" s="89"/>
      <c r="C770"/>
      <c r="D770"/>
      <c r="E770" s="69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  <c r="V770"/>
      <c r="W770"/>
      <c r="X770"/>
      <c r="Y770"/>
      <c r="Z770"/>
      <c r="AA770"/>
    </row>
    <row r="771" spans="2:27" s="25" customFormat="1" ht="15.75" customHeight="1" x14ac:dyDescent="0.2">
      <c r="B771" s="89"/>
      <c r="C771"/>
      <c r="D771"/>
      <c r="E771" s="69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  <c r="V771"/>
      <c r="W771"/>
      <c r="X771"/>
      <c r="Y771"/>
      <c r="Z771"/>
      <c r="AA771"/>
    </row>
    <row r="772" spans="2:27" s="25" customFormat="1" ht="15.75" customHeight="1" x14ac:dyDescent="0.2">
      <c r="B772" s="89"/>
      <c r="C772"/>
      <c r="D772"/>
      <c r="E772" s="69"/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  <c r="V772"/>
      <c r="W772"/>
      <c r="X772"/>
      <c r="Y772"/>
      <c r="Z772"/>
      <c r="AA772"/>
    </row>
    <row r="773" spans="2:27" s="25" customFormat="1" ht="15.75" customHeight="1" x14ac:dyDescent="0.2">
      <c r="B773" s="89"/>
      <c r="C773"/>
      <c r="D773"/>
      <c r="E773" s="69"/>
      <c r="F773"/>
      <c r="G773"/>
      <c r="H773"/>
      <c r="I773"/>
      <c r="J773"/>
      <c r="K773"/>
      <c r="L773"/>
      <c r="M773"/>
      <c r="N773"/>
      <c r="O773"/>
      <c r="P773"/>
      <c r="Q773"/>
      <c r="R773"/>
      <c r="S773"/>
      <c r="T773"/>
      <c r="U773"/>
      <c r="V773"/>
      <c r="W773"/>
      <c r="X773"/>
      <c r="Y773"/>
      <c r="Z773"/>
      <c r="AA773"/>
    </row>
    <row r="774" spans="2:27" s="25" customFormat="1" ht="15.75" customHeight="1" x14ac:dyDescent="0.2">
      <c r="B774" s="89"/>
      <c r="C774"/>
      <c r="D774"/>
      <c r="E774" s="69"/>
      <c r="F774"/>
      <c r="G774"/>
      <c r="H774"/>
      <c r="I774"/>
      <c r="J774"/>
      <c r="K774"/>
      <c r="L774"/>
      <c r="M774"/>
      <c r="N774"/>
      <c r="O774"/>
      <c r="P774"/>
      <c r="Q774"/>
      <c r="R774"/>
      <c r="S774"/>
      <c r="T774"/>
      <c r="U774"/>
      <c r="V774"/>
      <c r="W774"/>
      <c r="X774"/>
      <c r="Y774"/>
      <c r="Z774"/>
      <c r="AA774"/>
    </row>
    <row r="775" spans="2:27" s="25" customFormat="1" ht="15.75" customHeight="1" x14ac:dyDescent="0.2">
      <c r="B775" s="89"/>
      <c r="C775"/>
      <c r="D775"/>
      <c r="E775" s="69"/>
      <c r="F775"/>
      <c r="G775"/>
      <c r="H775"/>
      <c r="I775"/>
      <c r="J775"/>
      <c r="K775"/>
      <c r="L775"/>
      <c r="M775"/>
      <c r="N775"/>
      <c r="O775"/>
      <c r="P775"/>
      <c r="Q775"/>
      <c r="R775"/>
      <c r="S775"/>
      <c r="T775"/>
      <c r="U775"/>
      <c r="V775"/>
      <c r="W775"/>
      <c r="X775"/>
      <c r="Y775"/>
      <c r="Z775"/>
      <c r="AA775"/>
    </row>
    <row r="776" spans="2:27" s="25" customFormat="1" ht="15.75" customHeight="1" x14ac:dyDescent="0.2">
      <c r="B776" s="89"/>
      <c r="C776"/>
      <c r="D776"/>
      <c r="E776" s="69"/>
      <c r="F776"/>
      <c r="G776"/>
      <c r="H776"/>
      <c r="I776"/>
      <c r="J776"/>
      <c r="K776"/>
      <c r="L776"/>
      <c r="M776"/>
      <c r="N776"/>
      <c r="O776"/>
      <c r="P776"/>
      <c r="Q776"/>
      <c r="R776"/>
      <c r="S776"/>
      <c r="T776"/>
      <c r="U776"/>
      <c r="V776"/>
      <c r="W776"/>
      <c r="X776"/>
      <c r="Y776"/>
      <c r="Z776"/>
      <c r="AA776"/>
    </row>
    <row r="777" spans="2:27" s="25" customFormat="1" ht="15.75" customHeight="1" x14ac:dyDescent="0.2">
      <c r="B777" s="89"/>
      <c r="C777"/>
      <c r="D777"/>
      <c r="E777" s="69"/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  <c r="V777"/>
      <c r="W777"/>
      <c r="X777"/>
      <c r="Y777"/>
      <c r="Z777"/>
      <c r="AA777"/>
    </row>
    <row r="778" spans="2:27" s="25" customFormat="1" ht="15.75" customHeight="1" x14ac:dyDescent="0.2">
      <c r="B778" s="89"/>
      <c r="C778"/>
      <c r="D778"/>
      <c r="E778" s="69"/>
      <c r="F778"/>
      <c r="G778"/>
      <c r="H778"/>
      <c r="I778"/>
      <c r="J778"/>
      <c r="K778"/>
      <c r="L778"/>
      <c r="M778"/>
      <c r="N778"/>
      <c r="O778"/>
      <c r="P778"/>
      <c r="Q778"/>
      <c r="R778"/>
      <c r="S778"/>
      <c r="T778"/>
      <c r="U778"/>
      <c r="V778"/>
      <c r="W778"/>
      <c r="X778"/>
      <c r="Y778"/>
      <c r="Z778"/>
      <c r="AA778"/>
    </row>
    <row r="779" spans="2:27" s="25" customFormat="1" ht="15.75" customHeight="1" x14ac:dyDescent="0.2">
      <c r="B779" s="89"/>
      <c r="C779"/>
      <c r="D779"/>
      <c r="E779" s="69"/>
      <c r="F779"/>
      <c r="G779"/>
      <c r="H779"/>
      <c r="I779"/>
      <c r="J779"/>
      <c r="K779"/>
      <c r="L779"/>
      <c r="M779"/>
      <c r="N779"/>
      <c r="O779"/>
      <c r="P779"/>
      <c r="Q779"/>
      <c r="R779"/>
      <c r="S779"/>
      <c r="T779"/>
      <c r="U779"/>
      <c r="V779"/>
      <c r="W779"/>
      <c r="X779"/>
      <c r="Y779"/>
      <c r="Z779"/>
      <c r="AA779"/>
    </row>
    <row r="780" spans="2:27" s="25" customFormat="1" ht="15.75" customHeight="1" x14ac:dyDescent="0.2">
      <c r="B780" s="89"/>
      <c r="C780"/>
      <c r="D780"/>
      <c r="E780" s="69"/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  <c r="T780"/>
      <c r="U780"/>
      <c r="V780"/>
      <c r="W780"/>
      <c r="X780"/>
      <c r="Y780"/>
      <c r="Z780"/>
      <c r="AA780"/>
    </row>
    <row r="781" spans="2:27" s="25" customFormat="1" ht="15.75" customHeight="1" x14ac:dyDescent="0.2">
      <c r="B781" s="89"/>
      <c r="C781"/>
      <c r="D781"/>
      <c r="E781" s="69"/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  <c r="V781"/>
      <c r="W781"/>
      <c r="X781"/>
      <c r="Y781"/>
      <c r="Z781"/>
      <c r="AA781"/>
    </row>
    <row r="782" spans="2:27" s="25" customFormat="1" ht="15.75" customHeight="1" x14ac:dyDescent="0.2">
      <c r="B782" s="89"/>
      <c r="C782"/>
      <c r="D782"/>
      <c r="E782" s="69"/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  <c r="V782"/>
      <c r="W782"/>
      <c r="X782"/>
      <c r="Y782"/>
      <c r="Z782"/>
      <c r="AA782"/>
    </row>
    <row r="783" spans="2:27" s="25" customFormat="1" ht="15.75" customHeight="1" x14ac:dyDescent="0.2">
      <c r="B783" s="89"/>
      <c r="C783"/>
      <c r="D783"/>
      <c r="E783" s="69"/>
      <c r="F783"/>
      <c r="G783"/>
      <c r="H783"/>
      <c r="I783"/>
      <c r="J783"/>
      <c r="K783"/>
      <c r="L783"/>
      <c r="M783"/>
      <c r="N783"/>
      <c r="O783"/>
      <c r="P783"/>
      <c r="Q783"/>
      <c r="R783"/>
      <c r="S783"/>
      <c r="T783"/>
      <c r="U783"/>
      <c r="V783"/>
      <c r="W783"/>
      <c r="X783"/>
      <c r="Y783"/>
      <c r="Z783"/>
      <c r="AA783"/>
    </row>
    <row r="784" spans="2:27" s="25" customFormat="1" ht="15.75" customHeight="1" x14ac:dyDescent="0.2">
      <c r="B784" s="89"/>
      <c r="C784"/>
      <c r="D784"/>
      <c r="E784" s="69"/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  <c r="T784"/>
      <c r="U784"/>
      <c r="V784"/>
      <c r="W784"/>
      <c r="X784"/>
      <c r="Y784"/>
      <c r="Z784"/>
      <c r="AA784"/>
    </row>
    <row r="785" spans="2:27" s="25" customFormat="1" ht="15.75" customHeight="1" x14ac:dyDescent="0.2">
      <c r="B785" s="89"/>
      <c r="C785"/>
      <c r="D785"/>
      <c r="E785" s="69"/>
      <c r="F785"/>
      <c r="G785"/>
      <c r="H785"/>
      <c r="I785"/>
      <c r="J785"/>
      <c r="K785"/>
      <c r="L785"/>
      <c r="M785"/>
      <c r="N785"/>
      <c r="O785"/>
      <c r="P785"/>
      <c r="Q785"/>
      <c r="R785"/>
      <c r="S785"/>
      <c r="T785"/>
      <c r="U785"/>
      <c r="V785"/>
      <c r="W785"/>
      <c r="X785"/>
      <c r="Y785"/>
      <c r="Z785"/>
      <c r="AA785"/>
    </row>
    <row r="786" spans="2:27" s="25" customFormat="1" ht="15.75" customHeight="1" x14ac:dyDescent="0.2">
      <c r="B786" s="89"/>
      <c r="C786"/>
      <c r="D786"/>
      <c r="E786" s="69"/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  <c r="U786"/>
      <c r="V786"/>
      <c r="W786"/>
      <c r="X786"/>
      <c r="Y786"/>
      <c r="Z786"/>
      <c r="AA786"/>
    </row>
    <row r="787" spans="2:27" s="25" customFormat="1" ht="15.75" customHeight="1" x14ac:dyDescent="0.2">
      <c r="B787" s="89"/>
      <c r="C787"/>
      <c r="D787"/>
      <c r="E787" s="69"/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  <c r="V787"/>
      <c r="W787"/>
      <c r="X787"/>
      <c r="Y787"/>
      <c r="Z787"/>
      <c r="AA787"/>
    </row>
    <row r="788" spans="2:27" s="25" customFormat="1" ht="15.75" customHeight="1" x14ac:dyDescent="0.2">
      <c r="B788" s="89"/>
      <c r="C788"/>
      <c r="D788"/>
      <c r="E788" s="69"/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  <c r="V788"/>
      <c r="W788"/>
      <c r="X788"/>
      <c r="Y788"/>
      <c r="Z788"/>
      <c r="AA788"/>
    </row>
    <row r="789" spans="2:27" s="25" customFormat="1" ht="15.75" customHeight="1" x14ac:dyDescent="0.2">
      <c r="B789" s="89"/>
      <c r="C789"/>
      <c r="D789"/>
      <c r="E789" s="69"/>
      <c r="F789"/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  <c r="V789"/>
      <c r="W789"/>
      <c r="X789"/>
      <c r="Y789"/>
      <c r="Z789"/>
      <c r="AA789"/>
    </row>
    <row r="790" spans="2:27" s="25" customFormat="1" ht="15.75" customHeight="1" x14ac:dyDescent="0.2">
      <c r="B790" s="89"/>
      <c r="C790"/>
      <c r="D790"/>
      <c r="E790" s="69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  <c r="V790"/>
      <c r="W790"/>
      <c r="X790"/>
      <c r="Y790"/>
      <c r="Z790"/>
      <c r="AA790"/>
    </row>
    <row r="791" spans="2:27" s="25" customFormat="1" ht="15.75" customHeight="1" x14ac:dyDescent="0.2">
      <c r="B791" s="89"/>
      <c r="C791"/>
      <c r="D791"/>
      <c r="E791" s="69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  <c r="V791"/>
      <c r="W791"/>
      <c r="X791"/>
      <c r="Y791"/>
      <c r="Z791"/>
      <c r="AA791"/>
    </row>
    <row r="792" spans="2:27" s="25" customFormat="1" ht="15.75" customHeight="1" x14ac:dyDescent="0.2">
      <c r="B792" s="89"/>
      <c r="C792"/>
      <c r="D792"/>
      <c r="E792" s="69"/>
      <c r="F792"/>
      <c r="G792"/>
      <c r="H792"/>
      <c r="I792"/>
      <c r="J792"/>
      <c r="K792"/>
      <c r="L792"/>
      <c r="M792"/>
      <c r="N792"/>
      <c r="O792"/>
      <c r="P792"/>
      <c r="Q792"/>
      <c r="R792"/>
      <c r="S792"/>
      <c r="T792"/>
      <c r="U792"/>
      <c r="V792"/>
      <c r="W792"/>
      <c r="X792"/>
      <c r="Y792"/>
      <c r="Z792"/>
      <c r="AA792"/>
    </row>
    <row r="793" spans="2:27" s="25" customFormat="1" ht="15.75" customHeight="1" x14ac:dyDescent="0.2">
      <c r="B793" s="89"/>
      <c r="C793"/>
      <c r="D793"/>
      <c r="E793" s="69"/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  <c r="V793"/>
      <c r="W793"/>
      <c r="X793"/>
      <c r="Y793"/>
      <c r="Z793"/>
      <c r="AA793"/>
    </row>
    <row r="794" spans="2:27" s="25" customFormat="1" ht="15.75" customHeight="1" x14ac:dyDescent="0.2">
      <c r="B794" s="89"/>
      <c r="C794"/>
      <c r="D794"/>
      <c r="E794" s="69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  <c r="V794"/>
      <c r="W794"/>
      <c r="X794"/>
      <c r="Y794"/>
      <c r="Z794"/>
      <c r="AA794"/>
    </row>
    <row r="795" spans="2:27" s="25" customFormat="1" ht="15.75" customHeight="1" x14ac:dyDescent="0.2">
      <c r="B795" s="89"/>
      <c r="C795"/>
      <c r="D795"/>
      <c r="E795" s="69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  <c r="V795"/>
      <c r="W795"/>
      <c r="X795"/>
      <c r="Y795"/>
      <c r="Z795"/>
      <c r="AA795"/>
    </row>
    <row r="796" spans="2:27" s="25" customFormat="1" ht="15.75" customHeight="1" x14ac:dyDescent="0.2">
      <c r="B796" s="89"/>
      <c r="C796"/>
      <c r="D796"/>
      <c r="E796" s="69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  <c r="V796"/>
      <c r="W796"/>
      <c r="X796"/>
      <c r="Y796"/>
      <c r="Z796"/>
      <c r="AA796"/>
    </row>
    <row r="797" spans="2:27" s="25" customFormat="1" ht="15.75" customHeight="1" x14ac:dyDescent="0.2">
      <c r="B797" s="89"/>
      <c r="C797"/>
      <c r="D797"/>
      <c r="E797" s="69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  <c r="V797"/>
      <c r="W797"/>
      <c r="X797"/>
      <c r="Y797"/>
      <c r="Z797"/>
      <c r="AA797"/>
    </row>
    <row r="798" spans="2:27" s="25" customFormat="1" ht="15.75" customHeight="1" x14ac:dyDescent="0.2">
      <c r="B798" s="89"/>
      <c r="C798"/>
      <c r="D798"/>
      <c r="E798" s="69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  <c r="V798"/>
      <c r="W798"/>
      <c r="X798"/>
      <c r="Y798"/>
      <c r="Z798"/>
      <c r="AA798"/>
    </row>
    <row r="799" spans="2:27" s="25" customFormat="1" ht="15.75" customHeight="1" x14ac:dyDescent="0.2">
      <c r="B799" s="89"/>
      <c r="C799"/>
      <c r="D799"/>
      <c r="E799" s="6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  <c r="V799"/>
      <c r="W799"/>
      <c r="X799"/>
      <c r="Y799"/>
      <c r="Z799"/>
      <c r="AA799"/>
    </row>
    <row r="800" spans="2:27" s="25" customFormat="1" ht="15.75" customHeight="1" x14ac:dyDescent="0.2">
      <c r="B800" s="89"/>
      <c r="C800"/>
      <c r="D800"/>
      <c r="E800" s="69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  <c r="V800"/>
      <c r="W800"/>
      <c r="X800"/>
      <c r="Y800"/>
      <c r="Z800"/>
      <c r="AA800"/>
    </row>
    <row r="801" spans="2:27" s="25" customFormat="1" ht="15.75" customHeight="1" x14ac:dyDescent="0.2">
      <c r="B801" s="89"/>
      <c r="C801"/>
      <c r="D801"/>
      <c r="E801" s="69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  <c r="V801"/>
      <c r="W801"/>
      <c r="X801"/>
      <c r="Y801"/>
      <c r="Z801"/>
      <c r="AA801"/>
    </row>
    <row r="802" spans="2:27" s="25" customFormat="1" ht="15.75" customHeight="1" x14ac:dyDescent="0.2">
      <c r="B802" s="89"/>
      <c r="C802"/>
      <c r="D802"/>
      <c r="E802" s="69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  <c r="V802"/>
      <c r="W802"/>
      <c r="X802"/>
      <c r="Y802"/>
      <c r="Z802"/>
      <c r="AA802"/>
    </row>
    <row r="803" spans="2:27" s="25" customFormat="1" ht="15.75" customHeight="1" x14ac:dyDescent="0.2">
      <c r="B803" s="89"/>
      <c r="C803"/>
      <c r="D803"/>
      <c r="E803" s="69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  <c r="V803"/>
      <c r="W803"/>
      <c r="X803"/>
      <c r="Y803"/>
      <c r="Z803"/>
      <c r="AA803"/>
    </row>
    <row r="804" spans="2:27" s="25" customFormat="1" ht="15.75" customHeight="1" x14ac:dyDescent="0.2">
      <c r="B804" s="89"/>
      <c r="C804"/>
      <c r="D804"/>
      <c r="E804" s="69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  <c r="V804"/>
      <c r="W804"/>
      <c r="X804"/>
      <c r="Y804"/>
      <c r="Z804"/>
      <c r="AA804"/>
    </row>
    <row r="805" spans="2:27" s="25" customFormat="1" ht="15.75" customHeight="1" x14ac:dyDescent="0.2">
      <c r="B805" s="89"/>
      <c r="C805"/>
      <c r="D805"/>
      <c r="E805" s="69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  <c r="V805"/>
      <c r="W805"/>
      <c r="X805"/>
      <c r="Y805"/>
      <c r="Z805"/>
      <c r="AA805"/>
    </row>
    <row r="806" spans="2:27" s="25" customFormat="1" ht="15.75" customHeight="1" x14ac:dyDescent="0.2">
      <c r="B806" s="89"/>
      <c r="C806"/>
      <c r="D806"/>
      <c r="E806" s="69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  <c r="V806"/>
      <c r="W806"/>
      <c r="X806"/>
      <c r="Y806"/>
      <c r="Z806"/>
      <c r="AA806"/>
    </row>
    <row r="807" spans="2:27" s="25" customFormat="1" ht="15.75" customHeight="1" x14ac:dyDescent="0.2">
      <c r="B807" s="89"/>
      <c r="C807"/>
      <c r="D807"/>
      <c r="E807" s="69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  <c r="V807"/>
      <c r="W807"/>
      <c r="X807"/>
      <c r="Y807"/>
      <c r="Z807"/>
      <c r="AA807"/>
    </row>
    <row r="808" spans="2:27" s="25" customFormat="1" ht="15.75" customHeight="1" x14ac:dyDescent="0.2">
      <c r="B808" s="89"/>
      <c r="C808"/>
      <c r="D808"/>
      <c r="E808" s="69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  <c r="V808"/>
      <c r="W808"/>
      <c r="X808"/>
      <c r="Y808"/>
      <c r="Z808"/>
      <c r="AA808"/>
    </row>
    <row r="809" spans="2:27" s="25" customFormat="1" ht="15.75" customHeight="1" x14ac:dyDescent="0.2">
      <c r="B809" s="89"/>
      <c r="C809"/>
      <c r="D809"/>
      <c r="E809" s="6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  <c r="V809"/>
      <c r="W809"/>
      <c r="X809"/>
      <c r="Y809"/>
      <c r="Z809"/>
      <c r="AA809"/>
    </row>
    <row r="810" spans="2:27" s="25" customFormat="1" ht="15.75" customHeight="1" x14ac:dyDescent="0.2">
      <c r="B810" s="89"/>
      <c r="C810"/>
      <c r="D810"/>
      <c r="E810" s="69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  <c r="V810"/>
      <c r="W810"/>
      <c r="X810"/>
      <c r="Y810"/>
      <c r="Z810"/>
      <c r="AA810"/>
    </row>
    <row r="811" spans="2:27" s="25" customFormat="1" ht="15.75" customHeight="1" x14ac:dyDescent="0.2">
      <c r="B811" s="89"/>
      <c r="C811"/>
      <c r="D811"/>
      <c r="E811" s="69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  <c r="V811"/>
      <c r="W811"/>
      <c r="X811"/>
      <c r="Y811"/>
      <c r="Z811"/>
      <c r="AA811"/>
    </row>
    <row r="812" spans="2:27" s="25" customFormat="1" ht="15.75" customHeight="1" x14ac:dyDescent="0.2">
      <c r="B812" s="89"/>
      <c r="C812"/>
      <c r="D812"/>
      <c r="E812" s="69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  <c r="V812"/>
      <c r="W812"/>
      <c r="X812"/>
      <c r="Y812"/>
      <c r="Z812"/>
      <c r="AA812"/>
    </row>
    <row r="813" spans="2:27" s="25" customFormat="1" ht="15.75" customHeight="1" x14ac:dyDescent="0.2">
      <c r="B813" s="89"/>
      <c r="C813"/>
      <c r="D813"/>
      <c r="E813" s="69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  <c r="V813"/>
      <c r="W813"/>
      <c r="X813"/>
      <c r="Y813"/>
      <c r="Z813"/>
      <c r="AA813"/>
    </row>
    <row r="814" spans="2:27" s="25" customFormat="1" ht="15.75" customHeight="1" x14ac:dyDescent="0.2">
      <c r="B814" s="89"/>
      <c r="C814"/>
      <c r="D814"/>
      <c r="E814" s="69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  <c r="V814"/>
      <c r="W814"/>
      <c r="X814"/>
      <c r="Y814"/>
      <c r="Z814"/>
      <c r="AA814"/>
    </row>
    <row r="815" spans="2:27" s="25" customFormat="1" ht="15.75" customHeight="1" x14ac:dyDescent="0.2">
      <c r="B815" s="89"/>
      <c r="C815"/>
      <c r="D815"/>
      <c r="E815" s="69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  <c r="V815"/>
      <c r="W815"/>
      <c r="X815"/>
      <c r="Y815"/>
      <c r="Z815"/>
      <c r="AA815"/>
    </row>
    <row r="816" spans="2:27" s="25" customFormat="1" ht="15.75" customHeight="1" x14ac:dyDescent="0.2">
      <c r="B816" s="89"/>
      <c r="C816"/>
      <c r="D816"/>
      <c r="E816" s="69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  <c r="V816"/>
      <c r="W816"/>
      <c r="X816"/>
      <c r="Y816"/>
      <c r="Z816"/>
      <c r="AA816"/>
    </row>
    <row r="817" spans="2:27" s="25" customFormat="1" ht="15.75" customHeight="1" x14ac:dyDescent="0.2">
      <c r="B817" s="89"/>
      <c r="C817"/>
      <c r="D817"/>
      <c r="E817" s="69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  <c r="V817"/>
      <c r="W817"/>
      <c r="X817"/>
      <c r="Y817"/>
      <c r="Z817"/>
      <c r="AA817"/>
    </row>
    <row r="818" spans="2:27" s="25" customFormat="1" ht="15.75" customHeight="1" x14ac:dyDescent="0.2">
      <c r="B818" s="89"/>
      <c r="C818"/>
      <c r="D818"/>
      <c r="E818" s="69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  <c r="U818"/>
      <c r="V818"/>
      <c r="W818"/>
      <c r="X818"/>
      <c r="Y818"/>
      <c r="Z818"/>
      <c r="AA818"/>
    </row>
    <row r="819" spans="2:27" s="25" customFormat="1" ht="15.75" customHeight="1" x14ac:dyDescent="0.2">
      <c r="B819" s="89"/>
      <c r="C819"/>
      <c r="D819"/>
      <c r="E819" s="6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/>
      <c r="U819"/>
      <c r="V819"/>
      <c r="W819"/>
      <c r="X819"/>
      <c r="Y819"/>
      <c r="Z819"/>
      <c r="AA819"/>
    </row>
    <row r="820" spans="2:27" s="25" customFormat="1" ht="15.75" customHeight="1" x14ac:dyDescent="0.2">
      <c r="B820" s="89"/>
      <c r="C820"/>
      <c r="D820"/>
      <c r="E820" s="69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  <c r="U820"/>
      <c r="V820"/>
      <c r="W820"/>
      <c r="X820"/>
      <c r="Y820"/>
      <c r="Z820"/>
      <c r="AA820"/>
    </row>
    <row r="821" spans="2:27" s="25" customFormat="1" ht="15.75" customHeight="1" x14ac:dyDescent="0.2">
      <c r="B821" s="89"/>
      <c r="C821"/>
      <c r="D821"/>
      <c r="E821" s="69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  <c r="V821"/>
      <c r="W821"/>
      <c r="X821"/>
      <c r="Y821"/>
      <c r="Z821"/>
      <c r="AA821"/>
    </row>
    <row r="822" spans="2:27" s="25" customFormat="1" ht="15.75" customHeight="1" x14ac:dyDescent="0.2">
      <c r="B822" s="89"/>
      <c r="C822"/>
      <c r="D822"/>
      <c r="E822" s="69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  <c r="V822"/>
      <c r="W822"/>
      <c r="X822"/>
      <c r="Y822"/>
      <c r="Z822"/>
      <c r="AA822"/>
    </row>
    <row r="823" spans="2:27" s="25" customFormat="1" ht="15.75" customHeight="1" x14ac:dyDescent="0.2">
      <c r="B823" s="89"/>
      <c r="C823"/>
      <c r="D823"/>
      <c r="E823" s="69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  <c r="V823"/>
      <c r="W823"/>
      <c r="X823"/>
      <c r="Y823"/>
      <c r="Z823"/>
      <c r="AA823"/>
    </row>
    <row r="824" spans="2:27" s="25" customFormat="1" ht="15.75" customHeight="1" x14ac:dyDescent="0.2">
      <c r="B824" s="89"/>
      <c r="C824"/>
      <c r="D824"/>
      <c r="E824" s="69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  <c r="U824"/>
      <c r="V824"/>
      <c r="W824"/>
      <c r="X824"/>
      <c r="Y824"/>
      <c r="Z824"/>
      <c r="AA824"/>
    </row>
    <row r="825" spans="2:27" s="25" customFormat="1" ht="15.75" customHeight="1" x14ac:dyDescent="0.2">
      <c r="B825" s="89"/>
      <c r="C825"/>
      <c r="D825"/>
      <c r="E825" s="69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  <c r="V825"/>
      <c r="W825"/>
      <c r="X825"/>
      <c r="Y825"/>
      <c r="Z825"/>
      <c r="AA825"/>
    </row>
    <row r="826" spans="2:27" s="25" customFormat="1" ht="15.75" customHeight="1" x14ac:dyDescent="0.2">
      <c r="B826" s="89"/>
      <c r="C826"/>
      <c r="D826"/>
      <c r="E826" s="69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  <c r="U826"/>
      <c r="V826"/>
      <c r="W826"/>
      <c r="X826"/>
      <c r="Y826"/>
      <c r="Z826"/>
      <c r="AA826"/>
    </row>
    <row r="827" spans="2:27" s="25" customFormat="1" ht="15.75" customHeight="1" x14ac:dyDescent="0.2">
      <c r="B827" s="89"/>
      <c r="C827"/>
      <c r="D827"/>
      <c r="E827" s="69"/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  <c r="U827"/>
      <c r="V827"/>
      <c r="W827"/>
      <c r="X827"/>
      <c r="Y827"/>
      <c r="Z827"/>
      <c r="AA827"/>
    </row>
    <row r="828" spans="2:27" s="25" customFormat="1" ht="15.75" customHeight="1" x14ac:dyDescent="0.2">
      <c r="B828" s="89"/>
      <c r="C828"/>
      <c r="D828"/>
      <c r="E828" s="69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  <c r="V828"/>
      <c r="W828"/>
      <c r="X828"/>
      <c r="Y828"/>
      <c r="Z828"/>
      <c r="AA828"/>
    </row>
    <row r="829" spans="2:27" s="25" customFormat="1" ht="15.75" customHeight="1" x14ac:dyDescent="0.2">
      <c r="B829" s="89"/>
      <c r="C829"/>
      <c r="D829"/>
      <c r="E829" s="6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  <c r="V829"/>
      <c r="W829"/>
      <c r="X829"/>
      <c r="Y829"/>
      <c r="Z829"/>
      <c r="AA829"/>
    </row>
    <row r="830" spans="2:27" s="25" customFormat="1" ht="15.75" customHeight="1" x14ac:dyDescent="0.2">
      <c r="B830" s="89"/>
      <c r="C830"/>
      <c r="D830"/>
      <c r="E830" s="69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  <c r="V830"/>
      <c r="W830"/>
      <c r="X830"/>
      <c r="Y830"/>
      <c r="Z830"/>
      <c r="AA830"/>
    </row>
    <row r="831" spans="2:27" s="25" customFormat="1" ht="15.75" customHeight="1" x14ac:dyDescent="0.2">
      <c r="B831" s="89"/>
      <c r="C831"/>
      <c r="D831"/>
      <c r="E831" s="69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  <c r="V831"/>
      <c r="W831"/>
      <c r="X831"/>
      <c r="Y831"/>
      <c r="Z831"/>
      <c r="AA831"/>
    </row>
    <row r="832" spans="2:27" s="25" customFormat="1" ht="15.75" customHeight="1" x14ac:dyDescent="0.2">
      <c r="B832" s="89"/>
      <c r="C832"/>
      <c r="D832"/>
      <c r="E832" s="69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  <c r="V832"/>
      <c r="W832"/>
      <c r="X832"/>
      <c r="Y832"/>
      <c r="Z832"/>
      <c r="AA832"/>
    </row>
    <row r="833" spans="2:27" s="25" customFormat="1" ht="15.75" customHeight="1" x14ac:dyDescent="0.2">
      <c r="B833" s="89"/>
      <c r="C833"/>
      <c r="D833"/>
      <c r="E833" s="69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  <c r="V833"/>
      <c r="W833"/>
      <c r="X833"/>
      <c r="Y833"/>
      <c r="Z833"/>
      <c r="AA833"/>
    </row>
    <row r="834" spans="2:27" s="25" customFormat="1" ht="15.75" customHeight="1" x14ac:dyDescent="0.2">
      <c r="B834" s="89"/>
      <c r="C834"/>
      <c r="D834"/>
      <c r="E834" s="69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  <c r="V834"/>
      <c r="W834"/>
      <c r="X834"/>
      <c r="Y834"/>
      <c r="Z834"/>
      <c r="AA834"/>
    </row>
    <row r="835" spans="2:27" s="25" customFormat="1" ht="15.75" customHeight="1" x14ac:dyDescent="0.2">
      <c r="B835" s="89"/>
      <c r="C835"/>
      <c r="D835"/>
      <c r="E835" s="69"/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  <c r="U835"/>
      <c r="V835"/>
      <c r="W835"/>
      <c r="X835"/>
      <c r="Y835"/>
      <c r="Z835"/>
      <c r="AA835"/>
    </row>
    <row r="836" spans="2:27" s="25" customFormat="1" ht="15.75" customHeight="1" x14ac:dyDescent="0.2">
      <c r="B836" s="89"/>
      <c r="C836"/>
      <c r="D836"/>
      <c r="E836" s="69"/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  <c r="U836"/>
      <c r="V836"/>
      <c r="W836"/>
      <c r="X836"/>
      <c r="Y836"/>
      <c r="Z836"/>
      <c r="AA836"/>
    </row>
    <row r="837" spans="2:27" s="25" customFormat="1" ht="15.75" customHeight="1" x14ac:dyDescent="0.2">
      <c r="B837" s="89"/>
      <c r="C837"/>
      <c r="D837"/>
      <c r="E837" s="69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  <c r="U837"/>
      <c r="V837"/>
      <c r="W837"/>
      <c r="X837"/>
      <c r="Y837"/>
      <c r="Z837"/>
      <c r="AA837"/>
    </row>
    <row r="838" spans="2:27" s="25" customFormat="1" ht="15.75" customHeight="1" x14ac:dyDescent="0.2">
      <c r="B838" s="89"/>
      <c r="C838"/>
      <c r="D838"/>
      <c r="E838" s="69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  <c r="V838"/>
      <c r="W838"/>
      <c r="X838"/>
      <c r="Y838"/>
      <c r="Z838"/>
      <c r="AA838"/>
    </row>
    <row r="839" spans="2:27" s="25" customFormat="1" ht="15.75" customHeight="1" x14ac:dyDescent="0.2">
      <c r="B839" s="89"/>
      <c r="C839"/>
      <c r="D839"/>
      <c r="E839" s="6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  <c r="V839"/>
      <c r="W839"/>
      <c r="X839"/>
      <c r="Y839"/>
      <c r="Z839"/>
      <c r="AA839"/>
    </row>
    <row r="840" spans="2:27" s="25" customFormat="1" ht="15.75" customHeight="1" x14ac:dyDescent="0.2">
      <c r="B840" s="89"/>
      <c r="C840"/>
      <c r="D840"/>
      <c r="E840" s="69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  <c r="V840"/>
      <c r="W840"/>
      <c r="X840"/>
      <c r="Y840"/>
      <c r="Z840"/>
      <c r="AA840"/>
    </row>
    <row r="841" spans="2:27" s="25" customFormat="1" ht="15.75" customHeight="1" x14ac:dyDescent="0.2">
      <c r="B841" s="89"/>
      <c r="C841"/>
      <c r="D841"/>
      <c r="E841" s="69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  <c r="V841"/>
      <c r="W841"/>
      <c r="X841"/>
      <c r="Y841"/>
      <c r="Z841"/>
      <c r="AA841"/>
    </row>
    <row r="842" spans="2:27" s="25" customFormat="1" ht="15.75" customHeight="1" x14ac:dyDescent="0.2">
      <c r="B842" s="89"/>
      <c r="C842"/>
      <c r="D842"/>
      <c r="E842" s="69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  <c r="U842"/>
      <c r="V842"/>
      <c r="W842"/>
      <c r="X842"/>
      <c r="Y842"/>
      <c r="Z842"/>
      <c r="AA842"/>
    </row>
    <row r="843" spans="2:27" s="25" customFormat="1" ht="15.75" customHeight="1" x14ac:dyDescent="0.2">
      <c r="B843" s="89"/>
      <c r="C843"/>
      <c r="D843"/>
      <c r="E843" s="69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  <c r="V843"/>
      <c r="W843"/>
      <c r="X843"/>
      <c r="Y843"/>
      <c r="Z843"/>
      <c r="AA843"/>
    </row>
    <row r="844" spans="2:27" s="25" customFormat="1" ht="15.75" customHeight="1" x14ac:dyDescent="0.2">
      <c r="B844" s="89"/>
      <c r="C844"/>
      <c r="D844"/>
      <c r="E844" s="69"/>
      <c r="F844"/>
      <c r="G844"/>
      <c r="H844"/>
      <c r="I844"/>
      <c r="J844"/>
      <c r="K844"/>
      <c r="L844"/>
      <c r="M844"/>
      <c r="N844"/>
      <c r="O844"/>
      <c r="P844"/>
      <c r="Q844"/>
      <c r="R844"/>
      <c r="S844"/>
      <c r="T844"/>
      <c r="U844"/>
      <c r="V844"/>
      <c r="W844"/>
      <c r="X844"/>
      <c r="Y844"/>
      <c r="Z844"/>
      <c r="AA844"/>
    </row>
    <row r="845" spans="2:27" s="25" customFormat="1" ht="15.75" customHeight="1" x14ac:dyDescent="0.2">
      <c r="B845" s="89"/>
      <c r="C845"/>
      <c r="D845"/>
      <c r="E845" s="69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  <c r="U845"/>
      <c r="V845"/>
      <c r="W845"/>
      <c r="X845"/>
      <c r="Y845"/>
      <c r="Z845"/>
      <c r="AA845"/>
    </row>
    <row r="846" spans="2:27" s="25" customFormat="1" ht="15.75" customHeight="1" x14ac:dyDescent="0.2">
      <c r="B846" s="89"/>
      <c r="C846"/>
      <c r="D846"/>
      <c r="E846" s="69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  <c r="V846"/>
      <c r="W846"/>
      <c r="X846"/>
      <c r="Y846"/>
      <c r="Z846"/>
      <c r="AA846"/>
    </row>
    <row r="847" spans="2:27" s="25" customFormat="1" ht="15.75" customHeight="1" x14ac:dyDescent="0.2">
      <c r="B847" s="89"/>
      <c r="C847"/>
      <c r="D847"/>
      <c r="E847" s="69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  <c r="U847"/>
      <c r="V847"/>
      <c r="W847"/>
      <c r="X847"/>
      <c r="Y847"/>
      <c r="Z847"/>
      <c r="AA847"/>
    </row>
    <row r="848" spans="2:27" s="25" customFormat="1" ht="15.75" customHeight="1" x14ac:dyDescent="0.2">
      <c r="B848" s="89"/>
      <c r="C848"/>
      <c r="D848"/>
      <c r="E848" s="69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/>
      <c r="U848"/>
      <c r="V848"/>
      <c r="W848"/>
      <c r="X848"/>
      <c r="Y848"/>
      <c r="Z848"/>
      <c r="AA848"/>
    </row>
    <row r="849" spans="2:27" s="25" customFormat="1" ht="15.75" customHeight="1" x14ac:dyDescent="0.2">
      <c r="B849" s="89"/>
      <c r="C849"/>
      <c r="D849"/>
      <c r="E849" s="6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  <c r="V849"/>
      <c r="W849"/>
      <c r="X849"/>
      <c r="Y849"/>
      <c r="Z849"/>
      <c r="AA849"/>
    </row>
    <row r="850" spans="2:27" s="25" customFormat="1" ht="15.75" customHeight="1" x14ac:dyDescent="0.2">
      <c r="B850" s="89"/>
      <c r="C850"/>
      <c r="D850"/>
      <c r="E850" s="69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  <c r="V850"/>
      <c r="W850"/>
      <c r="X850"/>
      <c r="Y850"/>
      <c r="Z850"/>
      <c r="AA850"/>
    </row>
    <row r="851" spans="2:27" s="25" customFormat="1" ht="15.75" customHeight="1" x14ac:dyDescent="0.2">
      <c r="B851" s="89"/>
      <c r="C851"/>
      <c r="D851"/>
      <c r="E851" s="69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  <c r="U851"/>
      <c r="V851"/>
      <c r="W851"/>
      <c r="X851"/>
      <c r="Y851"/>
      <c r="Z851"/>
      <c r="AA851"/>
    </row>
    <row r="852" spans="2:27" s="25" customFormat="1" ht="15.75" customHeight="1" x14ac:dyDescent="0.2">
      <c r="B852" s="89"/>
      <c r="C852"/>
      <c r="D852"/>
      <c r="E852" s="69"/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  <c r="U852"/>
      <c r="V852"/>
      <c r="W852"/>
      <c r="X852"/>
      <c r="Y852"/>
      <c r="Z852"/>
      <c r="AA852"/>
    </row>
    <row r="853" spans="2:27" s="25" customFormat="1" ht="15.75" customHeight="1" x14ac:dyDescent="0.2">
      <c r="B853" s="89"/>
      <c r="C853"/>
      <c r="D853"/>
      <c r="E853" s="69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  <c r="V853"/>
      <c r="W853"/>
      <c r="X853"/>
      <c r="Y853"/>
      <c r="Z853"/>
      <c r="AA853"/>
    </row>
    <row r="854" spans="2:27" s="25" customFormat="1" ht="15.75" customHeight="1" x14ac:dyDescent="0.2">
      <c r="B854" s="89"/>
      <c r="C854"/>
      <c r="D854"/>
      <c r="E854" s="69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  <c r="V854"/>
      <c r="W854"/>
      <c r="X854"/>
      <c r="Y854"/>
      <c r="Z854"/>
      <c r="AA854"/>
    </row>
    <row r="855" spans="2:27" s="25" customFormat="1" ht="15.75" customHeight="1" x14ac:dyDescent="0.2">
      <c r="B855" s="89"/>
      <c r="C855"/>
      <c r="D855"/>
      <c r="E855" s="69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  <c r="U855"/>
      <c r="V855"/>
      <c r="W855"/>
      <c r="X855"/>
      <c r="Y855"/>
      <c r="Z855"/>
      <c r="AA855"/>
    </row>
    <row r="856" spans="2:27" s="25" customFormat="1" ht="15.75" customHeight="1" x14ac:dyDescent="0.2">
      <c r="B856" s="89"/>
      <c r="C856"/>
      <c r="D856"/>
      <c r="E856" s="69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  <c r="U856"/>
      <c r="V856"/>
      <c r="W856"/>
      <c r="X856"/>
      <c r="Y856"/>
      <c r="Z856"/>
      <c r="AA856"/>
    </row>
    <row r="857" spans="2:27" s="25" customFormat="1" ht="15.75" customHeight="1" x14ac:dyDescent="0.2">
      <c r="B857" s="89"/>
      <c r="C857"/>
      <c r="D857"/>
      <c r="E857" s="69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  <c r="U857"/>
      <c r="V857"/>
      <c r="W857"/>
      <c r="X857"/>
      <c r="Y857"/>
      <c r="Z857"/>
      <c r="AA857"/>
    </row>
    <row r="858" spans="2:27" s="25" customFormat="1" ht="15.75" customHeight="1" x14ac:dyDescent="0.2">
      <c r="B858" s="89"/>
      <c r="C858"/>
      <c r="D858"/>
      <c r="E858" s="69"/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  <c r="U858"/>
      <c r="V858"/>
      <c r="W858"/>
      <c r="X858"/>
      <c r="Y858"/>
      <c r="Z858"/>
      <c r="AA858"/>
    </row>
    <row r="859" spans="2:27" s="25" customFormat="1" ht="15.75" customHeight="1" x14ac:dyDescent="0.2">
      <c r="B859" s="89"/>
      <c r="C859"/>
      <c r="D859"/>
      <c r="E859" s="69"/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  <c r="U859"/>
      <c r="V859"/>
      <c r="W859"/>
      <c r="X859"/>
      <c r="Y859"/>
      <c r="Z859"/>
      <c r="AA859"/>
    </row>
    <row r="860" spans="2:27" s="25" customFormat="1" ht="15.75" customHeight="1" x14ac:dyDescent="0.2">
      <c r="B860" s="89"/>
      <c r="C860"/>
      <c r="D860"/>
      <c r="E860" s="69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  <c r="U860"/>
      <c r="V860"/>
      <c r="W860"/>
      <c r="X860"/>
      <c r="Y860"/>
      <c r="Z860"/>
      <c r="AA860"/>
    </row>
    <row r="861" spans="2:27" s="25" customFormat="1" ht="15.75" customHeight="1" x14ac:dyDescent="0.2">
      <c r="B861" s="89"/>
      <c r="C861"/>
      <c r="D861"/>
      <c r="E861" s="69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  <c r="V861"/>
      <c r="W861"/>
      <c r="X861"/>
      <c r="Y861"/>
      <c r="Z861"/>
      <c r="AA861"/>
    </row>
    <row r="862" spans="2:27" s="25" customFormat="1" ht="15.75" customHeight="1" x14ac:dyDescent="0.2">
      <c r="B862" s="89"/>
      <c r="C862"/>
      <c r="D862"/>
      <c r="E862" s="69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  <c r="V862"/>
      <c r="W862"/>
      <c r="X862"/>
      <c r="Y862"/>
      <c r="Z862"/>
      <c r="AA862"/>
    </row>
    <row r="863" spans="2:27" s="25" customFormat="1" ht="15.75" customHeight="1" x14ac:dyDescent="0.2">
      <c r="B863" s="89"/>
      <c r="C863"/>
      <c r="D863"/>
      <c r="E863" s="69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  <c r="V863"/>
      <c r="W863"/>
      <c r="X863"/>
      <c r="Y863"/>
      <c r="Z863"/>
      <c r="AA863"/>
    </row>
    <row r="864" spans="2:27" s="25" customFormat="1" ht="15.75" customHeight="1" x14ac:dyDescent="0.2">
      <c r="B864" s="89"/>
      <c r="C864"/>
      <c r="D864"/>
      <c r="E864" s="69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/>
      <c r="U864"/>
      <c r="V864"/>
      <c r="W864"/>
      <c r="X864"/>
      <c r="Y864"/>
      <c r="Z864"/>
      <c r="AA864"/>
    </row>
    <row r="865" spans="2:27" s="25" customFormat="1" ht="15.75" customHeight="1" x14ac:dyDescent="0.2">
      <c r="B865" s="89"/>
      <c r="C865"/>
      <c r="D865"/>
      <c r="E865" s="69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  <c r="V865"/>
      <c r="W865"/>
      <c r="X865"/>
      <c r="Y865"/>
      <c r="Z865"/>
      <c r="AA865"/>
    </row>
    <row r="866" spans="2:27" s="25" customFormat="1" ht="15.75" customHeight="1" x14ac:dyDescent="0.2">
      <c r="B866" s="89"/>
      <c r="C866"/>
      <c r="D866"/>
      <c r="E866" s="69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  <c r="U866"/>
      <c r="V866"/>
      <c r="W866"/>
      <c r="X866"/>
      <c r="Y866"/>
      <c r="Z866"/>
      <c r="AA866"/>
    </row>
    <row r="867" spans="2:27" s="25" customFormat="1" ht="15.75" customHeight="1" x14ac:dyDescent="0.2">
      <c r="B867" s="89"/>
      <c r="C867"/>
      <c r="D867"/>
      <c r="E867" s="69"/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  <c r="T867"/>
      <c r="U867"/>
      <c r="V867"/>
      <c r="W867"/>
      <c r="X867"/>
      <c r="Y867"/>
      <c r="Z867"/>
      <c r="AA867"/>
    </row>
    <row r="868" spans="2:27" s="25" customFormat="1" ht="15.75" customHeight="1" x14ac:dyDescent="0.2">
      <c r="B868" s="89"/>
      <c r="C868"/>
      <c r="D868"/>
      <c r="E868" s="69"/>
      <c r="F868"/>
      <c r="G868"/>
      <c r="H868"/>
      <c r="I868"/>
      <c r="J868"/>
      <c r="K868"/>
      <c r="L868"/>
      <c r="M868"/>
      <c r="N868"/>
      <c r="O868"/>
      <c r="P868"/>
      <c r="Q868"/>
      <c r="R868"/>
      <c r="S868"/>
      <c r="T868"/>
      <c r="U868"/>
      <c r="V868"/>
      <c r="W868"/>
      <c r="X868"/>
      <c r="Y868"/>
      <c r="Z868"/>
      <c r="AA868"/>
    </row>
    <row r="869" spans="2:27" s="25" customFormat="1" ht="15.75" customHeight="1" x14ac:dyDescent="0.2">
      <c r="B869" s="89"/>
      <c r="C869"/>
      <c r="D869"/>
      <c r="E869" s="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  <c r="V869"/>
      <c r="W869"/>
      <c r="X869"/>
      <c r="Y869"/>
      <c r="Z869"/>
      <c r="AA869"/>
    </row>
    <row r="870" spans="2:27" s="25" customFormat="1" ht="15.75" customHeight="1" x14ac:dyDescent="0.2">
      <c r="B870" s="89"/>
      <c r="C870"/>
      <c r="D870"/>
      <c r="E870" s="69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  <c r="V870"/>
      <c r="W870"/>
      <c r="X870"/>
      <c r="Y870"/>
      <c r="Z870"/>
      <c r="AA870"/>
    </row>
    <row r="871" spans="2:27" s="25" customFormat="1" ht="15.75" customHeight="1" x14ac:dyDescent="0.2">
      <c r="B871" s="89"/>
      <c r="C871"/>
      <c r="D871"/>
      <c r="E871" s="69"/>
      <c r="F871"/>
      <c r="G871"/>
      <c r="H871"/>
      <c r="I871"/>
      <c r="J871"/>
      <c r="K871"/>
      <c r="L871"/>
      <c r="M871"/>
      <c r="N871"/>
      <c r="O871"/>
      <c r="P871"/>
      <c r="Q871"/>
      <c r="R871"/>
      <c r="S871"/>
      <c r="T871"/>
      <c r="U871"/>
      <c r="V871"/>
      <c r="W871"/>
      <c r="X871"/>
      <c r="Y871"/>
      <c r="Z871"/>
      <c r="AA871"/>
    </row>
    <row r="872" spans="2:27" s="25" customFormat="1" ht="15.75" customHeight="1" x14ac:dyDescent="0.2">
      <c r="B872" s="89"/>
      <c r="C872"/>
      <c r="D872"/>
      <c r="E872" s="69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  <c r="U872"/>
      <c r="V872"/>
      <c r="W872"/>
      <c r="X872"/>
      <c r="Y872"/>
      <c r="Z872"/>
      <c r="AA872"/>
    </row>
    <row r="873" spans="2:27" s="25" customFormat="1" ht="15.75" customHeight="1" x14ac:dyDescent="0.2">
      <c r="B873" s="89"/>
      <c r="C873"/>
      <c r="D873"/>
      <c r="E873" s="69"/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  <c r="T873"/>
      <c r="U873"/>
      <c r="V873"/>
      <c r="W873"/>
      <c r="X873"/>
      <c r="Y873"/>
      <c r="Z873"/>
      <c r="AA873"/>
    </row>
    <row r="874" spans="2:27" s="25" customFormat="1" ht="15.75" customHeight="1" x14ac:dyDescent="0.2">
      <c r="B874" s="89"/>
      <c r="C874"/>
      <c r="D874"/>
      <c r="E874" s="69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  <c r="V874"/>
      <c r="W874"/>
      <c r="X874"/>
      <c r="Y874"/>
      <c r="Z874"/>
      <c r="AA874"/>
    </row>
    <row r="875" spans="2:27" s="25" customFormat="1" ht="15.75" customHeight="1" x14ac:dyDescent="0.2">
      <c r="B875" s="89"/>
      <c r="C875"/>
      <c r="D875"/>
      <c r="E875" s="69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  <c r="V875"/>
      <c r="W875"/>
      <c r="X875"/>
      <c r="Y875"/>
      <c r="Z875"/>
      <c r="AA875"/>
    </row>
    <row r="876" spans="2:27" s="25" customFormat="1" ht="15.75" customHeight="1" x14ac:dyDescent="0.2">
      <c r="B876" s="89"/>
      <c r="C876"/>
      <c r="D876"/>
      <c r="E876" s="69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  <c r="V876"/>
      <c r="W876"/>
      <c r="X876"/>
      <c r="Y876"/>
      <c r="Z876"/>
      <c r="AA876"/>
    </row>
    <row r="877" spans="2:27" s="25" customFormat="1" ht="15.75" customHeight="1" x14ac:dyDescent="0.2">
      <c r="B877" s="89"/>
      <c r="C877"/>
      <c r="D877"/>
      <c r="E877" s="69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  <c r="U877"/>
      <c r="V877"/>
      <c r="W877"/>
      <c r="X877"/>
      <c r="Y877"/>
      <c r="Z877"/>
      <c r="AA877"/>
    </row>
    <row r="878" spans="2:27" s="25" customFormat="1" ht="15.75" customHeight="1" x14ac:dyDescent="0.2">
      <c r="B878" s="89"/>
      <c r="C878"/>
      <c r="D878"/>
      <c r="E878" s="69"/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  <c r="T878"/>
      <c r="U878"/>
      <c r="V878"/>
      <c r="W878"/>
      <c r="X878"/>
      <c r="Y878"/>
      <c r="Z878"/>
      <c r="AA878"/>
    </row>
    <row r="879" spans="2:27" s="25" customFormat="1" ht="15.75" customHeight="1" x14ac:dyDescent="0.2">
      <c r="B879" s="89"/>
      <c r="C879"/>
      <c r="D879"/>
      <c r="E879" s="6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  <c r="U879"/>
      <c r="V879"/>
      <c r="W879"/>
      <c r="X879"/>
      <c r="Y879"/>
      <c r="Z879"/>
      <c r="AA879"/>
    </row>
    <row r="880" spans="2:27" s="25" customFormat="1" ht="15.75" customHeight="1" x14ac:dyDescent="0.2">
      <c r="B880" s="89"/>
      <c r="C880"/>
      <c r="D880"/>
      <c r="E880" s="69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  <c r="U880"/>
      <c r="V880"/>
      <c r="W880"/>
      <c r="X880"/>
      <c r="Y880"/>
      <c r="Z880"/>
      <c r="AA880"/>
    </row>
    <row r="881" spans="2:27" s="25" customFormat="1" ht="15.75" customHeight="1" x14ac:dyDescent="0.2">
      <c r="B881" s="89"/>
      <c r="C881"/>
      <c r="D881"/>
      <c r="E881" s="69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  <c r="U881"/>
      <c r="V881"/>
      <c r="W881"/>
      <c r="X881"/>
      <c r="Y881"/>
      <c r="Z881"/>
      <c r="AA881"/>
    </row>
    <row r="882" spans="2:27" s="25" customFormat="1" ht="15.75" customHeight="1" x14ac:dyDescent="0.2">
      <c r="B882" s="89"/>
      <c r="C882"/>
      <c r="D882"/>
      <c r="E882" s="69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  <c r="U882"/>
      <c r="V882"/>
      <c r="W882"/>
      <c r="X882"/>
      <c r="Y882"/>
      <c r="Z882"/>
      <c r="AA882"/>
    </row>
    <row r="883" spans="2:27" s="25" customFormat="1" ht="15.75" customHeight="1" x14ac:dyDescent="0.2">
      <c r="B883" s="89"/>
      <c r="C883"/>
      <c r="D883"/>
      <c r="E883" s="69"/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  <c r="T883"/>
      <c r="U883"/>
      <c r="V883"/>
      <c r="W883"/>
      <c r="X883"/>
      <c r="Y883"/>
      <c r="Z883"/>
      <c r="AA883"/>
    </row>
    <row r="884" spans="2:27" s="25" customFormat="1" ht="15.75" customHeight="1" x14ac:dyDescent="0.2">
      <c r="B884" s="89"/>
      <c r="C884"/>
      <c r="D884"/>
      <c r="E884" s="69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  <c r="V884"/>
      <c r="W884"/>
      <c r="X884"/>
      <c r="Y884"/>
      <c r="Z884"/>
      <c r="AA884"/>
    </row>
    <row r="885" spans="2:27" s="25" customFormat="1" ht="15.75" customHeight="1" x14ac:dyDescent="0.2">
      <c r="B885" s="89"/>
      <c r="C885"/>
      <c r="D885"/>
      <c r="E885" s="69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  <c r="V885"/>
      <c r="W885"/>
      <c r="X885"/>
      <c r="Y885"/>
      <c r="Z885"/>
      <c r="AA885"/>
    </row>
    <row r="886" spans="2:27" s="25" customFormat="1" ht="15.75" customHeight="1" x14ac:dyDescent="0.2">
      <c r="B886" s="89"/>
      <c r="C886"/>
      <c r="D886"/>
      <c r="E886" s="69"/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  <c r="T886"/>
      <c r="U886"/>
      <c r="V886"/>
      <c r="W886"/>
      <c r="X886"/>
      <c r="Y886"/>
      <c r="Z886"/>
      <c r="AA886"/>
    </row>
    <row r="887" spans="2:27" s="25" customFormat="1" ht="15.75" customHeight="1" x14ac:dyDescent="0.2">
      <c r="B887" s="89"/>
      <c r="C887"/>
      <c r="D887"/>
      <c r="E887" s="69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  <c r="V887"/>
      <c r="W887"/>
      <c r="X887"/>
      <c r="Y887"/>
      <c r="Z887"/>
      <c r="AA887"/>
    </row>
    <row r="888" spans="2:27" s="25" customFormat="1" ht="15.75" customHeight="1" x14ac:dyDescent="0.2">
      <c r="B888" s="89"/>
      <c r="C888"/>
      <c r="D888"/>
      <c r="E888" s="69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  <c r="U888"/>
      <c r="V888"/>
      <c r="W888"/>
      <c r="X888"/>
      <c r="Y888"/>
      <c r="Z888"/>
      <c r="AA888"/>
    </row>
    <row r="889" spans="2:27" s="25" customFormat="1" ht="15.75" customHeight="1" x14ac:dyDescent="0.2">
      <c r="B889" s="89"/>
      <c r="C889"/>
      <c r="D889"/>
      <c r="E889" s="6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  <c r="V889"/>
      <c r="W889"/>
      <c r="X889"/>
      <c r="Y889"/>
      <c r="Z889"/>
      <c r="AA889"/>
    </row>
    <row r="890" spans="2:27" s="25" customFormat="1" ht="15.75" customHeight="1" x14ac:dyDescent="0.2">
      <c r="B890" s="89"/>
      <c r="C890"/>
      <c r="D890"/>
      <c r="E890" s="69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  <c r="V890"/>
      <c r="W890"/>
      <c r="X890"/>
      <c r="Y890"/>
      <c r="Z890"/>
      <c r="AA890"/>
    </row>
    <row r="891" spans="2:27" s="25" customFormat="1" ht="15.75" customHeight="1" x14ac:dyDescent="0.2">
      <c r="B891" s="89"/>
      <c r="C891"/>
      <c r="D891"/>
      <c r="E891" s="69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  <c r="V891"/>
      <c r="W891"/>
      <c r="X891"/>
      <c r="Y891"/>
      <c r="Z891"/>
      <c r="AA891"/>
    </row>
    <row r="892" spans="2:27" s="25" customFormat="1" ht="15.75" customHeight="1" x14ac:dyDescent="0.2">
      <c r="B892" s="89"/>
      <c r="C892"/>
      <c r="D892"/>
      <c r="E892" s="69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  <c r="V892"/>
      <c r="W892"/>
      <c r="X892"/>
      <c r="Y892"/>
      <c r="Z892"/>
      <c r="AA892"/>
    </row>
    <row r="893" spans="2:27" s="25" customFormat="1" ht="15.75" customHeight="1" x14ac:dyDescent="0.2">
      <c r="B893" s="89"/>
      <c r="C893"/>
      <c r="D893"/>
      <c r="E893" s="69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  <c r="U893"/>
      <c r="V893"/>
      <c r="W893"/>
      <c r="X893"/>
      <c r="Y893"/>
      <c r="Z893"/>
      <c r="AA893"/>
    </row>
    <row r="894" spans="2:27" s="25" customFormat="1" ht="15.75" customHeight="1" x14ac:dyDescent="0.2">
      <c r="B894" s="89"/>
      <c r="C894"/>
      <c r="D894"/>
      <c r="E894" s="69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  <c r="V894"/>
      <c r="W894"/>
      <c r="X894"/>
      <c r="Y894"/>
      <c r="Z894"/>
      <c r="AA894"/>
    </row>
    <row r="895" spans="2:27" s="25" customFormat="1" ht="15.75" customHeight="1" x14ac:dyDescent="0.2">
      <c r="B895" s="89"/>
      <c r="C895"/>
      <c r="D895"/>
      <c r="E895" s="69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  <c r="V895"/>
      <c r="W895"/>
      <c r="X895"/>
      <c r="Y895"/>
      <c r="Z895"/>
      <c r="AA895"/>
    </row>
    <row r="896" spans="2:27" s="25" customFormat="1" ht="15.75" customHeight="1" x14ac:dyDescent="0.2">
      <c r="B896" s="89"/>
      <c r="C896"/>
      <c r="D896"/>
      <c r="E896" s="69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  <c r="V896"/>
      <c r="W896"/>
      <c r="X896"/>
      <c r="Y896"/>
      <c r="Z896"/>
      <c r="AA896"/>
    </row>
    <row r="897" spans="2:27" s="25" customFormat="1" ht="15.75" customHeight="1" x14ac:dyDescent="0.2">
      <c r="B897" s="89"/>
      <c r="C897"/>
      <c r="D897"/>
      <c r="E897" s="69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  <c r="V897"/>
      <c r="W897"/>
      <c r="X897"/>
      <c r="Y897"/>
      <c r="Z897"/>
      <c r="AA897"/>
    </row>
    <row r="898" spans="2:27" s="25" customFormat="1" ht="15.75" customHeight="1" x14ac:dyDescent="0.2">
      <c r="B898" s="89"/>
      <c r="C898"/>
      <c r="D898"/>
      <c r="E898" s="69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  <c r="V898"/>
      <c r="W898"/>
      <c r="X898"/>
      <c r="Y898"/>
      <c r="Z898"/>
      <c r="AA898"/>
    </row>
    <row r="899" spans="2:27" s="25" customFormat="1" ht="15.75" customHeight="1" x14ac:dyDescent="0.2">
      <c r="B899" s="89"/>
      <c r="C899"/>
      <c r="D899"/>
      <c r="E899" s="6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  <c r="V899"/>
      <c r="W899"/>
      <c r="X899"/>
      <c r="Y899"/>
      <c r="Z899"/>
      <c r="AA899"/>
    </row>
    <row r="900" spans="2:27" s="25" customFormat="1" ht="15.75" customHeight="1" x14ac:dyDescent="0.2">
      <c r="B900" s="89"/>
      <c r="C900"/>
      <c r="D900"/>
      <c r="E900" s="69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  <c r="V900"/>
      <c r="W900"/>
      <c r="X900"/>
      <c r="Y900"/>
      <c r="Z900"/>
      <c r="AA900"/>
    </row>
    <row r="901" spans="2:27" s="25" customFormat="1" ht="15.75" customHeight="1" x14ac:dyDescent="0.2">
      <c r="B901" s="89"/>
      <c r="C901"/>
      <c r="D901"/>
      <c r="E901" s="69"/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/>
      <c r="U901"/>
      <c r="V901"/>
      <c r="W901"/>
      <c r="X901"/>
      <c r="Y901"/>
      <c r="Z901"/>
      <c r="AA901"/>
    </row>
    <row r="902" spans="2:27" s="25" customFormat="1" ht="15.75" customHeight="1" x14ac:dyDescent="0.2">
      <c r="B902" s="89"/>
      <c r="C902"/>
      <c r="D902"/>
      <c r="E902" s="69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  <c r="V902"/>
      <c r="W902"/>
      <c r="X902"/>
      <c r="Y902"/>
      <c r="Z902"/>
      <c r="AA902"/>
    </row>
    <row r="903" spans="2:27" s="25" customFormat="1" ht="15.75" customHeight="1" x14ac:dyDescent="0.2">
      <c r="B903" s="89"/>
      <c r="C903"/>
      <c r="D903"/>
      <c r="E903" s="69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  <c r="V903"/>
      <c r="W903"/>
      <c r="X903"/>
      <c r="Y903"/>
      <c r="Z903"/>
      <c r="AA903"/>
    </row>
    <row r="904" spans="2:27" s="25" customFormat="1" ht="15.75" customHeight="1" x14ac:dyDescent="0.2">
      <c r="B904" s="89"/>
      <c r="C904"/>
      <c r="D904"/>
      <c r="E904" s="69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  <c r="V904"/>
      <c r="W904"/>
      <c r="X904"/>
      <c r="Y904"/>
      <c r="Z904"/>
      <c r="AA904"/>
    </row>
    <row r="905" spans="2:27" s="25" customFormat="1" ht="15.75" customHeight="1" x14ac:dyDescent="0.2">
      <c r="B905" s="89"/>
      <c r="C905"/>
      <c r="D905"/>
      <c r="E905" s="69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  <c r="V905"/>
      <c r="W905"/>
      <c r="X905"/>
      <c r="Y905"/>
      <c r="Z905"/>
      <c r="AA905"/>
    </row>
    <row r="906" spans="2:27" s="25" customFormat="1" ht="15.75" customHeight="1" x14ac:dyDescent="0.2">
      <c r="B906" s="89"/>
      <c r="C906"/>
      <c r="D906"/>
      <c r="E906" s="69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  <c r="V906"/>
      <c r="W906"/>
      <c r="X906"/>
      <c r="Y906"/>
      <c r="Z906"/>
      <c r="AA906"/>
    </row>
    <row r="907" spans="2:27" s="25" customFormat="1" ht="15.75" customHeight="1" x14ac:dyDescent="0.2">
      <c r="B907" s="89"/>
      <c r="C907"/>
      <c r="D907"/>
      <c r="E907" s="69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  <c r="V907"/>
      <c r="W907"/>
      <c r="X907"/>
      <c r="Y907"/>
      <c r="Z907"/>
      <c r="AA907"/>
    </row>
    <row r="908" spans="2:27" s="25" customFormat="1" ht="15.75" customHeight="1" x14ac:dyDescent="0.2">
      <c r="B908" s="89"/>
      <c r="C908"/>
      <c r="D908"/>
      <c r="E908" s="69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  <c r="V908"/>
      <c r="W908"/>
      <c r="X908"/>
      <c r="Y908"/>
      <c r="Z908"/>
      <c r="AA908"/>
    </row>
    <row r="909" spans="2:27" s="25" customFormat="1" ht="15.75" customHeight="1" x14ac:dyDescent="0.2">
      <c r="B909" s="89"/>
      <c r="C909"/>
      <c r="D909"/>
      <c r="E909" s="6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  <c r="V909"/>
      <c r="W909"/>
      <c r="X909"/>
      <c r="Y909"/>
      <c r="Z909"/>
      <c r="AA909"/>
    </row>
    <row r="910" spans="2:27" s="25" customFormat="1" ht="15.75" customHeight="1" x14ac:dyDescent="0.2">
      <c r="B910" s="89"/>
      <c r="C910"/>
      <c r="D910"/>
      <c r="E910" s="69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  <c r="V910"/>
      <c r="W910"/>
      <c r="X910"/>
      <c r="Y910"/>
      <c r="Z910"/>
      <c r="AA910"/>
    </row>
    <row r="911" spans="2:27" s="25" customFormat="1" ht="15.75" customHeight="1" x14ac:dyDescent="0.2">
      <c r="B911" s="89"/>
      <c r="C911"/>
      <c r="D911"/>
      <c r="E911" s="69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  <c r="V911"/>
      <c r="W911"/>
      <c r="X911"/>
      <c r="Y911"/>
      <c r="Z911"/>
      <c r="AA911"/>
    </row>
    <row r="912" spans="2:27" s="25" customFormat="1" ht="15.75" customHeight="1" x14ac:dyDescent="0.2">
      <c r="B912" s="89"/>
      <c r="C912"/>
      <c r="D912"/>
      <c r="E912" s="69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  <c r="V912"/>
      <c r="W912"/>
      <c r="X912"/>
      <c r="Y912"/>
      <c r="Z912"/>
      <c r="AA912"/>
    </row>
    <row r="913" spans="2:27" s="25" customFormat="1" ht="15.75" customHeight="1" x14ac:dyDescent="0.2">
      <c r="B913" s="89"/>
      <c r="C913"/>
      <c r="D913"/>
      <c r="E913" s="69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  <c r="V913"/>
      <c r="W913"/>
      <c r="X913"/>
      <c r="Y913"/>
      <c r="Z913"/>
      <c r="AA913"/>
    </row>
    <row r="914" spans="2:27" s="25" customFormat="1" ht="15.75" customHeight="1" x14ac:dyDescent="0.2">
      <c r="B914" s="89"/>
      <c r="C914"/>
      <c r="D914"/>
      <c r="E914" s="69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  <c r="V914"/>
      <c r="W914"/>
      <c r="X914"/>
      <c r="Y914"/>
      <c r="Z914"/>
      <c r="AA914"/>
    </row>
    <row r="915" spans="2:27" s="25" customFormat="1" ht="15.75" customHeight="1" x14ac:dyDescent="0.2">
      <c r="B915" s="89"/>
      <c r="C915"/>
      <c r="D915"/>
      <c r="E915" s="69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  <c r="V915"/>
      <c r="W915"/>
      <c r="X915"/>
      <c r="Y915"/>
      <c r="Z915"/>
      <c r="AA915"/>
    </row>
    <row r="916" spans="2:27" s="25" customFormat="1" ht="15.75" customHeight="1" x14ac:dyDescent="0.2">
      <c r="B916" s="89"/>
      <c r="C916"/>
      <c r="D916"/>
      <c r="E916" s="69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  <c r="V916"/>
      <c r="W916"/>
      <c r="X916"/>
      <c r="Y916"/>
      <c r="Z916"/>
      <c r="AA916"/>
    </row>
    <row r="917" spans="2:27" s="25" customFormat="1" ht="15.75" customHeight="1" x14ac:dyDescent="0.2">
      <c r="B917" s="89"/>
      <c r="C917"/>
      <c r="D917"/>
      <c r="E917" s="69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  <c r="V917"/>
      <c r="W917"/>
      <c r="X917"/>
      <c r="Y917"/>
      <c r="Z917"/>
      <c r="AA917"/>
    </row>
    <row r="918" spans="2:27" s="25" customFormat="1" ht="15.75" customHeight="1" x14ac:dyDescent="0.2">
      <c r="B918" s="89"/>
      <c r="C918"/>
      <c r="D918"/>
      <c r="E918" s="69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  <c r="V918"/>
      <c r="W918"/>
      <c r="X918"/>
      <c r="Y918"/>
      <c r="Z918"/>
      <c r="AA918"/>
    </row>
    <row r="919" spans="2:27" s="25" customFormat="1" ht="15.75" customHeight="1" x14ac:dyDescent="0.2">
      <c r="B919" s="89"/>
      <c r="C919"/>
      <c r="D919"/>
      <c r="E919" s="6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  <c r="V919"/>
      <c r="W919"/>
      <c r="X919"/>
      <c r="Y919"/>
      <c r="Z919"/>
      <c r="AA919"/>
    </row>
    <row r="920" spans="2:27" s="25" customFormat="1" ht="15.75" customHeight="1" x14ac:dyDescent="0.2">
      <c r="B920" s="89"/>
      <c r="C920"/>
      <c r="D920"/>
      <c r="E920" s="69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  <c r="V920"/>
      <c r="W920"/>
      <c r="X920"/>
      <c r="Y920"/>
      <c r="Z920"/>
      <c r="AA920"/>
    </row>
    <row r="921" spans="2:27" s="25" customFormat="1" ht="15.75" customHeight="1" x14ac:dyDescent="0.2">
      <c r="B921" s="89"/>
      <c r="C921"/>
      <c r="D921"/>
      <c r="E921" s="69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  <c r="V921"/>
      <c r="W921"/>
      <c r="X921"/>
      <c r="Y921"/>
      <c r="Z921"/>
      <c r="AA921"/>
    </row>
    <row r="922" spans="2:27" s="25" customFormat="1" ht="15.75" customHeight="1" x14ac:dyDescent="0.2">
      <c r="B922" s="89"/>
      <c r="C922"/>
      <c r="D922"/>
      <c r="E922" s="69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  <c r="V922"/>
      <c r="W922"/>
      <c r="X922"/>
      <c r="Y922"/>
      <c r="Z922"/>
      <c r="AA922"/>
    </row>
    <row r="923" spans="2:27" s="25" customFormat="1" ht="15.75" customHeight="1" x14ac:dyDescent="0.2">
      <c r="B923" s="89"/>
      <c r="C923"/>
      <c r="D923"/>
      <c r="E923" s="69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  <c r="V923"/>
      <c r="W923"/>
      <c r="X923"/>
      <c r="Y923"/>
      <c r="Z923"/>
      <c r="AA923"/>
    </row>
    <row r="924" spans="2:27" s="25" customFormat="1" ht="15.75" customHeight="1" x14ac:dyDescent="0.2">
      <c r="B924" s="89"/>
      <c r="C924"/>
      <c r="D924"/>
      <c r="E924" s="69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  <c r="V924"/>
      <c r="W924"/>
      <c r="X924"/>
      <c r="Y924"/>
      <c r="Z924"/>
      <c r="AA924"/>
    </row>
    <row r="925" spans="2:27" s="25" customFormat="1" ht="15.75" customHeight="1" x14ac:dyDescent="0.2">
      <c r="B925" s="89"/>
      <c r="C925"/>
      <c r="D925"/>
      <c r="E925" s="69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  <c r="V925"/>
      <c r="W925"/>
      <c r="X925"/>
      <c r="Y925"/>
      <c r="Z925"/>
      <c r="AA925"/>
    </row>
    <row r="926" spans="2:27" s="25" customFormat="1" ht="15.75" customHeight="1" x14ac:dyDescent="0.2">
      <c r="B926" s="89"/>
      <c r="C926"/>
      <c r="D926"/>
      <c r="E926" s="69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  <c r="V926"/>
      <c r="W926"/>
      <c r="X926"/>
      <c r="Y926"/>
      <c r="Z926"/>
      <c r="AA926"/>
    </row>
    <row r="927" spans="2:27" s="25" customFormat="1" ht="15.75" customHeight="1" x14ac:dyDescent="0.2">
      <c r="B927" s="89"/>
      <c r="C927"/>
      <c r="D927"/>
      <c r="E927" s="69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  <c r="V927"/>
      <c r="W927"/>
      <c r="X927"/>
      <c r="Y927"/>
      <c r="Z927"/>
      <c r="AA927"/>
    </row>
    <row r="928" spans="2:27" s="25" customFormat="1" ht="15.75" customHeight="1" x14ac:dyDescent="0.2">
      <c r="B928" s="89"/>
      <c r="C928"/>
      <c r="D928"/>
      <c r="E928" s="69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  <c r="V928"/>
      <c r="W928"/>
      <c r="X928"/>
      <c r="Y928"/>
      <c r="Z928"/>
      <c r="AA928"/>
    </row>
    <row r="929" spans="2:27" s="25" customFormat="1" ht="15.75" customHeight="1" x14ac:dyDescent="0.2">
      <c r="B929" s="89"/>
      <c r="C929"/>
      <c r="D929"/>
      <c r="E929" s="6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  <c r="V929"/>
      <c r="W929"/>
      <c r="X929"/>
      <c r="Y929"/>
      <c r="Z929"/>
      <c r="AA929"/>
    </row>
    <row r="930" spans="2:27" s="25" customFormat="1" ht="15.75" customHeight="1" x14ac:dyDescent="0.2">
      <c r="B930" s="89"/>
      <c r="C930"/>
      <c r="D930"/>
      <c r="E930" s="69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  <c r="V930"/>
      <c r="W930"/>
      <c r="X930"/>
      <c r="Y930"/>
      <c r="Z930"/>
      <c r="AA930"/>
    </row>
    <row r="931" spans="2:27" s="25" customFormat="1" ht="15.75" customHeight="1" x14ac:dyDescent="0.2">
      <c r="B931" s="89"/>
      <c r="C931"/>
      <c r="D931"/>
      <c r="E931" s="69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  <c r="V931"/>
      <c r="W931"/>
      <c r="X931"/>
      <c r="Y931"/>
      <c r="Z931"/>
      <c r="AA931"/>
    </row>
    <row r="932" spans="2:27" s="25" customFormat="1" ht="15.75" customHeight="1" x14ac:dyDescent="0.2">
      <c r="B932" s="89"/>
      <c r="C932"/>
      <c r="D932"/>
      <c r="E932" s="69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  <c r="V932"/>
      <c r="W932"/>
      <c r="X932"/>
      <c r="Y932"/>
      <c r="Z932"/>
      <c r="AA932"/>
    </row>
    <row r="933" spans="2:27" s="25" customFormat="1" ht="15.75" customHeight="1" x14ac:dyDescent="0.2">
      <c r="B933" s="89"/>
      <c r="C933"/>
      <c r="D933"/>
      <c r="E933" s="69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  <c r="V933"/>
      <c r="W933"/>
      <c r="X933"/>
      <c r="Y933"/>
      <c r="Z933"/>
      <c r="AA933"/>
    </row>
    <row r="934" spans="2:27" s="25" customFormat="1" ht="15.75" customHeight="1" x14ac:dyDescent="0.2">
      <c r="B934" s="89"/>
      <c r="C934"/>
      <c r="D934"/>
      <c r="E934" s="69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  <c r="V934"/>
      <c r="W934"/>
      <c r="X934"/>
      <c r="Y934"/>
      <c r="Z934"/>
      <c r="AA934"/>
    </row>
    <row r="935" spans="2:27" s="25" customFormat="1" ht="15.75" customHeight="1" x14ac:dyDescent="0.2">
      <c r="B935" s="89"/>
      <c r="C935"/>
      <c r="D935"/>
      <c r="E935" s="69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  <c r="V935"/>
      <c r="W935"/>
      <c r="X935"/>
      <c r="Y935"/>
      <c r="Z935"/>
      <c r="AA935"/>
    </row>
    <row r="936" spans="2:27" s="25" customFormat="1" ht="15.75" customHeight="1" x14ac:dyDescent="0.2">
      <c r="B936" s="89"/>
      <c r="C936"/>
      <c r="D936"/>
      <c r="E936" s="69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  <c r="V936"/>
      <c r="W936"/>
      <c r="X936"/>
      <c r="Y936"/>
      <c r="Z936"/>
      <c r="AA936"/>
    </row>
    <row r="937" spans="2:27" s="25" customFormat="1" ht="15.75" customHeight="1" x14ac:dyDescent="0.2">
      <c r="B937" s="89"/>
      <c r="C937"/>
      <c r="D937"/>
      <c r="E937" s="69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  <c r="V937"/>
      <c r="W937"/>
      <c r="X937"/>
      <c r="Y937"/>
      <c r="Z937"/>
      <c r="AA937"/>
    </row>
    <row r="938" spans="2:27" s="25" customFormat="1" ht="15.75" customHeight="1" x14ac:dyDescent="0.2">
      <c r="B938" s="89"/>
      <c r="C938"/>
      <c r="D938"/>
      <c r="E938" s="69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  <c r="V938"/>
      <c r="W938"/>
      <c r="X938"/>
      <c r="Y938"/>
      <c r="Z938"/>
      <c r="AA938"/>
    </row>
    <row r="939" spans="2:27" s="25" customFormat="1" ht="15.75" customHeight="1" x14ac:dyDescent="0.2">
      <c r="B939" s="89"/>
      <c r="C939"/>
      <c r="D939"/>
      <c r="E939" s="6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  <c r="V939"/>
      <c r="W939"/>
      <c r="X939"/>
      <c r="Y939"/>
      <c r="Z939"/>
      <c r="AA939"/>
    </row>
    <row r="940" spans="2:27" s="25" customFormat="1" ht="15.75" customHeight="1" x14ac:dyDescent="0.2">
      <c r="B940" s="89"/>
      <c r="C940"/>
      <c r="D940"/>
      <c r="E940" s="69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  <c r="V940"/>
      <c r="W940"/>
      <c r="X940"/>
      <c r="Y940"/>
      <c r="Z940"/>
      <c r="AA940"/>
    </row>
    <row r="941" spans="2:27" s="25" customFormat="1" ht="15.75" customHeight="1" x14ac:dyDescent="0.2">
      <c r="B941" s="89"/>
      <c r="C941"/>
      <c r="D941"/>
      <c r="E941" s="69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  <c r="V941"/>
      <c r="W941"/>
      <c r="X941"/>
      <c r="Y941"/>
      <c r="Z941"/>
      <c r="AA941"/>
    </row>
    <row r="942" spans="2:27" s="25" customFormat="1" ht="15.75" customHeight="1" x14ac:dyDescent="0.2">
      <c r="B942" s="89"/>
      <c r="C942"/>
      <c r="D942"/>
      <c r="E942" s="69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  <c r="V942"/>
      <c r="W942"/>
      <c r="X942"/>
      <c r="Y942"/>
      <c r="Z942"/>
      <c r="AA942"/>
    </row>
    <row r="943" spans="2:27" s="25" customFormat="1" ht="15.75" customHeight="1" x14ac:dyDescent="0.2">
      <c r="B943" s="89"/>
      <c r="C943"/>
      <c r="D943"/>
      <c r="E943" s="69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  <c r="V943"/>
      <c r="W943"/>
      <c r="X943"/>
      <c r="Y943"/>
      <c r="Z943"/>
      <c r="AA943"/>
    </row>
    <row r="944" spans="2:27" s="25" customFormat="1" ht="15.75" customHeight="1" x14ac:dyDescent="0.2">
      <c r="B944" s="89"/>
      <c r="C944"/>
      <c r="D944"/>
      <c r="E944" s="69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  <c r="V944"/>
      <c r="W944"/>
      <c r="X944"/>
      <c r="Y944"/>
      <c r="Z944"/>
      <c r="AA944"/>
    </row>
    <row r="945" spans="2:27" s="25" customFormat="1" ht="15.75" customHeight="1" x14ac:dyDescent="0.2">
      <c r="B945" s="89"/>
      <c r="C945"/>
      <c r="D945"/>
      <c r="E945" s="69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  <c r="U945"/>
      <c r="V945"/>
      <c r="W945"/>
      <c r="X945"/>
      <c r="Y945"/>
      <c r="Z945"/>
      <c r="AA945"/>
    </row>
    <row r="946" spans="2:27" s="25" customFormat="1" ht="15.75" customHeight="1" x14ac:dyDescent="0.2">
      <c r="B946" s="89"/>
      <c r="C946"/>
      <c r="D946"/>
      <c r="E946" s="69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  <c r="V946"/>
      <c r="W946"/>
      <c r="X946"/>
      <c r="Y946"/>
      <c r="Z946"/>
      <c r="AA946"/>
    </row>
    <row r="947" spans="2:27" s="25" customFormat="1" ht="15.75" customHeight="1" x14ac:dyDescent="0.2">
      <c r="B947" s="89"/>
      <c r="C947"/>
      <c r="D947"/>
      <c r="E947" s="69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  <c r="U947"/>
      <c r="V947"/>
      <c r="W947"/>
      <c r="X947"/>
      <c r="Y947"/>
      <c r="Z947"/>
      <c r="AA947"/>
    </row>
    <row r="948" spans="2:27" s="25" customFormat="1" ht="15.75" customHeight="1" x14ac:dyDescent="0.2">
      <c r="B948" s="89"/>
      <c r="C948"/>
      <c r="D948"/>
      <c r="E948" s="69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  <c r="U948"/>
      <c r="V948"/>
      <c r="W948"/>
      <c r="X948"/>
      <c r="Y948"/>
      <c r="Z948"/>
      <c r="AA948"/>
    </row>
    <row r="949" spans="2:27" s="25" customFormat="1" ht="15.75" customHeight="1" x14ac:dyDescent="0.2">
      <c r="B949" s="89"/>
      <c r="C949"/>
      <c r="D949"/>
      <c r="E949" s="6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  <c r="V949"/>
      <c r="W949"/>
      <c r="X949"/>
      <c r="Y949"/>
      <c r="Z949"/>
      <c r="AA949"/>
    </row>
    <row r="950" spans="2:27" s="25" customFormat="1" ht="15.75" customHeight="1" x14ac:dyDescent="0.2">
      <c r="B950" s="89"/>
      <c r="C950"/>
      <c r="D950"/>
      <c r="E950" s="69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  <c r="U950"/>
      <c r="V950"/>
      <c r="W950"/>
      <c r="X950"/>
      <c r="Y950"/>
      <c r="Z950"/>
      <c r="AA950"/>
    </row>
    <row r="951" spans="2:27" s="25" customFormat="1" ht="15.75" customHeight="1" x14ac:dyDescent="0.2">
      <c r="B951" s="89"/>
      <c r="C951"/>
      <c r="D951"/>
      <c r="E951" s="69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  <c r="V951"/>
      <c r="W951"/>
      <c r="X951"/>
      <c r="Y951"/>
      <c r="Z951"/>
      <c r="AA951"/>
    </row>
    <row r="952" spans="2:27" s="25" customFormat="1" ht="15.75" customHeight="1" x14ac:dyDescent="0.2">
      <c r="B952" s="89"/>
      <c r="C952"/>
      <c r="D952"/>
      <c r="E952" s="69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  <c r="U952"/>
      <c r="V952"/>
      <c r="W952"/>
      <c r="X952"/>
      <c r="Y952"/>
      <c r="Z952"/>
      <c r="AA952"/>
    </row>
    <row r="953" spans="2:27" s="25" customFormat="1" ht="15.75" customHeight="1" x14ac:dyDescent="0.2">
      <c r="B953" s="89"/>
      <c r="C953"/>
      <c r="D953"/>
      <c r="E953" s="69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  <c r="U953"/>
      <c r="V953"/>
      <c r="W953"/>
      <c r="X953"/>
      <c r="Y953"/>
      <c r="Z953"/>
      <c r="AA953"/>
    </row>
    <row r="954" spans="2:27" s="25" customFormat="1" ht="15.75" customHeight="1" x14ac:dyDescent="0.2">
      <c r="B954" s="89"/>
      <c r="C954"/>
      <c r="D954"/>
      <c r="E954" s="69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  <c r="V954"/>
      <c r="W954"/>
      <c r="X954"/>
      <c r="Y954"/>
      <c r="Z954"/>
      <c r="AA954"/>
    </row>
    <row r="955" spans="2:27" s="25" customFormat="1" ht="15.75" customHeight="1" x14ac:dyDescent="0.2">
      <c r="B955" s="89"/>
      <c r="C955"/>
      <c r="D955"/>
      <c r="E955" s="69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  <c r="V955"/>
      <c r="W955"/>
      <c r="X955"/>
      <c r="Y955"/>
      <c r="Z955"/>
      <c r="AA955"/>
    </row>
    <row r="956" spans="2:27" s="25" customFormat="1" ht="15.75" customHeight="1" x14ac:dyDescent="0.2">
      <c r="B956" s="89"/>
      <c r="C956"/>
      <c r="D956"/>
      <c r="E956" s="69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  <c r="U956"/>
      <c r="V956"/>
      <c r="W956"/>
      <c r="X956"/>
      <c r="Y956"/>
      <c r="Z956"/>
      <c r="AA956"/>
    </row>
    <row r="957" spans="2:27" s="25" customFormat="1" ht="15.75" customHeight="1" x14ac:dyDescent="0.2">
      <c r="B957" s="89"/>
      <c r="C957"/>
      <c r="D957"/>
      <c r="E957" s="69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  <c r="V957"/>
      <c r="W957"/>
      <c r="X957"/>
      <c r="Y957"/>
      <c r="Z957"/>
      <c r="AA957"/>
    </row>
    <row r="958" spans="2:27" s="25" customFormat="1" ht="15.75" customHeight="1" x14ac:dyDescent="0.2">
      <c r="B958" s="89"/>
      <c r="C958"/>
      <c r="D958"/>
      <c r="E958" s="69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  <c r="V958"/>
      <c r="W958"/>
      <c r="X958"/>
      <c r="Y958"/>
      <c r="Z958"/>
      <c r="AA958"/>
    </row>
    <row r="959" spans="2:27" s="25" customFormat="1" ht="15.75" customHeight="1" x14ac:dyDescent="0.2">
      <c r="B959" s="89"/>
      <c r="C959"/>
      <c r="D959"/>
      <c r="E959" s="6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  <c r="V959"/>
      <c r="W959"/>
      <c r="X959"/>
      <c r="Y959"/>
      <c r="Z959"/>
      <c r="AA959"/>
    </row>
    <row r="960" spans="2:27" s="25" customFormat="1" ht="15.75" customHeight="1" x14ac:dyDescent="0.2">
      <c r="B960" s="89"/>
      <c r="C960"/>
      <c r="D960"/>
      <c r="E960" s="69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  <c r="U960"/>
      <c r="V960"/>
      <c r="W960"/>
      <c r="X960"/>
      <c r="Y960"/>
      <c r="Z960"/>
      <c r="AA960"/>
    </row>
    <row r="961" spans="2:27" s="25" customFormat="1" ht="15.75" customHeight="1" x14ac:dyDescent="0.2">
      <c r="B961" s="89"/>
      <c r="C961"/>
      <c r="D961"/>
      <c r="E961" s="69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  <c r="V961"/>
      <c r="W961"/>
      <c r="X961"/>
      <c r="Y961"/>
      <c r="Z961"/>
      <c r="AA961"/>
    </row>
    <row r="962" spans="2:27" s="25" customFormat="1" ht="15.75" customHeight="1" x14ac:dyDescent="0.2">
      <c r="B962" s="89"/>
      <c r="C962"/>
      <c r="D962"/>
      <c r="E962" s="69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  <c r="V962"/>
      <c r="W962"/>
      <c r="X962"/>
      <c r="Y962"/>
      <c r="Z962"/>
      <c r="AA962"/>
    </row>
    <row r="963" spans="2:27" s="25" customFormat="1" ht="15.75" customHeight="1" x14ac:dyDescent="0.2">
      <c r="B963" s="89"/>
      <c r="C963"/>
      <c r="D963"/>
      <c r="E963" s="69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  <c r="V963"/>
      <c r="W963"/>
      <c r="X963"/>
      <c r="Y963"/>
      <c r="Z963"/>
      <c r="AA963"/>
    </row>
    <row r="964" spans="2:27" s="25" customFormat="1" ht="15.75" customHeight="1" x14ac:dyDescent="0.2">
      <c r="B964" s="89"/>
      <c r="C964"/>
      <c r="D964"/>
      <c r="E964" s="69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  <c r="V964"/>
      <c r="W964"/>
      <c r="X964"/>
      <c r="Y964"/>
      <c r="Z964"/>
      <c r="AA964"/>
    </row>
    <row r="965" spans="2:27" s="25" customFormat="1" ht="15.75" customHeight="1" x14ac:dyDescent="0.2">
      <c r="B965" s="89"/>
      <c r="C965"/>
      <c r="D965"/>
      <c r="E965" s="69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  <c r="T965"/>
      <c r="U965"/>
      <c r="V965"/>
      <c r="W965"/>
      <c r="X965"/>
      <c r="Y965"/>
      <c r="Z965"/>
      <c r="AA965"/>
    </row>
    <row r="966" spans="2:27" s="25" customFormat="1" ht="15.75" customHeight="1" x14ac:dyDescent="0.2">
      <c r="B966" s="89"/>
      <c r="C966"/>
      <c r="D966"/>
      <c r="E966" s="69"/>
      <c r="F966"/>
      <c r="G966"/>
      <c r="H966"/>
      <c r="I966"/>
      <c r="J966"/>
      <c r="K966"/>
      <c r="L966"/>
      <c r="M966"/>
      <c r="N966"/>
      <c r="O966"/>
      <c r="P966"/>
      <c r="Q966"/>
      <c r="R966"/>
      <c r="S966"/>
      <c r="T966"/>
      <c r="U966"/>
      <c r="V966"/>
      <c r="W966"/>
      <c r="X966"/>
      <c r="Y966"/>
      <c r="Z966"/>
      <c r="AA966"/>
    </row>
    <row r="967" spans="2:27" s="25" customFormat="1" ht="15.75" customHeight="1" x14ac:dyDescent="0.2">
      <c r="B967" s="89"/>
      <c r="C967"/>
      <c r="D967"/>
      <c r="E967" s="69"/>
      <c r="F967"/>
      <c r="G967"/>
      <c r="H967"/>
      <c r="I967"/>
      <c r="J967"/>
      <c r="K967"/>
      <c r="L967"/>
      <c r="M967"/>
      <c r="N967"/>
      <c r="O967"/>
      <c r="P967"/>
      <c r="Q967"/>
      <c r="R967"/>
      <c r="S967"/>
      <c r="T967"/>
      <c r="U967"/>
      <c r="V967"/>
      <c r="W967"/>
      <c r="X967"/>
      <c r="Y967"/>
      <c r="Z967"/>
      <c r="AA967"/>
    </row>
    <row r="968" spans="2:27" s="25" customFormat="1" ht="15.75" customHeight="1" x14ac:dyDescent="0.2">
      <c r="B968" s="89"/>
      <c r="C968"/>
      <c r="D968"/>
      <c r="E968" s="69"/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  <c r="U968"/>
      <c r="V968"/>
      <c r="W968"/>
      <c r="X968"/>
      <c r="Y968"/>
      <c r="Z968"/>
      <c r="AA968"/>
    </row>
    <row r="969" spans="2:27" s="25" customFormat="1" ht="15.75" customHeight="1" x14ac:dyDescent="0.2">
      <c r="B969" s="89"/>
      <c r="C969"/>
      <c r="D969"/>
      <c r="E969" s="69"/>
      <c r="F969"/>
      <c r="G969"/>
      <c r="H969"/>
      <c r="I969"/>
      <c r="J969"/>
      <c r="K969"/>
      <c r="L969"/>
      <c r="M969"/>
      <c r="N969"/>
      <c r="O969"/>
      <c r="P969"/>
      <c r="Q969"/>
      <c r="R969"/>
      <c r="S969"/>
      <c r="T969"/>
      <c r="U969"/>
      <c r="V969"/>
      <c r="W969"/>
      <c r="X969"/>
      <c r="Y969"/>
      <c r="Z969"/>
      <c r="AA969"/>
    </row>
    <row r="970" spans="2:27" s="25" customFormat="1" ht="15.75" customHeight="1" x14ac:dyDescent="0.2">
      <c r="B970" s="89"/>
      <c r="C970"/>
      <c r="D970"/>
      <c r="E970" s="69"/>
      <c r="F970"/>
      <c r="G970"/>
      <c r="H970"/>
      <c r="I970"/>
      <c r="J970"/>
      <c r="K970"/>
      <c r="L970"/>
      <c r="M970"/>
      <c r="N970"/>
      <c r="O970"/>
      <c r="P970"/>
      <c r="Q970"/>
      <c r="R970"/>
      <c r="S970"/>
      <c r="T970"/>
      <c r="U970"/>
      <c r="V970"/>
      <c r="W970"/>
      <c r="X970"/>
      <c r="Y970"/>
      <c r="Z970"/>
      <c r="AA970"/>
    </row>
    <row r="971" spans="2:27" s="25" customFormat="1" ht="15.75" customHeight="1" x14ac:dyDescent="0.2">
      <c r="B971" s="89"/>
      <c r="C971"/>
      <c r="D971"/>
      <c r="E971" s="69"/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  <c r="T971"/>
      <c r="U971"/>
      <c r="V971"/>
      <c r="W971"/>
      <c r="X971"/>
      <c r="Y971"/>
      <c r="Z971"/>
      <c r="AA971"/>
    </row>
    <row r="972" spans="2:27" s="25" customFormat="1" ht="15.75" customHeight="1" x14ac:dyDescent="0.2">
      <c r="B972" s="89"/>
      <c r="C972"/>
      <c r="D972"/>
      <c r="E972" s="69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  <c r="U972"/>
      <c r="V972"/>
      <c r="W972"/>
      <c r="X972"/>
      <c r="Y972"/>
      <c r="Z972"/>
      <c r="AA972"/>
    </row>
    <row r="973" spans="2:27" s="25" customFormat="1" ht="15.75" customHeight="1" x14ac:dyDescent="0.2">
      <c r="B973" s="89"/>
      <c r="C973"/>
      <c r="D973"/>
      <c r="E973" s="69"/>
      <c r="F973"/>
      <c r="G973"/>
      <c r="H973"/>
      <c r="I973"/>
      <c r="J973"/>
      <c r="K973"/>
      <c r="L973"/>
      <c r="M973"/>
      <c r="N973"/>
      <c r="O973"/>
      <c r="P973"/>
      <c r="Q973"/>
      <c r="R973"/>
      <c r="S973"/>
      <c r="T973"/>
      <c r="U973"/>
      <c r="V973"/>
      <c r="W973"/>
      <c r="X973"/>
      <c r="Y973"/>
      <c r="Z973"/>
      <c r="AA973"/>
    </row>
    <row r="974" spans="2:27" s="25" customFormat="1" ht="15.75" customHeight="1" x14ac:dyDescent="0.2">
      <c r="B974" s="89"/>
      <c r="C974"/>
      <c r="D974"/>
      <c r="E974" s="69"/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  <c r="T974"/>
      <c r="U974"/>
      <c r="V974"/>
      <c r="W974"/>
      <c r="X974"/>
      <c r="Y974"/>
      <c r="Z974"/>
      <c r="AA974"/>
    </row>
    <row r="975" spans="2:27" s="25" customFormat="1" ht="15.75" customHeight="1" x14ac:dyDescent="0.2">
      <c r="B975" s="89"/>
      <c r="C975"/>
      <c r="D975"/>
      <c r="E975" s="69"/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  <c r="U975"/>
      <c r="V975"/>
      <c r="W975"/>
      <c r="X975"/>
      <c r="Y975"/>
      <c r="Z975"/>
      <c r="AA975"/>
    </row>
    <row r="976" spans="2:27" s="25" customFormat="1" ht="15.75" customHeight="1" x14ac:dyDescent="0.2">
      <c r="B976" s="89"/>
      <c r="C976"/>
      <c r="D976"/>
      <c r="E976" s="69"/>
      <c r="F976"/>
      <c r="G976"/>
      <c r="H976"/>
      <c r="I976"/>
      <c r="J976"/>
      <c r="K976"/>
      <c r="L976"/>
      <c r="M976"/>
      <c r="N976"/>
      <c r="O976"/>
      <c r="P976"/>
      <c r="Q976"/>
      <c r="R976"/>
      <c r="S976"/>
      <c r="T976"/>
      <c r="U976"/>
      <c r="V976"/>
      <c r="W976"/>
      <c r="X976"/>
      <c r="Y976"/>
      <c r="Z976"/>
      <c r="AA976"/>
    </row>
    <row r="977" spans="2:27" s="25" customFormat="1" ht="15.75" customHeight="1" x14ac:dyDescent="0.2">
      <c r="B977" s="89"/>
      <c r="C977"/>
      <c r="D977"/>
      <c r="E977" s="69"/>
      <c r="F977"/>
      <c r="G977"/>
      <c r="H977"/>
      <c r="I977"/>
      <c r="J977"/>
      <c r="K977"/>
      <c r="L977"/>
      <c r="M977"/>
      <c r="N977"/>
      <c r="O977"/>
      <c r="P977"/>
      <c r="Q977"/>
      <c r="R977"/>
      <c r="S977"/>
      <c r="T977"/>
      <c r="U977"/>
      <c r="V977"/>
      <c r="W977"/>
      <c r="X977"/>
      <c r="Y977"/>
      <c r="Z977"/>
      <c r="AA977"/>
    </row>
    <row r="978" spans="2:27" s="25" customFormat="1" ht="15.75" customHeight="1" x14ac:dyDescent="0.2">
      <c r="B978" s="89"/>
      <c r="C978"/>
      <c r="D978"/>
      <c r="E978" s="69"/>
      <c r="F978"/>
      <c r="G978"/>
      <c r="H978"/>
      <c r="I978"/>
      <c r="J978"/>
      <c r="K978"/>
      <c r="L978"/>
      <c r="M978"/>
      <c r="N978"/>
      <c r="O978"/>
      <c r="P978"/>
      <c r="Q978"/>
      <c r="R978"/>
      <c r="S978"/>
      <c r="T978"/>
      <c r="U978"/>
      <c r="V978"/>
      <c r="W978"/>
      <c r="X978"/>
      <c r="Y978"/>
      <c r="Z978"/>
      <c r="AA978"/>
    </row>
    <row r="979" spans="2:27" s="25" customFormat="1" ht="15.75" customHeight="1" x14ac:dyDescent="0.2">
      <c r="B979" s="89"/>
      <c r="C979"/>
      <c r="D979"/>
      <c r="E979" s="69"/>
      <c r="F979"/>
      <c r="G979"/>
      <c r="H979"/>
      <c r="I979"/>
      <c r="J979"/>
      <c r="K979"/>
      <c r="L979"/>
      <c r="M979"/>
      <c r="N979"/>
      <c r="O979"/>
      <c r="P979"/>
      <c r="Q979"/>
      <c r="R979"/>
      <c r="S979"/>
      <c r="T979"/>
      <c r="U979"/>
      <c r="V979"/>
      <c r="W979"/>
      <c r="X979"/>
      <c r="Y979"/>
      <c r="Z979"/>
      <c r="AA979"/>
    </row>
    <row r="980" spans="2:27" s="25" customFormat="1" ht="15.75" customHeight="1" x14ac:dyDescent="0.2">
      <c r="B980" s="89"/>
      <c r="C980"/>
      <c r="D980"/>
      <c r="E980" s="69"/>
      <c r="F980"/>
      <c r="G980"/>
      <c r="H980"/>
      <c r="I980"/>
      <c r="J980"/>
      <c r="K980"/>
      <c r="L980"/>
      <c r="M980"/>
      <c r="N980"/>
      <c r="O980"/>
      <c r="P980"/>
      <c r="Q980"/>
      <c r="R980"/>
      <c r="S980"/>
      <c r="T980"/>
      <c r="U980"/>
      <c r="V980"/>
      <c r="W980"/>
      <c r="X980"/>
      <c r="Y980"/>
      <c r="Z980"/>
      <c r="AA980"/>
    </row>
    <row r="981" spans="2:27" s="25" customFormat="1" ht="15.75" customHeight="1" x14ac:dyDescent="0.2">
      <c r="B981" s="89"/>
      <c r="C981"/>
      <c r="D981"/>
      <c r="E981" s="69"/>
      <c r="F981"/>
      <c r="G981"/>
      <c r="H981"/>
      <c r="I981"/>
      <c r="J981"/>
      <c r="K981"/>
      <c r="L981"/>
      <c r="M981"/>
      <c r="N981"/>
      <c r="O981"/>
      <c r="P981"/>
      <c r="Q981"/>
      <c r="R981"/>
      <c r="S981"/>
      <c r="T981"/>
      <c r="U981"/>
      <c r="V981"/>
      <c r="W981"/>
      <c r="X981"/>
      <c r="Y981"/>
      <c r="Z981"/>
      <c r="AA981"/>
    </row>
    <row r="982" spans="2:27" s="25" customFormat="1" ht="15.75" customHeight="1" x14ac:dyDescent="0.2">
      <c r="B982" s="89"/>
      <c r="C982"/>
      <c r="D982"/>
      <c r="E982" s="69"/>
      <c r="F982"/>
      <c r="G982"/>
      <c r="H982"/>
      <c r="I982"/>
      <c r="J982"/>
      <c r="K982"/>
      <c r="L982"/>
      <c r="M982"/>
      <c r="N982"/>
      <c r="O982"/>
      <c r="P982"/>
      <c r="Q982"/>
      <c r="R982"/>
      <c r="S982"/>
      <c r="T982"/>
      <c r="U982"/>
      <c r="V982"/>
      <c r="W982"/>
      <c r="X982"/>
      <c r="Y982"/>
      <c r="Z982"/>
      <c r="AA982"/>
    </row>
    <row r="983" spans="2:27" s="25" customFormat="1" ht="15.75" customHeight="1" x14ac:dyDescent="0.2">
      <c r="B983" s="89"/>
      <c r="C983"/>
      <c r="D983"/>
      <c r="E983" s="69"/>
      <c r="F983"/>
      <c r="G983"/>
      <c r="H983"/>
      <c r="I983"/>
      <c r="J983"/>
      <c r="K983"/>
      <c r="L983"/>
      <c r="M983"/>
      <c r="N983"/>
      <c r="O983"/>
      <c r="P983"/>
      <c r="Q983"/>
      <c r="R983"/>
      <c r="S983"/>
      <c r="T983"/>
      <c r="U983"/>
      <c r="V983"/>
      <c r="W983"/>
      <c r="X983"/>
      <c r="Y983"/>
      <c r="Z983"/>
      <c r="AA983"/>
    </row>
    <row r="984" spans="2:27" s="25" customFormat="1" ht="15.75" customHeight="1" x14ac:dyDescent="0.2">
      <c r="B984" s="89"/>
      <c r="C984"/>
      <c r="D984"/>
      <c r="E984" s="69"/>
      <c r="F984"/>
      <c r="G984"/>
      <c r="H984"/>
      <c r="I984"/>
      <c r="J984"/>
      <c r="K984"/>
      <c r="L984"/>
      <c r="M984"/>
      <c r="N984"/>
      <c r="O984"/>
      <c r="P984"/>
      <c r="Q984"/>
      <c r="R984"/>
      <c r="S984"/>
      <c r="T984"/>
      <c r="U984"/>
      <c r="V984"/>
      <c r="W984"/>
      <c r="X984"/>
      <c r="Y984"/>
      <c r="Z984"/>
      <c r="AA984"/>
    </row>
    <row r="985" spans="2:27" s="25" customFormat="1" ht="15.75" customHeight="1" x14ac:dyDescent="0.2">
      <c r="B985" s="89"/>
      <c r="C985"/>
      <c r="D985"/>
      <c r="E985" s="69"/>
      <c r="F985"/>
      <c r="G985"/>
      <c r="H985"/>
      <c r="I985"/>
      <c r="J985"/>
      <c r="K985"/>
      <c r="L985"/>
      <c r="M985"/>
      <c r="N985"/>
      <c r="O985"/>
      <c r="P985"/>
      <c r="Q985"/>
      <c r="R985"/>
      <c r="S985"/>
      <c r="T985"/>
      <c r="U985"/>
      <c r="V985"/>
      <c r="W985"/>
      <c r="X985"/>
      <c r="Y985"/>
      <c r="Z985"/>
      <c r="AA985"/>
    </row>
    <row r="986" spans="2:27" s="25" customFormat="1" ht="15.75" customHeight="1" x14ac:dyDescent="0.2">
      <c r="B986" s="89"/>
      <c r="C986"/>
      <c r="D986"/>
      <c r="E986" s="69"/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  <c r="U986"/>
      <c r="V986"/>
      <c r="W986"/>
      <c r="X986"/>
      <c r="Y986"/>
      <c r="Z986"/>
      <c r="AA986"/>
    </row>
    <row r="987" spans="2:27" s="25" customFormat="1" ht="15.75" customHeight="1" x14ac:dyDescent="0.2">
      <c r="B987" s="89"/>
      <c r="C987"/>
      <c r="D987"/>
      <c r="E987" s="69"/>
      <c r="F987"/>
      <c r="G987"/>
      <c r="H987"/>
      <c r="I987"/>
      <c r="J987"/>
      <c r="K987"/>
      <c r="L987"/>
      <c r="M987"/>
      <c r="N987"/>
      <c r="O987"/>
      <c r="P987"/>
      <c r="Q987"/>
      <c r="R987"/>
      <c r="S987"/>
      <c r="T987"/>
      <c r="U987"/>
      <c r="V987"/>
      <c r="W987"/>
      <c r="X987"/>
      <c r="Y987"/>
      <c r="Z987"/>
      <c r="AA987"/>
    </row>
    <row r="988" spans="2:27" s="25" customFormat="1" ht="15.75" customHeight="1" x14ac:dyDescent="0.2">
      <c r="B988" s="89"/>
      <c r="C988"/>
      <c r="D988"/>
      <c r="E988" s="69"/>
      <c r="F988"/>
      <c r="G988"/>
      <c r="H988"/>
      <c r="I988"/>
      <c r="J988"/>
      <c r="K988"/>
      <c r="L988"/>
      <c r="M988"/>
      <c r="N988"/>
      <c r="O988"/>
      <c r="P988"/>
      <c r="Q988"/>
      <c r="R988"/>
      <c r="S988"/>
      <c r="T988"/>
      <c r="U988"/>
      <c r="V988"/>
      <c r="W988"/>
      <c r="X988"/>
      <c r="Y988"/>
      <c r="Z988"/>
      <c r="AA988"/>
    </row>
    <row r="989" spans="2:27" s="25" customFormat="1" ht="15.75" customHeight="1" x14ac:dyDescent="0.2">
      <c r="B989" s="89"/>
      <c r="C989"/>
      <c r="D989"/>
      <c r="E989" s="69"/>
      <c r="F989"/>
      <c r="G989"/>
      <c r="H989"/>
      <c r="I989"/>
      <c r="J989"/>
      <c r="K989"/>
      <c r="L989"/>
      <c r="M989"/>
      <c r="N989"/>
      <c r="O989"/>
      <c r="P989"/>
      <c r="Q989"/>
      <c r="R989"/>
      <c r="S989"/>
      <c r="T989"/>
      <c r="U989"/>
      <c r="V989"/>
      <c r="W989"/>
      <c r="X989"/>
      <c r="Y989"/>
      <c r="Z989"/>
      <c r="AA989"/>
    </row>
    <row r="990" spans="2:27" s="25" customFormat="1" ht="15.75" customHeight="1" x14ac:dyDescent="0.2">
      <c r="B990" s="89"/>
      <c r="C990"/>
      <c r="D990"/>
      <c r="E990" s="69"/>
      <c r="F990"/>
      <c r="G990"/>
      <c r="H990"/>
      <c r="I990"/>
      <c r="J990"/>
      <c r="K990"/>
      <c r="L990"/>
      <c r="M990"/>
      <c r="N990"/>
      <c r="O990"/>
      <c r="P990"/>
      <c r="Q990"/>
      <c r="R990"/>
      <c r="S990"/>
      <c r="T990"/>
      <c r="U990"/>
      <c r="V990"/>
      <c r="W990"/>
      <c r="X990"/>
      <c r="Y990"/>
      <c r="Z990"/>
      <c r="AA990"/>
    </row>
    <row r="991" spans="2:27" s="25" customFormat="1" ht="15.75" customHeight="1" x14ac:dyDescent="0.2">
      <c r="B991" s="89"/>
      <c r="C991"/>
      <c r="D991"/>
      <c r="E991" s="69"/>
      <c r="F991"/>
      <c r="G991"/>
      <c r="H991"/>
      <c r="I991"/>
      <c r="J991"/>
      <c r="K991"/>
      <c r="L991"/>
      <c r="M991"/>
      <c r="N991"/>
      <c r="O991"/>
      <c r="P991"/>
      <c r="Q991"/>
      <c r="R991"/>
      <c r="S991"/>
      <c r="T991"/>
      <c r="U991"/>
      <c r="V991"/>
      <c r="W991"/>
      <c r="X991"/>
      <c r="Y991"/>
      <c r="Z991"/>
      <c r="AA991"/>
    </row>
    <row r="992" spans="2:27" s="25" customFormat="1" ht="15.75" customHeight="1" x14ac:dyDescent="0.2">
      <c r="B992" s="89"/>
      <c r="C992"/>
      <c r="D992"/>
      <c r="E992" s="69"/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  <c r="T992"/>
      <c r="U992"/>
      <c r="V992"/>
      <c r="W992"/>
      <c r="X992"/>
      <c r="Y992"/>
      <c r="Z992"/>
      <c r="AA992"/>
    </row>
    <row r="993" spans="2:27" s="25" customFormat="1" ht="15.75" customHeight="1" x14ac:dyDescent="0.2">
      <c r="B993" s="89"/>
      <c r="C993"/>
      <c r="D993"/>
      <c r="E993" s="69"/>
      <c r="F993"/>
      <c r="G993"/>
      <c r="H993"/>
      <c r="I993"/>
      <c r="J993"/>
      <c r="K993"/>
      <c r="L993"/>
      <c r="M993"/>
      <c r="N993"/>
      <c r="O993"/>
      <c r="P993"/>
      <c r="Q993"/>
      <c r="R993"/>
      <c r="S993"/>
      <c r="T993"/>
      <c r="U993"/>
      <c r="V993"/>
      <c r="W993"/>
      <c r="X993"/>
      <c r="Y993"/>
      <c r="Z993"/>
      <c r="AA993"/>
    </row>
    <row r="994" spans="2:27" s="25" customFormat="1" ht="15.75" customHeight="1" x14ac:dyDescent="0.2">
      <c r="B994" s="89"/>
      <c r="C994"/>
      <c r="D994"/>
      <c r="E994" s="69"/>
      <c r="F994"/>
      <c r="G994"/>
      <c r="H994"/>
      <c r="I994"/>
      <c r="J994"/>
      <c r="K994"/>
      <c r="L994"/>
      <c r="M994"/>
      <c r="N994"/>
      <c r="O994"/>
      <c r="P994"/>
      <c r="Q994"/>
      <c r="R994"/>
      <c r="S994"/>
      <c r="T994"/>
      <c r="U994"/>
      <c r="V994"/>
      <c r="W994"/>
      <c r="X994"/>
      <c r="Y994"/>
      <c r="Z994"/>
      <c r="AA994"/>
    </row>
    <row r="995" spans="2:27" s="25" customFormat="1" ht="15.75" customHeight="1" x14ac:dyDescent="0.2">
      <c r="B995" s="89"/>
      <c r="C995"/>
      <c r="D995"/>
      <c r="E995" s="69"/>
      <c r="F995"/>
      <c r="G995"/>
      <c r="H995"/>
      <c r="I995"/>
      <c r="J995"/>
      <c r="K995"/>
      <c r="L995"/>
      <c r="M995"/>
      <c r="N995"/>
      <c r="O995"/>
      <c r="P995"/>
      <c r="Q995"/>
      <c r="R995"/>
      <c r="S995"/>
      <c r="T995"/>
      <c r="U995"/>
      <c r="V995"/>
      <c r="W995"/>
      <c r="X995"/>
      <c r="Y995"/>
      <c r="Z995"/>
      <c r="AA995"/>
    </row>
    <row r="996" spans="2:27" s="25" customFormat="1" ht="15.75" customHeight="1" x14ac:dyDescent="0.2">
      <c r="B996" s="89"/>
      <c r="C996"/>
      <c r="D996"/>
      <c r="E996" s="69"/>
      <c r="F996"/>
      <c r="G996"/>
      <c r="H996"/>
      <c r="I996"/>
      <c r="J996"/>
      <c r="K996"/>
      <c r="L996"/>
      <c r="M996"/>
      <c r="N996"/>
      <c r="O996"/>
      <c r="P996"/>
      <c r="Q996"/>
      <c r="R996"/>
      <c r="S996"/>
      <c r="T996"/>
      <c r="U996"/>
      <c r="V996"/>
      <c r="W996"/>
      <c r="X996"/>
      <c r="Y996"/>
      <c r="Z996"/>
      <c r="AA996"/>
    </row>
  </sheetData>
  <mergeCells count="11">
    <mergeCell ref="B7:E7"/>
    <mergeCell ref="F7:G7"/>
    <mergeCell ref="B8:E8"/>
    <mergeCell ref="F8:G8"/>
    <mergeCell ref="E1:E3"/>
    <mergeCell ref="B4:E4"/>
    <mergeCell ref="F4:G4"/>
    <mergeCell ref="B5:E5"/>
    <mergeCell ref="F5:G5"/>
    <mergeCell ref="B6:E6"/>
    <mergeCell ref="F6:G6"/>
  </mergeCells>
  <conditionalFormatting sqref="A4:B8 A9:H1048576">
    <cfRule type="expression" dxfId="47" priority="1">
      <formula>ISNUMBER(SEARCH("Holiday", $E4))</formula>
    </cfRule>
    <cfRule type="expression" dxfId="46" priority="2">
      <formula>AND(WEEKDAY($A4,2)&lt;6, $A4&lt;&gt;"")</formula>
    </cfRule>
  </conditionalFormatting>
  <conditionalFormatting sqref="A1:H3">
    <cfRule type="expression" dxfId="45" priority="17">
      <formula>ISNUMBER(SEARCH("Holiday", $E1))</formula>
    </cfRule>
    <cfRule type="expression" dxfId="44" priority="18">
      <formula>AND(WEEKDAY($A1,2)&lt;6, $A1&lt;&gt;"")</formula>
    </cfRule>
  </conditionalFormatting>
  <conditionalFormatting sqref="F4:H8">
    <cfRule type="expression" dxfId="43" priority="3">
      <formula>ISNUMBER(SEARCH("Holiday", $E4))</formula>
    </cfRule>
    <cfRule type="expression" dxfId="42" priority="4">
      <formula>AND(WEEKDAY($A4,2)&lt;6, $A4&lt;&gt;"")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EC0E0-462D-482A-97B2-7431E215D27C}">
  <dimension ref="A1:AA995"/>
  <sheetViews>
    <sheetView topLeftCell="A15" workbookViewId="0">
      <selection activeCell="A18" sqref="A18"/>
    </sheetView>
  </sheetViews>
  <sheetFormatPr defaultColWidth="12.5" defaultRowHeight="14.25" x14ac:dyDescent="0.2"/>
  <cols>
    <col min="1" max="1" width="20.25" style="25" bestFit="1" customWidth="1"/>
    <col min="2" max="2" width="7.375" style="89" bestFit="1" customWidth="1"/>
    <col min="3" max="3" width="11" customWidth="1"/>
    <col min="4" max="4" width="11.25" customWidth="1"/>
    <col min="5" max="5" width="28" style="69" customWidth="1"/>
    <col min="7" max="7" width="12" customWidth="1"/>
    <col min="8" max="8" width="19" customWidth="1"/>
    <col min="9" max="9" width="7.75" customWidth="1"/>
    <col min="10" max="10" width="94.25" bestFit="1" customWidth="1"/>
    <col min="11" max="13" width="7.75" customWidth="1"/>
    <col min="14" max="14" width="9" customWidth="1"/>
    <col min="15" max="27" width="7.75" customWidth="1"/>
  </cols>
  <sheetData>
    <row r="1" spans="1:27" ht="17.25" customHeight="1" x14ac:dyDescent="0.25">
      <c r="A1" s="48"/>
      <c r="B1" s="81"/>
      <c r="C1" s="49"/>
      <c r="D1" s="49"/>
      <c r="E1" s="97" t="s">
        <v>0</v>
      </c>
      <c r="F1" s="50"/>
      <c r="G1" s="51"/>
      <c r="H1" s="52"/>
      <c r="K1" s="28"/>
      <c r="L1" s="28"/>
      <c r="M1" s="28"/>
      <c r="N1" s="28"/>
      <c r="O1" s="28"/>
      <c r="P1" s="28"/>
    </row>
    <row r="2" spans="1:27" ht="17.25" customHeight="1" x14ac:dyDescent="0.25">
      <c r="A2" s="53"/>
      <c r="B2" s="82"/>
      <c r="C2" s="54"/>
      <c r="D2" s="54"/>
      <c r="E2" s="98"/>
      <c r="F2" s="55"/>
      <c r="G2" s="56"/>
      <c r="H2" s="57"/>
      <c r="J2" s="26" t="s">
        <v>17</v>
      </c>
      <c r="K2" s="29"/>
      <c r="L2" s="29"/>
      <c r="M2" s="30"/>
      <c r="N2" s="31"/>
      <c r="O2" s="28"/>
      <c r="P2" s="28"/>
    </row>
    <row r="3" spans="1:27" ht="15.75" x14ac:dyDescent="0.25">
      <c r="A3" s="58"/>
      <c r="B3" s="83"/>
      <c r="C3" s="59"/>
      <c r="D3" s="59"/>
      <c r="E3" s="99"/>
      <c r="F3" s="60"/>
      <c r="G3" s="61"/>
      <c r="H3" s="62"/>
      <c r="J3" s="27" t="s">
        <v>18</v>
      </c>
      <c r="K3" s="29"/>
      <c r="L3" s="29"/>
      <c r="M3" s="32"/>
      <c r="N3" s="33"/>
      <c r="O3" s="34"/>
      <c r="P3" s="35"/>
    </row>
    <row r="4" spans="1:27" ht="15" x14ac:dyDescent="0.25">
      <c r="A4" s="21" t="s">
        <v>1</v>
      </c>
      <c r="B4" s="94"/>
      <c r="C4" s="95"/>
      <c r="D4" s="95"/>
      <c r="E4" s="96"/>
      <c r="F4" s="91" t="s">
        <v>2</v>
      </c>
      <c r="G4" s="92"/>
      <c r="H4" s="1"/>
      <c r="J4" s="25"/>
      <c r="K4" s="20"/>
      <c r="L4" s="20"/>
      <c r="M4" s="14"/>
      <c r="N4" s="15"/>
    </row>
    <row r="5" spans="1:27" ht="15" x14ac:dyDescent="0.25">
      <c r="A5" s="21" t="s">
        <v>43</v>
      </c>
      <c r="B5" s="94"/>
      <c r="C5" s="95"/>
      <c r="D5" s="95"/>
      <c r="E5" s="96"/>
      <c r="F5" s="91" t="s">
        <v>3</v>
      </c>
      <c r="G5" s="92"/>
      <c r="H5" s="1"/>
      <c r="J5" s="26" t="s">
        <v>19</v>
      </c>
      <c r="K5" s="19"/>
      <c r="L5" s="19"/>
      <c r="M5" s="14"/>
      <c r="N5" s="15"/>
    </row>
    <row r="6" spans="1:27" ht="15" x14ac:dyDescent="0.25">
      <c r="A6" s="21" t="s">
        <v>4</v>
      </c>
      <c r="B6" s="94"/>
      <c r="C6" s="95"/>
      <c r="D6" s="95"/>
      <c r="E6" s="96"/>
      <c r="F6" s="91" t="s">
        <v>6</v>
      </c>
      <c r="G6" s="92"/>
      <c r="H6" s="1"/>
      <c r="J6" s="26" t="s">
        <v>30</v>
      </c>
      <c r="K6" s="19"/>
      <c r="L6" s="19"/>
      <c r="M6" s="14"/>
      <c r="N6" s="15"/>
    </row>
    <row r="7" spans="1:27" ht="15" x14ac:dyDescent="0.25">
      <c r="A7" s="21" t="s">
        <v>5</v>
      </c>
      <c r="B7" s="94"/>
      <c r="C7" s="95"/>
      <c r="D7" s="95"/>
      <c r="E7" s="96"/>
      <c r="F7" s="91" t="s">
        <v>8</v>
      </c>
      <c r="G7" s="92"/>
      <c r="H7" s="1"/>
    </row>
    <row r="8" spans="1:27" ht="15" x14ac:dyDescent="0.25">
      <c r="A8" s="21" t="s">
        <v>7</v>
      </c>
      <c r="B8" s="94"/>
      <c r="C8" s="95"/>
      <c r="D8" s="95"/>
      <c r="E8" s="96"/>
      <c r="F8" s="93"/>
      <c r="G8" s="92"/>
      <c r="H8" s="2"/>
    </row>
    <row r="9" spans="1:27" ht="15" x14ac:dyDescent="0.25">
      <c r="A9" s="78"/>
      <c r="B9" s="84"/>
      <c r="C9" s="77"/>
      <c r="D9" s="77"/>
      <c r="E9" s="77"/>
      <c r="F9" s="77"/>
      <c r="G9" s="77"/>
      <c r="H9" s="77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ht="15" x14ac:dyDescent="0.25">
      <c r="A10" s="40" t="s">
        <v>9</v>
      </c>
      <c r="B10" s="85" t="s">
        <v>31</v>
      </c>
      <c r="C10" s="41" t="s">
        <v>10</v>
      </c>
      <c r="D10" s="41" t="s">
        <v>11</v>
      </c>
      <c r="E10" s="42" t="s">
        <v>12</v>
      </c>
      <c r="F10" s="43" t="s">
        <v>13</v>
      </c>
      <c r="G10" s="42" t="s">
        <v>14</v>
      </c>
      <c r="H10" s="42" t="s">
        <v>15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1:27" s="37" customFormat="1" ht="15" x14ac:dyDescent="0.25">
      <c r="A11" s="75">
        <f>'May 2026'!A53+1</f>
        <v>46174</v>
      </c>
      <c r="B11" s="79">
        <f>WEEKNUM(A11, 2)</f>
        <v>23</v>
      </c>
      <c r="C11" s="71"/>
      <c r="D11" s="71"/>
      <c r="E11" s="76"/>
      <c r="F11" s="73"/>
      <c r="G11" s="73"/>
      <c r="H11" s="73">
        <f t="shared" ref="H11" si="0">SUM(F11:G11)</f>
        <v>0</v>
      </c>
    </row>
    <row r="12" spans="1:27" s="37" customFormat="1" ht="15" x14ac:dyDescent="0.25">
      <c r="A12" s="70">
        <f>A11+1</f>
        <v>46175</v>
      </c>
      <c r="B12" s="79">
        <f t="shared" ref="B12:B15" si="1">WEEKNUM(A12, 2)</f>
        <v>23</v>
      </c>
      <c r="C12" s="71"/>
      <c r="D12" s="71"/>
      <c r="E12" s="72"/>
      <c r="F12" s="73"/>
      <c r="G12" s="73"/>
      <c r="H12" s="73">
        <f>SUM(F12:G12)</f>
        <v>0</v>
      </c>
    </row>
    <row r="13" spans="1:27" s="37" customFormat="1" ht="15" x14ac:dyDescent="0.25">
      <c r="A13" s="70">
        <f>A12+1</f>
        <v>46176</v>
      </c>
      <c r="B13" s="79">
        <f t="shared" si="1"/>
        <v>23</v>
      </c>
      <c r="C13" s="71"/>
      <c r="D13" s="71"/>
      <c r="E13" s="72"/>
      <c r="F13" s="73"/>
      <c r="G13" s="73"/>
      <c r="H13" s="73">
        <f t="shared" ref="H13:H15" si="2">SUM(F13:G13)</f>
        <v>0</v>
      </c>
    </row>
    <row r="14" spans="1:27" s="37" customFormat="1" ht="15" x14ac:dyDescent="0.25">
      <c r="A14" s="70">
        <f t="shared" ref="A14" si="3">A13+1</f>
        <v>46177</v>
      </c>
      <c r="B14" s="79">
        <f t="shared" si="1"/>
        <v>23</v>
      </c>
      <c r="C14" s="71"/>
      <c r="D14" s="71"/>
      <c r="E14" s="72"/>
      <c r="F14" s="73"/>
      <c r="G14" s="73"/>
      <c r="H14" s="73">
        <f t="shared" si="2"/>
        <v>0</v>
      </c>
    </row>
    <row r="15" spans="1:27" ht="15.75" customHeight="1" x14ac:dyDescent="0.25">
      <c r="A15" s="70">
        <f>A14+1</f>
        <v>46178</v>
      </c>
      <c r="B15" s="79">
        <f t="shared" si="1"/>
        <v>23</v>
      </c>
      <c r="C15" s="71"/>
      <c r="D15" s="71"/>
      <c r="E15" s="72"/>
      <c r="F15" s="73"/>
      <c r="G15" s="73"/>
      <c r="H15" s="73">
        <f t="shared" si="2"/>
        <v>0</v>
      </c>
    </row>
    <row r="16" spans="1:27" ht="15.75" customHeight="1" x14ac:dyDescent="0.25">
      <c r="A16" s="70">
        <f>A15+1</f>
        <v>46179</v>
      </c>
      <c r="B16" s="79">
        <f>WEEKNUM(A16, 2)</f>
        <v>23</v>
      </c>
      <c r="C16" s="71"/>
      <c r="D16" s="71"/>
      <c r="E16" s="74"/>
      <c r="F16" s="73"/>
      <c r="G16" s="73"/>
      <c r="H16" s="73">
        <f>SUM(F16:G16)</f>
        <v>0</v>
      </c>
    </row>
    <row r="17" spans="1:27" ht="15.75" customHeight="1" x14ac:dyDescent="0.25">
      <c r="A17" s="70">
        <f>A16+1</f>
        <v>46180</v>
      </c>
      <c r="B17" s="79">
        <f t="shared" ref="B17:B25" si="4">WEEKNUM(A17, 2)</f>
        <v>23</v>
      </c>
      <c r="C17" s="71"/>
      <c r="D17" s="71"/>
      <c r="E17" s="72"/>
      <c r="F17" s="73"/>
      <c r="G17" s="73"/>
      <c r="H17" s="73">
        <f>SUM(F17:G17)</f>
        <v>0</v>
      </c>
    </row>
    <row r="18" spans="1:27" s="28" customFormat="1" ht="15.75" customHeight="1" x14ac:dyDescent="0.2">
      <c r="A18" s="44" t="str">
        <f>"Total of Week "&amp;RIGHT(B17,2)</f>
        <v>Total of Week 23</v>
      </c>
      <c r="B18" s="80"/>
      <c r="C18" s="45"/>
      <c r="D18" s="45"/>
      <c r="E18" s="63"/>
      <c r="F18" s="46">
        <f ca="1">SUMIF($B:$E,RIGHT($A18,2),F:F)</f>
        <v>0</v>
      </c>
      <c r="G18" s="46">
        <f ca="1">SUMIF($B:$E,RIGHT($A18,2),G:G)</f>
        <v>0</v>
      </c>
      <c r="H18" s="47">
        <f ca="1">SUMIF($B:$E,RIGHT($A18,2),H:H)</f>
        <v>0</v>
      </c>
    </row>
    <row r="19" spans="1:27" ht="15.75" customHeight="1" x14ac:dyDescent="0.25">
      <c r="A19" s="22"/>
      <c r="B19" s="87"/>
      <c r="C19" s="5"/>
      <c r="D19" s="5"/>
      <c r="E19" s="65"/>
      <c r="F19" s="6"/>
      <c r="G19" s="5"/>
      <c r="H19" s="7"/>
    </row>
    <row r="20" spans="1:27" ht="15" x14ac:dyDescent="0.25">
      <c r="A20" s="40" t="s">
        <v>9</v>
      </c>
      <c r="B20" s="85" t="s">
        <v>31</v>
      </c>
      <c r="C20" s="41" t="s">
        <v>10</v>
      </c>
      <c r="D20" s="41" t="s">
        <v>11</v>
      </c>
      <c r="E20" s="42" t="s">
        <v>12</v>
      </c>
      <c r="F20" s="43" t="s">
        <v>13</v>
      </c>
      <c r="G20" s="42" t="s">
        <v>14</v>
      </c>
      <c r="H20" s="42" t="s">
        <v>15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spans="1:27" ht="15.75" customHeight="1" x14ac:dyDescent="0.25">
      <c r="A21" s="70">
        <f>A17+1</f>
        <v>46181</v>
      </c>
      <c r="B21" s="79">
        <f>WEEKNUM(A21, 2)</f>
        <v>24</v>
      </c>
      <c r="C21" s="71"/>
      <c r="D21" s="71"/>
      <c r="E21" s="74"/>
      <c r="F21" s="73"/>
      <c r="G21" s="73"/>
      <c r="H21" s="73">
        <f>SUM(F21:G21)</f>
        <v>0</v>
      </c>
    </row>
    <row r="22" spans="1:27" ht="15.75" customHeight="1" x14ac:dyDescent="0.25">
      <c r="A22" s="70">
        <f>A21+1</f>
        <v>46182</v>
      </c>
      <c r="B22" s="79">
        <f t="shared" si="4"/>
        <v>24</v>
      </c>
      <c r="C22" s="71"/>
      <c r="D22" s="71"/>
      <c r="E22" s="72"/>
      <c r="F22" s="73"/>
      <c r="G22" s="73"/>
      <c r="H22" s="73">
        <f t="shared" ref="H22:H25" si="5">SUM(F22:G22)</f>
        <v>0</v>
      </c>
    </row>
    <row r="23" spans="1:27" ht="15.75" customHeight="1" x14ac:dyDescent="0.25">
      <c r="A23" s="70">
        <f>A22+1</f>
        <v>46183</v>
      </c>
      <c r="B23" s="79">
        <f t="shared" si="4"/>
        <v>24</v>
      </c>
      <c r="C23" s="71"/>
      <c r="D23" s="71"/>
      <c r="E23" s="74"/>
      <c r="F23" s="73"/>
      <c r="G23" s="73"/>
      <c r="H23" s="73">
        <f t="shared" si="5"/>
        <v>0</v>
      </c>
    </row>
    <row r="24" spans="1:27" ht="15.75" customHeight="1" x14ac:dyDescent="0.25">
      <c r="A24" s="70">
        <f t="shared" ref="A24" si="6">A23+1</f>
        <v>46184</v>
      </c>
      <c r="B24" s="79">
        <f>WEEKNUM(A24, 2)</f>
        <v>24</v>
      </c>
      <c r="C24" s="71"/>
      <c r="D24" s="71"/>
      <c r="E24" s="72"/>
      <c r="F24" s="73"/>
      <c r="G24" s="73"/>
      <c r="H24" s="73">
        <f t="shared" si="5"/>
        <v>0</v>
      </c>
    </row>
    <row r="25" spans="1:27" ht="15.75" customHeight="1" x14ac:dyDescent="0.25">
      <c r="A25" s="70">
        <f>A24+1</f>
        <v>46185</v>
      </c>
      <c r="B25" s="79">
        <f t="shared" si="4"/>
        <v>24</v>
      </c>
      <c r="C25" s="71"/>
      <c r="D25" s="71"/>
      <c r="E25" s="72"/>
      <c r="F25" s="73"/>
      <c r="G25" s="73"/>
      <c r="H25" s="73">
        <f t="shared" si="5"/>
        <v>0</v>
      </c>
    </row>
    <row r="26" spans="1:27" ht="15.75" customHeight="1" x14ac:dyDescent="0.25">
      <c r="A26" s="70">
        <f>A25+1</f>
        <v>46186</v>
      </c>
      <c r="B26" s="79">
        <f>WEEKNUM(A26, 2)</f>
        <v>24</v>
      </c>
      <c r="C26" s="71"/>
      <c r="D26" s="71"/>
      <c r="E26" s="74"/>
      <c r="F26" s="73"/>
      <c r="G26" s="73"/>
      <c r="H26" s="73">
        <f>SUM(F26:G26)</f>
        <v>0</v>
      </c>
    </row>
    <row r="27" spans="1:27" ht="15.75" customHeight="1" x14ac:dyDescent="0.25">
      <c r="A27" s="70">
        <f>A26+1</f>
        <v>46187</v>
      </c>
      <c r="B27" s="79">
        <f t="shared" ref="B27:B35" si="7">WEEKNUM(A27, 2)</f>
        <v>24</v>
      </c>
      <c r="C27" s="71"/>
      <c r="D27" s="71"/>
      <c r="E27" s="72"/>
      <c r="F27" s="73"/>
      <c r="G27" s="73"/>
      <c r="H27" s="73">
        <f>SUM(F27:G27)</f>
        <v>0</v>
      </c>
    </row>
    <row r="28" spans="1:27" s="28" customFormat="1" ht="15.75" customHeight="1" x14ac:dyDescent="0.2">
      <c r="A28" s="44" t="str">
        <f>"Total of Week "&amp;RIGHT(A18,2)+1</f>
        <v>Total of Week 24</v>
      </c>
      <c r="B28" s="80"/>
      <c r="C28" s="45"/>
      <c r="D28" s="45"/>
      <c r="E28" s="63"/>
      <c r="F28" s="46">
        <f ca="1">SUMIF($B:$E,RIGHT($A28,2),F:F)</f>
        <v>0</v>
      </c>
      <c r="G28" s="46">
        <f ca="1">SUMIF($B:$E,RIGHT($A28,2),G:G)</f>
        <v>0</v>
      </c>
      <c r="H28" s="47">
        <f ca="1">SUMIF($B:$E,RIGHT($A28,2),H:H)</f>
        <v>0</v>
      </c>
    </row>
    <row r="29" spans="1:27" ht="15.75" customHeight="1" x14ac:dyDescent="0.25">
      <c r="A29" s="22"/>
      <c r="B29" s="87"/>
      <c r="C29" s="5"/>
      <c r="D29" s="5"/>
      <c r="E29" s="65"/>
      <c r="F29" s="6"/>
      <c r="G29" s="5"/>
      <c r="H29" s="7"/>
    </row>
    <row r="30" spans="1:27" ht="15" x14ac:dyDescent="0.25">
      <c r="A30" s="40" t="s">
        <v>9</v>
      </c>
      <c r="B30" s="85" t="s">
        <v>31</v>
      </c>
      <c r="C30" s="41" t="s">
        <v>10</v>
      </c>
      <c r="D30" s="41" t="s">
        <v>11</v>
      </c>
      <c r="E30" s="42" t="s">
        <v>12</v>
      </c>
      <c r="F30" s="43" t="s">
        <v>13</v>
      </c>
      <c r="G30" s="42" t="s">
        <v>14</v>
      </c>
      <c r="H30" s="42" t="s">
        <v>15</v>
      </c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spans="1:27" ht="15.75" customHeight="1" x14ac:dyDescent="0.25">
      <c r="A31" s="70">
        <f>A27+1</f>
        <v>46188</v>
      </c>
      <c r="B31" s="79">
        <f t="shared" si="7"/>
        <v>25</v>
      </c>
      <c r="C31" s="71"/>
      <c r="D31" s="71"/>
      <c r="E31" s="74"/>
      <c r="F31" s="73"/>
      <c r="G31" s="73"/>
      <c r="H31" s="73">
        <f t="shared" ref="H31:H35" si="8">SUM(F31:G31)</f>
        <v>0</v>
      </c>
    </row>
    <row r="32" spans="1:27" ht="15.75" customHeight="1" x14ac:dyDescent="0.25">
      <c r="A32" s="70">
        <f>A31+1</f>
        <v>46189</v>
      </c>
      <c r="B32" s="79">
        <f t="shared" si="7"/>
        <v>25</v>
      </c>
      <c r="C32" s="71"/>
      <c r="D32" s="71"/>
      <c r="E32" s="72"/>
      <c r="F32" s="73"/>
      <c r="G32" s="73"/>
      <c r="H32" s="73">
        <f t="shared" si="8"/>
        <v>0</v>
      </c>
    </row>
    <row r="33" spans="1:27" ht="15.75" customHeight="1" x14ac:dyDescent="0.25">
      <c r="A33" s="70">
        <f>A32+1</f>
        <v>46190</v>
      </c>
      <c r="B33" s="79">
        <f t="shared" si="7"/>
        <v>25</v>
      </c>
      <c r="C33" s="71"/>
      <c r="D33" s="71"/>
      <c r="E33" s="74"/>
      <c r="F33" s="73"/>
      <c r="G33" s="73"/>
      <c r="H33" s="73">
        <f t="shared" si="8"/>
        <v>0</v>
      </c>
    </row>
    <row r="34" spans="1:27" ht="15.75" customHeight="1" x14ac:dyDescent="0.25">
      <c r="A34" s="70">
        <f t="shared" ref="A34" si="9">A33+1</f>
        <v>46191</v>
      </c>
      <c r="B34" s="79">
        <f>WEEKNUM(A34, 2)</f>
        <v>25</v>
      </c>
      <c r="C34" s="71"/>
      <c r="D34" s="71"/>
      <c r="E34" s="72"/>
      <c r="F34" s="73"/>
      <c r="G34" s="73"/>
      <c r="H34" s="73">
        <f t="shared" si="8"/>
        <v>0</v>
      </c>
    </row>
    <row r="35" spans="1:27" ht="15.75" customHeight="1" x14ac:dyDescent="0.25">
      <c r="A35" s="70">
        <f>A34+1</f>
        <v>46192</v>
      </c>
      <c r="B35" s="79">
        <f t="shared" si="7"/>
        <v>25</v>
      </c>
      <c r="C35" s="71"/>
      <c r="D35" s="71"/>
      <c r="E35" s="72"/>
      <c r="F35" s="73"/>
      <c r="G35" s="73"/>
      <c r="H35" s="73">
        <f t="shared" si="8"/>
        <v>0</v>
      </c>
    </row>
    <row r="36" spans="1:27" ht="15.75" customHeight="1" x14ac:dyDescent="0.25">
      <c r="A36" s="70">
        <f>A35+1</f>
        <v>46193</v>
      </c>
      <c r="B36" s="79">
        <f>WEEKNUM(A36, 2)</f>
        <v>25</v>
      </c>
      <c r="C36" s="71"/>
      <c r="D36" s="71"/>
      <c r="E36" s="74"/>
      <c r="F36" s="73"/>
      <c r="G36" s="73"/>
      <c r="H36" s="73">
        <f>SUM(F36:G36)</f>
        <v>0</v>
      </c>
    </row>
    <row r="37" spans="1:27" ht="15.75" customHeight="1" x14ac:dyDescent="0.25">
      <c r="A37" s="70">
        <f>A36+1</f>
        <v>46194</v>
      </c>
      <c r="B37" s="79">
        <f t="shared" ref="B37:B43" si="10">WEEKNUM(A37, 2)</f>
        <v>25</v>
      </c>
      <c r="C37" s="71"/>
      <c r="D37" s="71"/>
      <c r="E37" s="72"/>
      <c r="F37" s="73"/>
      <c r="G37" s="73"/>
      <c r="H37" s="73">
        <f>SUM(F37:G37)</f>
        <v>0</v>
      </c>
    </row>
    <row r="38" spans="1:27" s="28" customFormat="1" ht="15.75" customHeight="1" x14ac:dyDescent="0.2">
      <c r="A38" s="44" t="str">
        <f>"Total of Week "&amp;RIGHT(A28,2)+1</f>
        <v>Total of Week 25</v>
      </c>
      <c r="B38" s="80"/>
      <c r="C38" s="45"/>
      <c r="D38" s="45"/>
      <c r="E38" s="63"/>
      <c r="F38" s="46">
        <f ca="1">SUMIF($B:$E,RIGHT($A38,2),F:F)</f>
        <v>0</v>
      </c>
      <c r="G38" s="46">
        <f ca="1">SUMIF($B:$E,RIGHT($A38,2),G:G)</f>
        <v>0</v>
      </c>
      <c r="H38" s="47">
        <f ca="1">SUMIF($B:$E,RIGHT($A38,2),H:H)</f>
        <v>0</v>
      </c>
    </row>
    <row r="39" spans="1:27" ht="15.75" customHeight="1" x14ac:dyDescent="0.25">
      <c r="A39" s="22"/>
      <c r="B39" s="87"/>
      <c r="C39" s="5"/>
      <c r="D39" s="5"/>
      <c r="E39" s="65"/>
      <c r="F39" s="6"/>
      <c r="G39" s="5"/>
      <c r="H39" s="7"/>
    </row>
    <row r="40" spans="1:27" ht="15" x14ac:dyDescent="0.25">
      <c r="A40" s="40" t="s">
        <v>9</v>
      </c>
      <c r="B40" s="85" t="s">
        <v>31</v>
      </c>
      <c r="C40" s="41" t="s">
        <v>10</v>
      </c>
      <c r="D40" s="41" t="s">
        <v>11</v>
      </c>
      <c r="E40" s="42" t="s">
        <v>12</v>
      </c>
      <c r="F40" s="43" t="s">
        <v>13</v>
      </c>
      <c r="G40" s="42" t="s">
        <v>14</v>
      </c>
      <c r="H40" s="42" t="s">
        <v>15</v>
      </c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spans="1:27" ht="15.75" customHeight="1" x14ac:dyDescent="0.25">
      <c r="A41" s="70">
        <f>A37+1</f>
        <v>46195</v>
      </c>
      <c r="B41" s="79">
        <f t="shared" si="10"/>
        <v>26</v>
      </c>
      <c r="C41" s="71"/>
      <c r="D41" s="71"/>
      <c r="E41" s="74"/>
      <c r="F41" s="73"/>
      <c r="G41" s="73"/>
      <c r="H41" s="73">
        <f t="shared" ref="H41:H44" si="11">SUM(F41:G41)</f>
        <v>0</v>
      </c>
    </row>
    <row r="42" spans="1:27" ht="15.75" customHeight="1" x14ac:dyDescent="0.25">
      <c r="A42" s="70">
        <f>A41+1</f>
        <v>46196</v>
      </c>
      <c r="B42" s="79">
        <f t="shared" si="10"/>
        <v>26</v>
      </c>
      <c r="C42" s="71"/>
      <c r="D42" s="71"/>
      <c r="E42" s="72"/>
      <c r="F42" s="73"/>
      <c r="G42" s="73"/>
      <c r="H42" s="73">
        <f t="shared" si="11"/>
        <v>0</v>
      </c>
    </row>
    <row r="43" spans="1:27" ht="15.75" customHeight="1" x14ac:dyDescent="0.25">
      <c r="A43" s="70">
        <f>A42+1</f>
        <v>46197</v>
      </c>
      <c r="B43" s="79">
        <f t="shared" si="10"/>
        <v>26</v>
      </c>
      <c r="C43" s="71"/>
      <c r="D43" s="71"/>
      <c r="E43" s="74"/>
      <c r="F43" s="73"/>
      <c r="G43" s="73"/>
      <c r="H43" s="73">
        <f t="shared" si="11"/>
        <v>0</v>
      </c>
    </row>
    <row r="44" spans="1:27" ht="15.75" customHeight="1" x14ac:dyDescent="0.25">
      <c r="A44" s="70">
        <f t="shared" ref="A44:A47" si="12">A43+1</f>
        <v>46198</v>
      </c>
      <c r="B44" s="79">
        <f>WEEKNUM(A44, 2)</f>
        <v>26</v>
      </c>
      <c r="C44" s="71"/>
      <c r="D44" s="71"/>
      <c r="E44" s="72"/>
      <c r="F44" s="73"/>
      <c r="G44" s="73"/>
      <c r="H44" s="73">
        <f t="shared" si="11"/>
        <v>0</v>
      </c>
    </row>
    <row r="45" spans="1:27" ht="15.75" customHeight="1" x14ac:dyDescent="0.25">
      <c r="A45" s="70">
        <f t="shared" si="12"/>
        <v>46199</v>
      </c>
      <c r="B45" s="79">
        <f>WEEKNUM(A45, 2)</f>
        <v>26</v>
      </c>
      <c r="C45" s="71"/>
      <c r="D45" s="71"/>
      <c r="E45" s="74"/>
      <c r="F45" s="73"/>
      <c r="G45" s="73"/>
      <c r="H45" s="73">
        <f>SUM(F45:G45)</f>
        <v>0</v>
      </c>
    </row>
    <row r="46" spans="1:27" ht="15.75" customHeight="1" x14ac:dyDescent="0.25">
      <c r="A46" s="70">
        <f t="shared" si="12"/>
        <v>46200</v>
      </c>
      <c r="B46" s="79">
        <f t="shared" ref="B46:B52" si="13">WEEKNUM(A46, 2)</f>
        <v>26</v>
      </c>
      <c r="C46" s="71"/>
      <c r="D46" s="71"/>
      <c r="E46" s="72"/>
      <c r="F46" s="73"/>
      <c r="G46" s="73"/>
      <c r="H46" s="73">
        <f>SUM(F46:G46)</f>
        <v>0</v>
      </c>
    </row>
    <row r="47" spans="1:27" ht="15.75" customHeight="1" x14ac:dyDescent="0.25">
      <c r="A47" s="70">
        <f t="shared" si="12"/>
        <v>46201</v>
      </c>
      <c r="B47" s="79">
        <f t="shared" si="13"/>
        <v>26</v>
      </c>
      <c r="C47" s="71"/>
      <c r="D47" s="71"/>
      <c r="E47" s="74"/>
      <c r="F47" s="73"/>
      <c r="G47" s="73"/>
      <c r="H47" s="73">
        <f t="shared" ref="H47:H52" si="14">SUM(F47:G47)</f>
        <v>0</v>
      </c>
    </row>
    <row r="48" spans="1:27" s="28" customFormat="1" ht="15.75" customHeight="1" x14ac:dyDescent="0.2">
      <c r="A48" s="44" t="str">
        <f>"Total of Week "&amp;RIGHT(A38,2)+1</f>
        <v>Total of Week 26</v>
      </c>
      <c r="B48" s="80"/>
      <c r="C48" s="45"/>
      <c r="D48" s="45"/>
      <c r="E48" s="63"/>
      <c r="F48" s="46">
        <f ca="1">SUMIF($B:$E,RIGHT($A48,2),F:F)</f>
        <v>0</v>
      </c>
      <c r="G48" s="46">
        <f ca="1">SUMIF($B:$E,RIGHT($A48,2),G:G)</f>
        <v>0</v>
      </c>
      <c r="H48" s="47">
        <f ca="1">SUMIF($B:$E,RIGHT($A48,2),H:H)</f>
        <v>0</v>
      </c>
    </row>
    <row r="49" spans="1:27" ht="15.75" customHeight="1" x14ac:dyDescent="0.25">
      <c r="A49" s="22"/>
      <c r="B49" s="87"/>
      <c r="C49" s="5"/>
      <c r="D49" s="5"/>
      <c r="E49" s="65"/>
      <c r="F49" s="6"/>
      <c r="G49" s="5"/>
      <c r="H49" s="7"/>
    </row>
    <row r="50" spans="1:27" ht="15" x14ac:dyDescent="0.25">
      <c r="A50" s="40" t="s">
        <v>9</v>
      </c>
      <c r="B50" s="85" t="s">
        <v>31</v>
      </c>
      <c r="C50" s="41" t="s">
        <v>10</v>
      </c>
      <c r="D50" s="41" t="s">
        <v>11</v>
      </c>
      <c r="E50" s="42" t="s">
        <v>12</v>
      </c>
      <c r="F50" s="43" t="s">
        <v>13</v>
      </c>
      <c r="G50" s="42" t="s">
        <v>14</v>
      </c>
      <c r="H50" s="42" t="s">
        <v>15</v>
      </c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spans="1:27" ht="15.75" customHeight="1" x14ac:dyDescent="0.25">
      <c r="A51" s="70">
        <f>A47+1</f>
        <v>46202</v>
      </c>
      <c r="B51" s="79">
        <f>WEEKNUM(A51, 2)</f>
        <v>27</v>
      </c>
      <c r="C51" s="71"/>
      <c r="D51" s="71"/>
      <c r="E51" s="72"/>
      <c r="F51" s="73"/>
      <c r="G51" s="73"/>
      <c r="H51" s="73">
        <f>SUM(F51:G51)</f>
        <v>0</v>
      </c>
    </row>
    <row r="52" spans="1:27" ht="15.75" customHeight="1" x14ac:dyDescent="0.25">
      <c r="A52" s="70">
        <f>A51+1</f>
        <v>46203</v>
      </c>
      <c r="B52" s="79">
        <f t="shared" si="13"/>
        <v>27</v>
      </c>
      <c r="C52" s="71"/>
      <c r="D52" s="71"/>
      <c r="E52" s="72"/>
      <c r="F52" s="73"/>
      <c r="G52" s="73"/>
      <c r="H52" s="73">
        <f t="shared" si="14"/>
        <v>0</v>
      </c>
    </row>
    <row r="53" spans="1:27" s="28" customFormat="1" ht="15.75" customHeight="1" x14ac:dyDescent="0.2">
      <c r="A53" s="44" t="str">
        <f>"Total of Week "&amp;RIGHT(A48,2)+1</f>
        <v>Total of Week 27</v>
      </c>
      <c r="B53" s="80"/>
      <c r="C53" s="45"/>
      <c r="D53" s="45"/>
      <c r="E53" s="63"/>
      <c r="F53" s="46">
        <f ca="1">SUMIF($B:$E,RIGHT($A53,2),F:F)</f>
        <v>0</v>
      </c>
      <c r="G53" s="46">
        <f ca="1">SUMIF($B:$E,RIGHT($A53,2),G:G)</f>
        <v>0</v>
      </c>
      <c r="H53" s="47">
        <f ca="1">SUMIF($B:$E,RIGHT($A53,2),H:H)</f>
        <v>0</v>
      </c>
    </row>
    <row r="54" spans="1:27" ht="12" customHeight="1" x14ac:dyDescent="0.25">
      <c r="A54" s="23"/>
      <c r="B54" s="84"/>
      <c r="C54" s="8"/>
      <c r="D54" s="8"/>
      <c r="E54" s="66"/>
      <c r="F54" s="9"/>
      <c r="G54" s="9"/>
      <c r="H54" s="10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 ht="15.75" customHeight="1" x14ac:dyDescent="0.25">
      <c r="A55" s="24" t="s">
        <v>16</v>
      </c>
      <c r="B55" s="88"/>
      <c r="C55" s="11"/>
      <c r="D55" s="11"/>
      <c r="E55" s="67"/>
      <c r="F55" s="12"/>
      <c r="G55" s="11"/>
      <c r="H55" s="13">
        <f ca="1">SUMIF(A7:A54,"*Total of week*",H7:H54)</f>
        <v>0</v>
      </c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1:27" ht="15.75" customHeight="1" x14ac:dyDescent="0.25">
      <c r="E56" s="4"/>
      <c r="F56" s="15"/>
      <c r="O56" s="3"/>
      <c r="P56" s="3"/>
      <c r="R56" s="3"/>
    </row>
    <row r="57" spans="1:27" ht="15.75" customHeight="1" x14ac:dyDescent="0.25">
      <c r="E57" s="4"/>
      <c r="F57" s="15"/>
      <c r="O57" s="3"/>
    </row>
    <row r="58" spans="1:27" ht="15.75" customHeight="1" x14ac:dyDescent="0.25">
      <c r="A58" s="26"/>
      <c r="B58" s="90"/>
      <c r="C58" s="17"/>
      <c r="D58" s="16"/>
      <c r="E58" s="4"/>
      <c r="F58" s="15"/>
    </row>
    <row r="59" spans="1:27" ht="15.75" customHeight="1" x14ac:dyDescent="0.25">
      <c r="A59" s="26"/>
      <c r="B59" s="90"/>
      <c r="C59" s="16"/>
      <c r="D59" s="16"/>
      <c r="E59" s="68"/>
      <c r="F59" s="18"/>
      <c r="G59" s="16"/>
      <c r="H59" s="3"/>
    </row>
    <row r="60" spans="1:27" ht="15.75" customHeight="1" x14ac:dyDescent="0.25">
      <c r="A60" s="26"/>
      <c r="B60" s="90"/>
      <c r="C60" s="19"/>
      <c r="D60" s="19"/>
      <c r="E60" s="4"/>
      <c r="F60" s="15"/>
    </row>
    <row r="61" spans="1:27" s="28" customFormat="1" ht="15.75" customHeight="1" x14ac:dyDescent="0.25">
      <c r="A61" s="36"/>
      <c r="B61" s="86"/>
      <c r="C61" s="29"/>
      <c r="D61" s="29"/>
      <c r="E61" s="64"/>
      <c r="F61" s="33"/>
      <c r="G61" s="34"/>
      <c r="H61" s="35"/>
    </row>
    <row r="62" spans="1:27" ht="15.75" customHeight="1" x14ac:dyDescent="0.25">
      <c r="C62" s="20"/>
      <c r="D62" s="20"/>
      <c r="E62" s="4"/>
      <c r="F62" s="15"/>
    </row>
    <row r="63" spans="1:27" ht="15.75" customHeight="1" x14ac:dyDescent="0.25">
      <c r="A63" s="26"/>
      <c r="B63" s="90"/>
      <c r="C63" s="19"/>
      <c r="D63" s="19"/>
      <c r="E63" s="4"/>
      <c r="F63" s="15"/>
    </row>
    <row r="64" spans="1:27" ht="15.75" customHeight="1" x14ac:dyDescent="0.25">
      <c r="A64" s="26"/>
      <c r="B64" s="90"/>
      <c r="C64" s="19"/>
      <c r="D64" s="19"/>
      <c r="E64" s="4"/>
      <c r="F64" s="15"/>
    </row>
    <row r="65" spans="2:27" ht="15.75" customHeight="1" x14ac:dyDescent="0.2"/>
    <row r="66" spans="2:27" ht="15.75" customHeight="1" x14ac:dyDescent="0.2"/>
    <row r="67" spans="2:27" ht="15.75" customHeight="1" x14ac:dyDescent="0.2"/>
    <row r="68" spans="2:27" ht="15.75" customHeight="1" x14ac:dyDescent="0.2"/>
    <row r="69" spans="2:27" ht="15.75" customHeight="1" x14ac:dyDescent="0.2"/>
    <row r="70" spans="2:27" ht="15.75" customHeight="1" x14ac:dyDescent="0.2"/>
    <row r="71" spans="2:27" ht="15.75" customHeight="1" x14ac:dyDescent="0.2"/>
    <row r="72" spans="2:27" ht="15.75" customHeight="1" x14ac:dyDescent="0.2"/>
    <row r="73" spans="2:27" ht="15.75" customHeight="1" x14ac:dyDescent="0.2"/>
    <row r="74" spans="2:27" ht="15.75" customHeight="1" x14ac:dyDescent="0.2"/>
    <row r="75" spans="2:27" ht="15.75" customHeight="1" x14ac:dyDescent="0.2"/>
    <row r="76" spans="2:27" ht="15.75" customHeight="1" x14ac:dyDescent="0.2"/>
    <row r="77" spans="2:27" ht="15.75" customHeight="1" x14ac:dyDescent="0.2"/>
    <row r="78" spans="2:27" ht="15.75" customHeight="1" x14ac:dyDescent="0.2"/>
    <row r="79" spans="2:27" ht="15.75" customHeight="1" x14ac:dyDescent="0.2"/>
    <row r="80" spans="2:27" s="25" customFormat="1" ht="15.75" customHeight="1" x14ac:dyDescent="0.2">
      <c r="B80" s="89"/>
      <c r="C80"/>
      <c r="D80"/>
      <c r="E80" s="69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</row>
    <row r="81" spans="2:27" s="25" customFormat="1" ht="15.75" customHeight="1" x14ac:dyDescent="0.2">
      <c r="B81" s="89"/>
      <c r="C81"/>
      <c r="D81"/>
      <c r="E81" s="69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</row>
    <row r="82" spans="2:27" s="25" customFormat="1" ht="15.75" customHeight="1" x14ac:dyDescent="0.2">
      <c r="B82" s="89"/>
      <c r="C82"/>
      <c r="D82"/>
      <c r="E82" s="69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2:27" s="25" customFormat="1" ht="15.75" customHeight="1" x14ac:dyDescent="0.2">
      <c r="B83" s="89"/>
      <c r="C83"/>
      <c r="D83"/>
      <c r="E83" s="69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</row>
    <row r="84" spans="2:27" s="25" customFormat="1" ht="15.75" customHeight="1" x14ac:dyDescent="0.2">
      <c r="B84" s="89"/>
      <c r="C84"/>
      <c r="D84"/>
      <c r="E84" s="69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</row>
    <row r="85" spans="2:27" s="25" customFormat="1" ht="15.75" customHeight="1" x14ac:dyDescent="0.2">
      <c r="B85" s="89"/>
      <c r="C85"/>
      <c r="D85"/>
      <c r="E85" s="69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</row>
    <row r="86" spans="2:27" s="25" customFormat="1" ht="15.75" customHeight="1" x14ac:dyDescent="0.2">
      <c r="B86" s="89"/>
      <c r="C86"/>
      <c r="D86"/>
      <c r="E86" s="69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</row>
    <row r="87" spans="2:27" s="25" customFormat="1" ht="15.75" customHeight="1" x14ac:dyDescent="0.2">
      <c r="B87" s="89"/>
      <c r="C87"/>
      <c r="D87"/>
      <c r="E87" s="69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</row>
    <row r="88" spans="2:27" s="25" customFormat="1" ht="15.75" customHeight="1" x14ac:dyDescent="0.2">
      <c r="B88" s="89"/>
      <c r="C88"/>
      <c r="D88"/>
      <c r="E88" s="69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</row>
    <row r="89" spans="2:27" s="25" customFormat="1" ht="15.75" customHeight="1" x14ac:dyDescent="0.2">
      <c r="B89" s="89"/>
      <c r="C89"/>
      <c r="D89"/>
      <c r="E89" s="6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</row>
    <row r="90" spans="2:27" s="25" customFormat="1" ht="15.75" customHeight="1" x14ac:dyDescent="0.2">
      <c r="B90" s="89"/>
      <c r="C90"/>
      <c r="D90"/>
      <c r="E90" s="69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2:27" s="25" customFormat="1" ht="15.75" customHeight="1" x14ac:dyDescent="0.2">
      <c r="B91" s="89"/>
      <c r="C91"/>
      <c r="D91"/>
      <c r="E91" s="69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</row>
    <row r="92" spans="2:27" s="25" customFormat="1" ht="15.75" customHeight="1" x14ac:dyDescent="0.2">
      <c r="B92" s="89"/>
      <c r="C92"/>
      <c r="D92"/>
      <c r="E92" s="69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2:27" s="25" customFormat="1" ht="15.75" customHeight="1" x14ac:dyDescent="0.2">
      <c r="B93" s="89"/>
      <c r="C93"/>
      <c r="D93"/>
      <c r="E93" s="69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</row>
    <row r="94" spans="2:27" s="25" customFormat="1" ht="15.75" customHeight="1" x14ac:dyDescent="0.2">
      <c r="B94" s="89"/>
      <c r="C94"/>
      <c r="D94"/>
      <c r="E94" s="69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</row>
    <row r="95" spans="2:27" s="25" customFormat="1" ht="15.75" customHeight="1" x14ac:dyDescent="0.2">
      <c r="B95" s="89"/>
      <c r="C95"/>
      <c r="D95"/>
      <c r="E95" s="69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</row>
    <row r="96" spans="2:27" s="25" customFormat="1" ht="15.75" customHeight="1" x14ac:dyDescent="0.2">
      <c r="B96" s="89"/>
      <c r="C96"/>
      <c r="D96"/>
      <c r="E96" s="69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</row>
    <row r="97" spans="2:27" s="25" customFormat="1" ht="15.75" customHeight="1" x14ac:dyDescent="0.2">
      <c r="B97" s="89"/>
      <c r="C97"/>
      <c r="D97"/>
      <c r="E97" s="69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</row>
    <row r="98" spans="2:27" s="25" customFormat="1" ht="15.75" customHeight="1" x14ac:dyDescent="0.2">
      <c r="B98" s="89"/>
      <c r="C98"/>
      <c r="D98"/>
      <c r="E98" s="69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</row>
    <row r="99" spans="2:27" s="25" customFormat="1" ht="15.75" customHeight="1" x14ac:dyDescent="0.2">
      <c r="B99" s="89"/>
      <c r="C99"/>
      <c r="D99"/>
      <c r="E99" s="6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</row>
    <row r="100" spans="2:27" s="25" customFormat="1" ht="15.75" customHeight="1" x14ac:dyDescent="0.2">
      <c r="B100" s="89"/>
      <c r="C100"/>
      <c r="D100"/>
      <c r="E100" s="69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</row>
    <row r="101" spans="2:27" s="25" customFormat="1" ht="15.75" customHeight="1" x14ac:dyDescent="0.2">
      <c r="B101" s="89"/>
      <c r="C101"/>
      <c r="D101"/>
      <c r="E101" s="69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</row>
    <row r="102" spans="2:27" s="25" customFormat="1" ht="15.75" customHeight="1" x14ac:dyDescent="0.2">
      <c r="B102" s="89"/>
      <c r="C102"/>
      <c r="D102"/>
      <c r="E102" s="69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2:27" s="25" customFormat="1" ht="15.75" customHeight="1" x14ac:dyDescent="0.2">
      <c r="B103" s="89"/>
      <c r="C103"/>
      <c r="D103"/>
      <c r="E103" s="69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</row>
    <row r="104" spans="2:27" s="25" customFormat="1" ht="15.75" customHeight="1" x14ac:dyDescent="0.2">
      <c r="B104" s="89"/>
      <c r="C104"/>
      <c r="D104"/>
      <c r="E104" s="69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</row>
    <row r="105" spans="2:27" s="25" customFormat="1" ht="15.75" customHeight="1" x14ac:dyDescent="0.2">
      <c r="B105" s="89"/>
      <c r="C105"/>
      <c r="D105"/>
      <c r="E105" s="69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</row>
    <row r="106" spans="2:27" s="25" customFormat="1" ht="15.75" customHeight="1" x14ac:dyDescent="0.2">
      <c r="B106" s="89"/>
      <c r="C106"/>
      <c r="D106"/>
      <c r="E106" s="69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</row>
    <row r="107" spans="2:27" s="25" customFormat="1" ht="15.75" customHeight="1" x14ac:dyDescent="0.2">
      <c r="B107" s="89"/>
      <c r="C107"/>
      <c r="D107"/>
      <c r="E107" s="69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</row>
    <row r="108" spans="2:27" s="25" customFormat="1" ht="15.75" customHeight="1" x14ac:dyDescent="0.2">
      <c r="B108" s="89"/>
      <c r="C108"/>
      <c r="D108"/>
      <c r="E108" s="69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</row>
    <row r="109" spans="2:27" s="25" customFormat="1" ht="15.75" customHeight="1" x14ac:dyDescent="0.2">
      <c r="B109" s="89"/>
      <c r="C109"/>
      <c r="D109"/>
      <c r="E109" s="6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</row>
    <row r="110" spans="2:27" s="25" customFormat="1" ht="15.75" customHeight="1" x14ac:dyDescent="0.2">
      <c r="B110" s="89"/>
      <c r="C110"/>
      <c r="D110"/>
      <c r="E110" s="69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</row>
    <row r="111" spans="2:27" s="25" customFormat="1" ht="15.75" customHeight="1" x14ac:dyDescent="0.2">
      <c r="B111" s="89"/>
      <c r="C111"/>
      <c r="D111"/>
      <c r="E111" s="69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2:27" s="25" customFormat="1" ht="15.75" customHeight="1" x14ac:dyDescent="0.2">
      <c r="B112" s="89"/>
      <c r="C112"/>
      <c r="D112"/>
      <c r="E112" s="69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</row>
    <row r="113" spans="2:27" s="25" customFormat="1" ht="15.75" customHeight="1" x14ac:dyDescent="0.2">
      <c r="B113" s="89"/>
      <c r="C113"/>
      <c r="D113"/>
      <c r="E113" s="69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</row>
    <row r="114" spans="2:27" s="25" customFormat="1" ht="15.75" customHeight="1" x14ac:dyDescent="0.2">
      <c r="B114" s="89"/>
      <c r="C114"/>
      <c r="D114"/>
      <c r="E114" s="69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2:27" s="25" customFormat="1" ht="15.75" customHeight="1" x14ac:dyDescent="0.2">
      <c r="B115" s="89"/>
      <c r="C115"/>
      <c r="D115"/>
      <c r="E115" s="69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</row>
    <row r="116" spans="2:27" s="25" customFormat="1" ht="15.75" customHeight="1" x14ac:dyDescent="0.2">
      <c r="B116" s="89"/>
      <c r="C116"/>
      <c r="D116"/>
      <c r="E116" s="69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</row>
    <row r="117" spans="2:27" s="25" customFormat="1" ht="15.75" customHeight="1" x14ac:dyDescent="0.2">
      <c r="B117" s="89"/>
      <c r="C117"/>
      <c r="D117"/>
      <c r="E117" s="69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</row>
    <row r="118" spans="2:27" s="25" customFormat="1" ht="15.75" customHeight="1" x14ac:dyDescent="0.2">
      <c r="B118" s="89"/>
      <c r="C118"/>
      <c r="D118"/>
      <c r="E118" s="69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</row>
    <row r="119" spans="2:27" s="25" customFormat="1" ht="15.75" customHeight="1" x14ac:dyDescent="0.2">
      <c r="B119" s="89"/>
      <c r="C119"/>
      <c r="D119"/>
      <c r="E119" s="6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</row>
    <row r="120" spans="2:27" s="25" customFormat="1" ht="15.75" customHeight="1" x14ac:dyDescent="0.2">
      <c r="B120" s="89"/>
      <c r="C120"/>
      <c r="D120"/>
      <c r="E120" s="69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</row>
    <row r="121" spans="2:27" s="25" customFormat="1" ht="15.75" customHeight="1" x14ac:dyDescent="0.2">
      <c r="B121" s="89"/>
      <c r="C121"/>
      <c r="D121"/>
      <c r="E121" s="69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</row>
    <row r="122" spans="2:27" s="25" customFormat="1" ht="15.75" customHeight="1" x14ac:dyDescent="0.2">
      <c r="B122" s="89"/>
      <c r="C122"/>
      <c r="D122"/>
      <c r="E122" s="69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</row>
    <row r="123" spans="2:27" s="25" customFormat="1" ht="15.75" customHeight="1" x14ac:dyDescent="0.2">
      <c r="B123" s="89"/>
      <c r="C123"/>
      <c r="D123"/>
      <c r="E123" s="69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2:27" s="25" customFormat="1" ht="15.75" customHeight="1" x14ac:dyDescent="0.2">
      <c r="B124" s="89"/>
      <c r="C124"/>
      <c r="D124"/>
      <c r="E124" s="69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</row>
    <row r="125" spans="2:27" s="25" customFormat="1" ht="15.75" customHeight="1" x14ac:dyDescent="0.2">
      <c r="B125" s="89"/>
      <c r="C125"/>
      <c r="D125"/>
      <c r="E125" s="69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</row>
    <row r="126" spans="2:27" s="25" customFormat="1" ht="15.75" customHeight="1" x14ac:dyDescent="0.2">
      <c r="B126" s="89"/>
      <c r="C126"/>
      <c r="D126"/>
      <c r="E126" s="69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</row>
    <row r="127" spans="2:27" s="25" customFormat="1" ht="15.75" customHeight="1" x14ac:dyDescent="0.2">
      <c r="B127" s="89"/>
      <c r="C127"/>
      <c r="D127"/>
      <c r="E127" s="69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</row>
    <row r="128" spans="2:27" s="25" customFormat="1" ht="15.75" customHeight="1" x14ac:dyDescent="0.2">
      <c r="B128" s="89"/>
      <c r="C128"/>
      <c r="D128"/>
      <c r="E128" s="69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</row>
    <row r="129" spans="2:27" s="25" customFormat="1" ht="15.75" customHeight="1" x14ac:dyDescent="0.2">
      <c r="B129" s="89"/>
      <c r="C129"/>
      <c r="D129"/>
      <c r="E129" s="6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</row>
    <row r="130" spans="2:27" s="25" customFormat="1" ht="15.75" customHeight="1" x14ac:dyDescent="0.2">
      <c r="B130" s="89"/>
      <c r="C130"/>
      <c r="D130"/>
      <c r="E130" s="69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</row>
    <row r="131" spans="2:27" s="25" customFormat="1" ht="15.75" customHeight="1" x14ac:dyDescent="0.2">
      <c r="B131" s="89"/>
      <c r="C131"/>
      <c r="D131"/>
      <c r="E131" s="69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</row>
    <row r="132" spans="2:27" s="25" customFormat="1" ht="15.75" customHeight="1" x14ac:dyDescent="0.2">
      <c r="B132" s="89"/>
      <c r="C132"/>
      <c r="D132"/>
      <c r="E132" s="69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</row>
    <row r="133" spans="2:27" s="25" customFormat="1" ht="15.75" customHeight="1" x14ac:dyDescent="0.2">
      <c r="B133" s="89"/>
      <c r="C133"/>
      <c r="D133"/>
      <c r="E133" s="69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</row>
    <row r="134" spans="2:27" s="25" customFormat="1" ht="15.75" customHeight="1" x14ac:dyDescent="0.2">
      <c r="B134" s="89"/>
      <c r="C134"/>
      <c r="D134"/>
      <c r="E134" s="69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</row>
    <row r="135" spans="2:27" s="25" customFormat="1" ht="15.75" customHeight="1" x14ac:dyDescent="0.2">
      <c r="B135" s="89"/>
      <c r="C135"/>
      <c r="D135"/>
      <c r="E135" s="69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</row>
    <row r="136" spans="2:27" s="25" customFormat="1" ht="15.75" customHeight="1" x14ac:dyDescent="0.2">
      <c r="B136" s="89"/>
      <c r="C136"/>
      <c r="D136"/>
      <c r="E136" s="69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</row>
    <row r="137" spans="2:27" s="25" customFormat="1" ht="15.75" customHeight="1" x14ac:dyDescent="0.2">
      <c r="B137" s="89"/>
      <c r="C137"/>
      <c r="D137"/>
      <c r="E137" s="69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</row>
    <row r="138" spans="2:27" s="25" customFormat="1" ht="15.75" customHeight="1" x14ac:dyDescent="0.2">
      <c r="B138" s="89"/>
      <c r="C138"/>
      <c r="D138"/>
      <c r="E138" s="69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</row>
    <row r="139" spans="2:27" s="25" customFormat="1" ht="15.75" customHeight="1" x14ac:dyDescent="0.2">
      <c r="B139" s="89"/>
      <c r="C139"/>
      <c r="D139"/>
      <c r="E139" s="6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</row>
    <row r="140" spans="2:27" s="25" customFormat="1" ht="15.75" customHeight="1" x14ac:dyDescent="0.2">
      <c r="B140" s="89"/>
      <c r="C140"/>
      <c r="D140"/>
      <c r="E140" s="69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</row>
    <row r="141" spans="2:27" s="25" customFormat="1" ht="15.75" customHeight="1" x14ac:dyDescent="0.2">
      <c r="B141" s="89"/>
      <c r="C141"/>
      <c r="D141"/>
      <c r="E141" s="69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</row>
    <row r="142" spans="2:27" s="25" customFormat="1" ht="15.75" customHeight="1" x14ac:dyDescent="0.2">
      <c r="B142" s="89"/>
      <c r="C142"/>
      <c r="D142"/>
      <c r="E142" s="69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</row>
    <row r="143" spans="2:27" s="25" customFormat="1" ht="15.75" customHeight="1" x14ac:dyDescent="0.2">
      <c r="B143" s="89"/>
      <c r="C143"/>
      <c r="D143"/>
      <c r="E143" s="69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</row>
    <row r="144" spans="2:27" s="25" customFormat="1" ht="15.75" customHeight="1" x14ac:dyDescent="0.2">
      <c r="B144" s="89"/>
      <c r="C144"/>
      <c r="D144"/>
      <c r="E144" s="69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</row>
    <row r="145" spans="2:27" s="25" customFormat="1" ht="15.75" customHeight="1" x14ac:dyDescent="0.2">
      <c r="B145" s="89"/>
      <c r="C145"/>
      <c r="D145"/>
      <c r="E145" s="69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</row>
    <row r="146" spans="2:27" s="25" customFormat="1" ht="15.75" customHeight="1" x14ac:dyDescent="0.2">
      <c r="B146" s="89"/>
      <c r="C146"/>
      <c r="D146"/>
      <c r="E146" s="69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</row>
    <row r="147" spans="2:27" s="25" customFormat="1" ht="15.75" customHeight="1" x14ac:dyDescent="0.2">
      <c r="B147" s="89"/>
      <c r="C147"/>
      <c r="D147"/>
      <c r="E147" s="69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</row>
    <row r="148" spans="2:27" s="25" customFormat="1" ht="15.75" customHeight="1" x14ac:dyDescent="0.2">
      <c r="B148" s="89"/>
      <c r="C148"/>
      <c r="D148"/>
      <c r="E148" s="69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</row>
    <row r="149" spans="2:27" s="25" customFormat="1" ht="15.75" customHeight="1" x14ac:dyDescent="0.2">
      <c r="B149" s="89"/>
      <c r="C149"/>
      <c r="D149"/>
      <c r="E149" s="6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</row>
    <row r="150" spans="2:27" s="25" customFormat="1" ht="15.75" customHeight="1" x14ac:dyDescent="0.2">
      <c r="B150" s="89"/>
      <c r="C150"/>
      <c r="D150"/>
      <c r="E150" s="69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</row>
    <row r="151" spans="2:27" s="25" customFormat="1" ht="15.75" customHeight="1" x14ac:dyDescent="0.2">
      <c r="B151" s="89"/>
      <c r="C151"/>
      <c r="D151"/>
      <c r="E151" s="69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</row>
    <row r="152" spans="2:27" s="25" customFormat="1" ht="15.75" customHeight="1" x14ac:dyDescent="0.2">
      <c r="B152" s="89"/>
      <c r="C152"/>
      <c r="D152"/>
      <c r="E152" s="69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</row>
    <row r="153" spans="2:27" s="25" customFormat="1" ht="15.75" customHeight="1" x14ac:dyDescent="0.2">
      <c r="B153" s="89"/>
      <c r="C153"/>
      <c r="D153"/>
      <c r="E153" s="69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</row>
    <row r="154" spans="2:27" s="25" customFormat="1" ht="15.75" customHeight="1" x14ac:dyDescent="0.2">
      <c r="B154" s="89"/>
      <c r="C154"/>
      <c r="D154"/>
      <c r="E154" s="69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</row>
    <row r="155" spans="2:27" s="25" customFormat="1" ht="15.75" customHeight="1" x14ac:dyDescent="0.2">
      <c r="B155" s="89"/>
      <c r="C155"/>
      <c r="D155"/>
      <c r="E155" s="69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</row>
    <row r="156" spans="2:27" s="25" customFormat="1" ht="15.75" customHeight="1" x14ac:dyDescent="0.2">
      <c r="B156" s="89"/>
      <c r="C156"/>
      <c r="D156"/>
      <c r="E156" s="69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</row>
    <row r="157" spans="2:27" s="25" customFormat="1" ht="15.75" customHeight="1" x14ac:dyDescent="0.2">
      <c r="B157" s="89"/>
      <c r="C157"/>
      <c r="D157"/>
      <c r="E157" s="69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</row>
    <row r="158" spans="2:27" s="25" customFormat="1" ht="15.75" customHeight="1" x14ac:dyDescent="0.2">
      <c r="B158" s="89"/>
      <c r="C158"/>
      <c r="D158"/>
      <c r="E158" s="69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</row>
    <row r="159" spans="2:27" s="25" customFormat="1" ht="15.75" customHeight="1" x14ac:dyDescent="0.2">
      <c r="B159" s="89"/>
      <c r="C159"/>
      <c r="D159"/>
      <c r="E159" s="6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</row>
    <row r="160" spans="2:27" s="25" customFormat="1" ht="15.75" customHeight="1" x14ac:dyDescent="0.2">
      <c r="B160" s="89"/>
      <c r="C160"/>
      <c r="D160"/>
      <c r="E160" s="69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</row>
    <row r="161" spans="2:27" s="25" customFormat="1" ht="15.75" customHeight="1" x14ac:dyDescent="0.2">
      <c r="B161" s="89"/>
      <c r="C161"/>
      <c r="D161"/>
      <c r="E161" s="69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</row>
    <row r="162" spans="2:27" s="25" customFormat="1" ht="15.75" customHeight="1" x14ac:dyDescent="0.2">
      <c r="B162" s="89"/>
      <c r="C162"/>
      <c r="D162"/>
      <c r="E162" s="69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</row>
    <row r="163" spans="2:27" s="25" customFormat="1" ht="15.75" customHeight="1" x14ac:dyDescent="0.2">
      <c r="B163" s="89"/>
      <c r="C163"/>
      <c r="D163"/>
      <c r="E163" s="69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</row>
    <row r="164" spans="2:27" s="25" customFormat="1" ht="15.75" customHeight="1" x14ac:dyDescent="0.2">
      <c r="B164" s="89"/>
      <c r="C164"/>
      <c r="D164"/>
      <c r="E164" s="69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</row>
    <row r="165" spans="2:27" s="25" customFormat="1" ht="15.75" customHeight="1" x14ac:dyDescent="0.2">
      <c r="B165" s="89"/>
      <c r="C165"/>
      <c r="D165"/>
      <c r="E165" s="69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</row>
    <row r="166" spans="2:27" s="25" customFormat="1" ht="15.75" customHeight="1" x14ac:dyDescent="0.2">
      <c r="B166" s="89"/>
      <c r="C166"/>
      <c r="D166"/>
      <c r="E166" s="69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</row>
    <row r="167" spans="2:27" s="25" customFormat="1" ht="15.75" customHeight="1" x14ac:dyDescent="0.2">
      <c r="B167" s="89"/>
      <c r="C167"/>
      <c r="D167"/>
      <c r="E167" s="69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</row>
    <row r="168" spans="2:27" s="25" customFormat="1" ht="15.75" customHeight="1" x14ac:dyDescent="0.2">
      <c r="B168" s="89"/>
      <c r="C168"/>
      <c r="D168"/>
      <c r="E168" s="69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</row>
    <row r="169" spans="2:27" s="25" customFormat="1" ht="15.75" customHeight="1" x14ac:dyDescent="0.2">
      <c r="B169" s="89"/>
      <c r="C169"/>
      <c r="D169"/>
      <c r="E169" s="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</row>
    <row r="170" spans="2:27" s="25" customFormat="1" ht="15.75" customHeight="1" x14ac:dyDescent="0.2">
      <c r="B170" s="89"/>
      <c r="C170"/>
      <c r="D170"/>
      <c r="E170" s="69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</row>
    <row r="171" spans="2:27" s="25" customFormat="1" ht="15.75" customHeight="1" x14ac:dyDescent="0.2">
      <c r="B171" s="89"/>
      <c r="C171"/>
      <c r="D171"/>
      <c r="E171" s="69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</row>
    <row r="172" spans="2:27" s="25" customFormat="1" ht="15.75" customHeight="1" x14ac:dyDescent="0.2">
      <c r="B172" s="89"/>
      <c r="C172"/>
      <c r="D172"/>
      <c r="E172" s="69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</row>
    <row r="173" spans="2:27" s="25" customFormat="1" ht="15.75" customHeight="1" x14ac:dyDescent="0.2">
      <c r="B173" s="89"/>
      <c r="C173"/>
      <c r="D173"/>
      <c r="E173" s="69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</row>
    <row r="174" spans="2:27" s="25" customFormat="1" ht="15.75" customHeight="1" x14ac:dyDescent="0.2">
      <c r="B174" s="89"/>
      <c r="C174"/>
      <c r="D174"/>
      <c r="E174" s="69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</row>
    <row r="175" spans="2:27" s="25" customFormat="1" ht="15.75" customHeight="1" x14ac:dyDescent="0.2">
      <c r="B175" s="89"/>
      <c r="C175"/>
      <c r="D175"/>
      <c r="E175" s="69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</row>
    <row r="176" spans="2:27" s="25" customFormat="1" ht="15.75" customHeight="1" x14ac:dyDescent="0.2">
      <c r="B176" s="89"/>
      <c r="C176"/>
      <c r="D176"/>
      <c r="E176" s="69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</row>
    <row r="177" spans="2:27" s="25" customFormat="1" ht="15.75" customHeight="1" x14ac:dyDescent="0.2">
      <c r="B177" s="89"/>
      <c r="C177"/>
      <c r="D177"/>
      <c r="E177" s="69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</row>
    <row r="178" spans="2:27" s="25" customFormat="1" ht="15.75" customHeight="1" x14ac:dyDescent="0.2">
      <c r="B178" s="89"/>
      <c r="C178"/>
      <c r="D178"/>
      <c r="E178" s="69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</row>
    <row r="179" spans="2:27" s="25" customFormat="1" ht="15.75" customHeight="1" x14ac:dyDescent="0.2">
      <c r="B179" s="89"/>
      <c r="C179"/>
      <c r="D179"/>
      <c r="E179" s="6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</row>
    <row r="180" spans="2:27" s="25" customFormat="1" ht="15.75" customHeight="1" x14ac:dyDescent="0.2">
      <c r="B180" s="89"/>
      <c r="C180"/>
      <c r="D180"/>
      <c r="E180" s="69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</row>
    <row r="181" spans="2:27" s="25" customFormat="1" ht="15.75" customHeight="1" x14ac:dyDescent="0.2">
      <c r="B181" s="89"/>
      <c r="C181"/>
      <c r="D181"/>
      <c r="E181" s="69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</row>
    <row r="182" spans="2:27" s="25" customFormat="1" ht="15.75" customHeight="1" x14ac:dyDescent="0.2">
      <c r="B182" s="89"/>
      <c r="C182"/>
      <c r="D182"/>
      <c r="E182" s="69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</row>
    <row r="183" spans="2:27" s="25" customFormat="1" ht="15.75" customHeight="1" x14ac:dyDescent="0.2">
      <c r="B183" s="89"/>
      <c r="C183"/>
      <c r="D183"/>
      <c r="E183" s="69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</row>
    <row r="184" spans="2:27" s="25" customFormat="1" ht="15.75" customHeight="1" x14ac:dyDescent="0.2">
      <c r="B184" s="89"/>
      <c r="C184"/>
      <c r="D184"/>
      <c r="E184" s="69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</row>
    <row r="185" spans="2:27" s="25" customFormat="1" ht="15.75" customHeight="1" x14ac:dyDescent="0.2">
      <c r="B185" s="89"/>
      <c r="C185"/>
      <c r="D185"/>
      <c r="E185" s="69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</row>
    <row r="186" spans="2:27" s="25" customFormat="1" ht="15.75" customHeight="1" x14ac:dyDescent="0.2">
      <c r="B186" s="89"/>
      <c r="C186"/>
      <c r="D186"/>
      <c r="E186" s="69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</row>
    <row r="187" spans="2:27" s="25" customFormat="1" ht="15.75" customHeight="1" x14ac:dyDescent="0.2">
      <c r="B187" s="89"/>
      <c r="C187"/>
      <c r="D187"/>
      <c r="E187" s="69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</row>
    <row r="188" spans="2:27" s="25" customFormat="1" ht="15.75" customHeight="1" x14ac:dyDescent="0.2">
      <c r="B188" s="89"/>
      <c r="C188"/>
      <c r="D188"/>
      <c r="E188" s="69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</row>
    <row r="189" spans="2:27" s="25" customFormat="1" ht="15.75" customHeight="1" x14ac:dyDescent="0.2">
      <c r="B189" s="89"/>
      <c r="C189"/>
      <c r="D189"/>
      <c r="E189" s="6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</row>
    <row r="190" spans="2:27" s="25" customFormat="1" ht="15.75" customHeight="1" x14ac:dyDescent="0.2">
      <c r="B190" s="89"/>
      <c r="C190"/>
      <c r="D190"/>
      <c r="E190" s="69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</row>
    <row r="191" spans="2:27" s="25" customFormat="1" ht="15.75" customHeight="1" x14ac:dyDescent="0.2">
      <c r="B191" s="89"/>
      <c r="C191"/>
      <c r="D191"/>
      <c r="E191" s="69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</row>
    <row r="192" spans="2:27" s="25" customFormat="1" ht="15.75" customHeight="1" x14ac:dyDescent="0.2">
      <c r="B192" s="89"/>
      <c r="C192"/>
      <c r="D192"/>
      <c r="E192" s="69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</row>
    <row r="193" spans="2:27" s="25" customFormat="1" ht="15.75" customHeight="1" x14ac:dyDescent="0.2">
      <c r="B193" s="89"/>
      <c r="C193"/>
      <c r="D193"/>
      <c r="E193" s="69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</row>
    <row r="194" spans="2:27" s="25" customFormat="1" ht="15.75" customHeight="1" x14ac:dyDescent="0.2">
      <c r="B194" s="89"/>
      <c r="C194"/>
      <c r="D194"/>
      <c r="E194" s="69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</row>
    <row r="195" spans="2:27" s="25" customFormat="1" ht="15.75" customHeight="1" x14ac:dyDescent="0.2">
      <c r="B195" s="89"/>
      <c r="C195"/>
      <c r="D195"/>
      <c r="E195" s="69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</row>
    <row r="196" spans="2:27" s="25" customFormat="1" ht="15.75" customHeight="1" x14ac:dyDescent="0.2">
      <c r="B196" s="89"/>
      <c r="C196"/>
      <c r="D196"/>
      <c r="E196" s="69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</row>
    <row r="197" spans="2:27" s="25" customFormat="1" ht="15.75" customHeight="1" x14ac:dyDescent="0.2">
      <c r="B197" s="89"/>
      <c r="C197"/>
      <c r="D197"/>
      <c r="E197" s="69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</row>
    <row r="198" spans="2:27" s="25" customFormat="1" ht="15.75" customHeight="1" x14ac:dyDescent="0.2">
      <c r="B198" s="89"/>
      <c r="C198"/>
      <c r="D198"/>
      <c r="E198" s="69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</row>
    <row r="199" spans="2:27" s="25" customFormat="1" ht="15.75" customHeight="1" x14ac:dyDescent="0.2">
      <c r="B199" s="89"/>
      <c r="C199"/>
      <c r="D199"/>
      <c r="E199" s="6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</row>
    <row r="200" spans="2:27" s="25" customFormat="1" ht="15.75" customHeight="1" x14ac:dyDescent="0.2">
      <c r="B200" s="89"/>
      <c r="C200"/>
      <c r="D200"/>
      <c r="E200" s="69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</row>
    <row r="201" spans="2:27" s="25" customFormat="1" ht="15.75" customHeight="1" x14ac:dyDescent="0.2">
      <c r="B201" s="89"/>
      <c r="C201"/>
      <c r="D201"/>
      <c r="E201" s="69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</row>
    <row r="202" spans="2:27" s="25" customFormat="1" ht="15.75" customHeight="1" x14ac:dyDescent="0.2">
      <c r="B202" s="89"/>
      <c r="C202"/>
      <c r="D202"/>
      <c r="E202" s="69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</row>
    <row r="203" spans="2:27" s="25" customFormat="1" ht="15.75" customHeight="1" x14ac:dyDescent="0.2">
      <c r="B203" s="89"/>
      <c r="C203"/>
      <c r="D203"/>
      <c r="E203" s="69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</row>
    <row r="204" spans="2:27" s="25" customFormat="1" ht="15.75" customHeight="1" x14ac:dyDescent="0.2">
      <c r="B204" s="89"/>
      <c r="C204"/>
      <c r="D204"/>
      <c r="E204" s="69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</row>
    <row r="205" spans="2:27" s="25" customFormat="1" ht="15.75" customHeight="1" x14ac:dyDescent="0.2">
      <c r="B205" s="89"/>
      <c r="C205"/>
      <c r="D205"/>
      <c r="E205" s="69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</row>
    <row r="206" spans="2:27" s="25" customFormat="1" ht="15.75" customHeight="1" x14ac:dyDescent="0.2">
      <c r="B206" s="89"/>
      <c r="C206"/>
      <c r="D206"/>
      <c r="E206" s="69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</row>
    <row r="207" spans="2:27" s="25" customFormat="1" ht="15.75" customHeight="1" x14ac:dyDescent="0.2">
      <c r="B207" s="89"/>
      <c r="C207"/>
      <c r="D207"/>
      <c r="E207" s="69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</row>
    <row r="208" spans="2:27" s="25" customFormat="1" ht="15.75" customHeight="1" x14ac:dyDescent="0.2">
      <c r="B208" s="89"/>
      <c r="C208"/>
      <c r="D208"/>
      <c r="E208" s="69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</row>
    <row r="209" spans="2:27" s="25" customFormat="1" ht="15.75" customHeight="1" x14ac:dyDescent="0.2">
      <c r="B209" s="89"/>
      <c r="C209"/>
      <c r="D209"/>
      <c r="E209" s="6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</row>
    <row r="210" spans="2:27" s="25" customFormat="1" ht="15.75" customHeight="1" x14ac:dyDescent="0.2">
      <c r="B210" s="89"/>
      <c r="C210"/>
      <c r="D210"/>
      <c r="E210" s="69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</row>
    <row r="211" spans="2:27" s="25" customFormat="1" ht="15.75" customHeight="1" x14ac:dyDescent="0.2">
      <c r="B211" s="89"/>
      <c r="C211"/>
      <c r="D211"/>
      <c r="E211" s="69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</row>
    <row r="212" spans="2:27" s="25" customFormat="1" ht="15.75" customHeight="1" x14ac:dyDescent="0.2">
      <c r="B212" s="89"/>
      <c r="C212"/>
      <c r="D212"/>
      <c r="E212" s="69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</row>
    <row r="213" spans="2:27" s="25" customFormat="1" ht="15.75" customHeight="1" x14ac:dyDescent="0.2">
      <c r="B213" s="89"/>
      <c r="C213"/>
      <c r="D213"/>
      <c r="E213" s="69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</row>
    <row r="214" spans="2:27" s="25" customFormat="1" ht="15.75" customHeight="1" x14ac:dyDescent="0.2">
      <c r="B214" s="89"/>
      <c r="C214"/>
      <c r="D214"/>
      <c r="E214" s="69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</row>
    <row r="215" spans="2:27" s="25" customFormat="1" ht="15.75" customHeight="1" x14ac:dyDescent="0.2">
      <c r="B215" s="89"/>
      <c r="C215"/>
      <c r="D215"/>
      <c r="E215" s="69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</row>
    <row r="216" spans="2:27" s="25" customFormat="1" ht="15.75" customHeight="1" x14ac:dyDescent="0.2">
      <c r="B216" s="89"/>
      <c r="C216"/>
      <c r="D216"/>
      <c r="E216" s="69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</row>
    <row r="217" spans="2:27" s="25" customFormat="1" ht="15.75" customHeight="1" x14ac:dyDescent="0.2">
      <c r="B217" s="89"/>
      <c r="C217"/>
      <c r="D217"/>
      <c r="E217" s="69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</row>
    <row r="218" spans="2:27" s="25" customFormat="1" ht="15.75" customHeight="1" x14ac:dyDescent="0.2">
      <c r="B218" s="89"/>
      <c r="C218"/>
      <c r="D218"/>
      <c r="E218" s="69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</row>
    <row r="219" spans="2:27" s="25" customFormat="1" ht="15.75" customHeight="1" x14ac:dyDescent="0.2">
      <c r="B219" s="89"/>
      <c r="C219"/>
      <c r="D219"/>
      <c r="E219" s="6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</row>
    <row r="220" spans="2:27" s="25" customFormat="1" ht="15.75" customHeight="1" x14ac:dyDescent="0.2">
      <c r="B220" s="89"/>
      <c r="C220"/>
      <c r="D220"/>
      <c r="E220" s="69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</row>
    <row r="221" spans="2:27" s="25" customFormat="1" ht="15.75" customHeight="1" x14ac:dyDescent="0.2">
      <c r="B221" s="89"/>
      <c r="C221"/>
      <c r="D221"/>
      <c r="E221" s="69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</row>
    <row r="222" spans="2:27" s="25" customFormat="1" ht="15.75" customHeight="1" x14ac:dyDescent="0.2">
      <c r="B222" s="89"/>
      <c r="C222"/>
      <c r="D222"/>
      <c r="E222" s="69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</row>
    <row r="223" spans="2:27" s="25" customFormat="1" ht="15.75" customHeight="1" x14ac:dyDescent="0.2">
      <c r="B223" s="89"/>
      <c r="C223"/>
      <c r="D223"/>
      <c r="E223" s="69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</row>
    <row r="224" spans="2:27" s="25" customFormat="1" ht="15.75" customHeight="1" x14ac:dyDescent="0.2">
      <c r="B224" s="89"/>
      <c r="C224"/>
      <c r="D224"/>
      <c r="E224" s="69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</row>
    <row r="225" spans="2:27" s="25" customFormat="1" ht="15.75" customHeight="1" x14ac:dyDescent="0.2">
      <c r="B225" s="89"/>
      <c r="C225"/>
      <c r="D225"/>
      <c r="E225" s="69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</row>
    <row r="226" spans="2:27" s="25" customFormat="1" ht="15.75" customHeight="1" x14ac:dyDescent="0.2">
      <c r="B226" s="89"/>
      <c r="C226"/>
      <c r="D226"/>
      <c r="E226" s="69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</row>
    <row r="227" spans="2:27" s="25" customFormat="1" ht="15.75" customHeight="1" x14ac:dyDescent="0.2">
      <c r="B227" s="89"/>
      <c r="C227"/>
      <c r="D227"/>
      <c r="E227" s="69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</row>
    <row r="228" spans="2:27" s="25" customFormat="1" ht="15.75" customHeight="1" x14ac:dyDescent="0.2">
      <c r="B228" s="89"/>
      <c r="C228"/>
      <c r="D228"/>
      <c r="E228" s="69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</row>
    <row r="229" spans="2:27" s="25" customFormat="1" ht="15.75" customHeight="1" x14ac:dyDescent="0.2">
      <c r="B229" s="89"/>
      <c r="C229"/>
      <c r="D229"/>
      <c r="E229" s="6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</row>
    <row r="230" spans="2:27" s="25" customFormat="1" ht="15.75" customHeight="1" x14ac:dyDescent="0.2">
      <c r="B230" s="89"/>
      <c r="C230"/>
      <c r="D230"/>
      <c r="E230" s="69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</row>
    <row r="231" spans="2:27" s="25" customFormat="1" ht="15.75" customHeight="1" x14ac:dyDescent="0.2">
      <c r="B231" s="89"/>
      <c r="C231"/>
      <c r="D231"/>
      <c r="E231" s="69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</row>
    <row r="232" spans="2:27" s="25" customFormat="1" ht="15.75" customHeight="1" x14ac:dyDescent="0.2">
      <c r="B232" s="89"/>
      <c r="C232"/>
      <c r="D232"/>
      <c r="E232" s="69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</row>
    <row r="233" spans="2:27" s="25" customFormat="1" ht="15.75" customHeight="1" x14ac:dyDescent="0.2">
      <c r="B233" s="89"/>
      <c r="C233"/>
      <c r="D233"/>
      <c r="E233" s="69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</row>
    <row r="234" spans="2:27" s="25" customFormat="1" ht="15.75" customHeight="1" x14ac:dyDescent="0.2">
      <c r="B234" s="89"/>
      <c r="C234"/>
      <c r="D234"/>
      <c r="E234" s="69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</row>
    <row r="235" spans="2:27" s="25" customFormat="1" ht="15.75" customHeight="1" x14ac:dyDescent="0.2">
      <c r="B235" s="89"/>
      <c r="C235"/>
      <c r="D235"/>
      <c r="E235" s="69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</row>
    <row r="236" spans="2:27" s="25" customFormat="1" ht="15.75" customHeight="1" x14ac:dyDescent="0.2">
      <c r="B236" s="89"/>
      <c r="C236"/>
      <c r="D236"/>
      <c r="E236" s="69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</row>
    <row r="237" spans="2:27" s="25" customFormat="1" ht="15.75" customHeight="1" x14ac:dyDescent="0.2">
      <c r="B237" s="89"/>
      <c r="C237"/>
      <c r="D237"/>
      <c r="E237" s="69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</row>
    <row r="238" spans="2:27" s="25" customFormat="1" ht="15.75" customHeight="1" x14ac:dyDescent="0.2">
      <c r="B238" s="89"/>
      <c r="C238"/>
      <c r="D238"/>
      <c r="E238" s="69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</row>
    <row r="239" spans="2:27" s="25" customFormat="1" ht="15.75" customHeight="1" x14ac:dyDescent="0.2">
      <c r="B239" s="89"/>
      <c r="C239"/>
      <c r="D239"/>
      <c r="E239" s="6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</row>
    <row r="240" spans="2:27" s="25" customFormat="1" ht="15.75" customHeight="1" x14ac:dyDescent="0.2">
      <c r="B240" s="89"/>
      <c r="C240"/>
      <c r="D240"/>
      <c r="E240" s="69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</row>
    <row r="241" spans="2:27" s="25" customFormat="1" ht="15.75" customHeight="1" x14ac:dyDescent="0.2">
      <c r="B241" s="89"/>
      <c r="C241"/>
      <c r="D241"/>
      <c r="E241" s="69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</row>
    <row r="242" spans="2:27" s="25" customFormat="1" ht="15.75" customHeight="1" x14ac:dyDescent="0.2">
      <c r="B242" s="89"/>
      <c r="C242"/>
      <c r="D242"/>
      <c r="E242" s="69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</row>
    <row r="243" spans="2:27" s="25" customFormat="1" ht="15.75" customHeight="1" x14ac:dyDescent="0.2">
      <c r="B243" s="89"/>
      <c r="C243"/>
      <c r="D243"/>
      <c r="E243" s="69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</row>
    <row r="244" spans="2:27" s="25" customFormat="1" ht="15.75" customHeight="1" x14ac:dyDescent="0.2">
      <c r="B244" s="89"/>
      <c r="C244"/>
      <c r="D244"/>
      <c r="E244" s="69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</row>
    <row r="245" spans="2:27" s="25" customFormat="1" ht="15.75" customHeight="1" x14ac:dyDescent="0.2">
      <c r="B245" s="89"/>
      <c r="C245"/>
      <c r="D245"/>
      <c r="E245" s="69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</row>
    <row r="246" spans="2:27" s="25" customFormat="1" ht="15.75" customHeight="1" x14ac:dyDescent="0.2">
      <c r="B246" s="89"/>
      <c r="C246"/>
      <c r="D246"/>
      <c r="E246" s="69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</row>
    <row r="247" spans="2:27" s="25" customFormat="1" ht="15.75" customHeight="1" x14ac:dyDescent="0.2">
      <c r="B247" s="89"/>
      <c r="C247"/>
      <c r="D247"/>
      <c r="E247" s="69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</row>
    <row r="248" spans="2:27" s="25" customFormat="1" ht="15.75" customHeight="1" x14ac:dyDescent="0.2">
      <c r="B248" s="89"/>
      <c r="C248"/>
      <c r="D248"/>
      <c r="E248" s="69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</row>
    <row r="249" spans="2:27" s="25" customFormat="1" ht="15.75" customHeight="1" x14ac:dyDescent="0.2">
      <c r="B249" s="89"/>
      <c r="C249"/>
      <c r="D249"/>
      <c r="E249" s="6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</row>
    <row r="250" spans="2:27" s="25" customFormat="1" ht="15.75" customHeight="1" x14ac:dyDescent="0.2">
      <c r="B250" s="89"/>
      <c r="C250"/>
      <c r="D250"/>
      <c r="E250" s="69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</row>
    <row r="251" spans="2:27" s="25" customFormat="1" ht="15.75" customHeight="1" x14ac:dyDescent="0.2">
      <c r="B251" s="89"/>
      <c r="C251"/>
      <c r="D251"/>
      <c r="E251" s="69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</row>
    <row r="252" spans="2:27" s="25" customFormat="1" ht="15.75" customHeight="1" x14ac:dyDescent="0.2">
      <c r="B252" s="89"/>
      <c r="C252"/>
      <c r="D252"/>
      <c r="E252" s="69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</row>
    <row r="253" spans="2:27" s="25" customFormat="1" ht="15.75" customHeight="1" x14ac:dyDescent="0.2">
      <c r="B253" s="89"/>
      <c r="C253"/>
      <c r="D253"/>
      <c r="E253" s="69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</row>
    <row r="254" spans="2:27" s="25" customFormat="1" ht="15.75" customHeight="1" x14ac:dyDescent="0.2">
      <c r="B254" s="89"/>
      <c r="C254"/>
      <c r="D254"/>
      <c r="E254" s="69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</row>
    <row r="255" spans="2:27" s="25" customFormat="1" ht="15.75" customHeight="1" x14ac:dyDescent="0.2">
      <c r="B255" s="89"/>
      <c r="C255"/>
      <c r="D255"/>
      <c r="E255" s="69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</row>
    <row r="256" spans="2:27" s="25" customFormat="1" ht="15.75" customHeight="1" x14ac:dyDescent="0.2">
      <c r="B256" s="89"/>
      <c r="C256"/>
      <c r="D256"/>
      <c r="E256" s="69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</row>
    <row r="257" spans="2:27" s="25" customFormat="1" ht="15.75" customHeight="1" x14ac:dyDescent="0.2">
      <c r="B257" s="89"/>
      <c r="C257"/>
      <c r="D257"/>
      <c r="E257" s="69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</row>
    <row r="258" spans="2:27" s="25" customFormat="1" ht="15.75" customHeight="1" x14ac:dyDescent="0.2">
      <c r="B258" s="89"/>
      <c r="C258"/>
      <c r="D258"/>
      <c r="E258" s="69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</row>
    <row r="259" spans="2:27" s="25" customFormat="1" ht="15.75" customHeight="1" x14ac:dyDescent="0.2">
      <c r="B259" s="89"/>
      <c r="C259"/>
      <c r="D259"/>
      <c r="E259" s="6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</row>
    <row r="260" spans="2:27" s="25" customFormat="1" ht="15.75" customHeight="1" x14ac:dyDescent="0.2">
      <c r="B260" s="89"/>
      <c r="C260"/>
      <c r="D260"/>
      <c r="E260" s="69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</row>
    <row r="261" spans="2:27" s="25" customFormat="1" ht="15.75" customHeight="1" x14ac:dyDescent="0.2">
      <c r="B261" s="89"/>
      <c r="C261"/>
      <c r="D261"/>
      <c r="E261" s="69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</row>
    <row r="262" spans="2:27" s="25" customFormat="1" ht="15.75" customHeight="1" x14ac:dyDescent="0.2">
      <c r="B262" s="89"/>
      <c r="C262"/>
      <c r="D262"/>
      <c r="E262" s="69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</row>
    <row r="263" spans="2:27" s="25" customFormat="1" ht="15.75" customHeight="1" x14ac:dyDescent="0.2">
      <c r="B263" s="89"/>
      <c r="C263"/>
      <c r="D263"/>
      <c r="E263" s="69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</row>
    <row r="264" spans="2:27" s="25" customFormat="1" ht="15.75" customHeight="1" x14ac:dyDescent="0.2">
      <c r="B264" s="89"/>
      <c r="C264"/>
      <c r="D264"/>
      <c r="E264" s="69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</row>
    <row r="265" spans="2:27" s="25" customFormat="1" ht="15.75" customHeight="1" x14ac:dyDescent="0.2">
      <c r="B265" s="89"/>
      <c r="C265"/>
      <c r="D265"/>
      <c r="E265" s="69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</row>
    <row r="266" spans="2:27" s="25" customFormat="1" ht="15.75" customHeight="1" x14ac:dyDescent="0.2">
      <c r="B266" s="89"/>
      <c r="C266"/>
      <c r="D266"/>
      <c r="E266" s="69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</row>
    <row r="267" spans="2:27" s="25" customFormat="1" ht="15.75" customHeight="1" x14ac:dyDescent="0.2">
      <c r="B267" s="89"/>
      <c r="C267"/>
      <c r="D267"/>
      <c r="E267" s="69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</row>
    <row r="268" spans="2:27" s="25" customFormat="1" ht="15.75" customHeight="1" x14ac:dyDescent="0.2">
      <c r="B268" s="89"/>
      <c r="C268"/>
      <c r="D268"/>
      <c r="E268" s="69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</row>
    <row r="269" spans="2:27" s="25" customFormat="1" ht="15.75" customHeight="1" x14ac:dyDescent="0.2">
      <c r="B269" s="89"/>
      <c r="C269"/>
      <c r="D269"/>
      <c r="E269" s="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</row>
    <row r="270" spans="2:27" s="25" customFormat="1" ht="15.75" customHeight="1" x14ac:dyDescent="0.2">
      <c r="B270" s="89"/>
      <c r="C270"/>
      <c r="D270"/>
      <c r="E270" s="69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</row>
    <row r="271" spans="2:27" s="25" customFormat="1" ht="15.75" customHeight="1" x14ac:dyDescent="0.2">
      <c r="B271" s="89"/>
      <c r="C271"/>
      <c r="D271"/>
      <c r="E271" s="69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</row>
    <row r="272" spans="2:27" s="25" customFormat="1" ht="15.75" customHeight="1" x14ac:dyDescent="0.2">
      <c r="B272" s="89"/>
      <c r="C272"/>
      <c r="D272"/>
      <c r="E272" s="69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</row>
    <row r="273" spans="2:27" s="25" customFormat="1" ht="15.75" customHeight="1" x14ac:dyDescent="0.2">
      <c r="B273" s="89"/>
      <c r="C273"/>
      <c r="D273"/>
      <c r="E273" s="69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</row>
    <row r="274" spans="2:27" s="25" customFormat="1" ht="15.75" customHeight="1" x14ac:dyDescent="0.2">
      <c r="B274" s="89"/>
      <c r="C274"/>
      <c r="D274"/>
      <c r="E274" s="69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</row>
    <row r="275" spans="2:27" s="25" customFormat="1" ht="15.75" customHeight="1" x14ac:dyDescent="0.2">
      <c r="B275" s="89"/>
      <c r="C275"/>
      <c r="D275"/>
      <c r="E275" s="69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</row>
    <row r="276" spans="2:27" s="25" customFormat="1" ht="15.75" customHeight="1" x14ac:dyDescent="0.2">
      <c r="B276" s="89"/>
      <c r="C276"/>
      <c r="D276"/>
      <c r="E276" s="69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</row>
    <row r="277" spans="2:27" s="25" customFormat="1" ht="15.75" customHeight="1" x14ac:dyDescent="0.2">
      <c r="B277" s="89"/>
      <c r="C277"/>
      <c r="D277"/>
      <c r="E277" s="69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</row>
    <row r="278" spans="2:27" s="25" customFormat="1" ht="15.75" customHeight="1" x14ac:dyDescent="0.2">
      <c r="B278" s="89"/>
      <c r="C278"/>
      <c r="D278"/>
      <c r="E278" s="69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</row>
    <row r="279" spans="2:27" s="25" customFormat="1" ht="15.75" customHeight="1" x14ac:dyDescent="0.2">
      <c r="B279" s="89"/>
      <c r="C279"/>
      <c r="D279"/>
      <c r="E279" s="6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</row>
    <row r="280" spans="2:27" s="25" customFormat="1" ht="15.75" customHeight="1" x14ac:dyDescent="0.2">
      <c r="B280" s="89"/>
      <c r="C280"/>
      <c r="D280"/>
      <c r="E280" s="69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</row>
    <row r="281" spans="2:27" s="25" customFormat="1" ht="15.75" customHeight="1" x14ac:dyDescent="0.2">
      <c r="B281" s="89"/>
      <c r="C281"/>
      <c r="D281"/>
      <c r="E281" s="69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</row>
    <row r="282" spans="2:27" s="25" customFormat="1" ht="15.75" customHeight="1" x14ac:dyDescent="0.2">
      <c r="B282" s="89"/>
      <c r="C282"/>
      <c r="D282"/>
      <c r="E282" s="69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</row>
    <row r="283" spans="2:27" s="25" customFormat="1" ht="15.75" customHeight="1" x14ac:dyDescent="0.2">
      <c r="B283" s="89"/>
      <c r="C283"/>
      <c r="D283"/>
      <c r="E283" s="69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</row>
    <row r="284" spans="2:27" s="25" customFormat="1" ht="15.75" customHeight="1" x14ac:dyDescent="0.2">
      <c r="B284" s="89"/>
      <c r="C284"/>
      <c r="D284"/>
      <c r="E284" s="69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</row>
    <row r="285" spans="2:27" s="25" customFormat="1" ht="15.75" customHeight="1" x14ac:dyDescent="0.2">
      <c r="B285" s="89"/>
      <c r="C285"/>
      <c r="D285"/>
      <c r="E285" s="69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</row>
    <row r="286" spans="2:27" s="25" customFormat="1" ht="15.75" customHeight="1" x14ac:dyDescent="0.2">
      <c r="B286" s="89"/>
      <c r="C286"/>
      <c r="D286"/>
      <c r="E286" s="69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</row>
    <row r="287" spans="2:27" s="25" customFormat="1" ht="15.75" customHeight="1" x14ac:dyDescent="0.2">
      <c r="B287" s="89"/>
      <c r="C287"/>
      <c r="D287"/>
      <c r="E287" s="69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</row>
    <row r="288" spans="2:27" s="25" customFormat="1" ht="15.75" customHeight="1" x14ac:dyDescent="0.2">
      <c r="B288" s="89"/>
      <c r="C288"/>
      <c r="D288"/>
      <c r="E288" s="69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</row>
    <row r="289" spans="2:27" s="25" customFormat="1" ht="15.75" customHeight="1" x14ac:dyDescent="0.2">
      <c r="B289" s="89"/>
      <c r="C289"/>
      <c r="D289"/>
      <c r="E289" s="6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</row>
    <row r="290" spans="2:27" s="25" customFormat="1" ht="15.75" customHeight="1" x14ac:dyDescent="0.2">
      <c r="B290" s="89"/>
      <c r="C290"/>
      <c r="D290"/>
      <c r="E290" s="69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</row>
    <row r="291" spans="2:27" s="25" customFormat="1" ht="15.75" customHeight="1" x14ac:dyDescent="0.2">
      <c r="B291" s="89"/>
      <c r="C291"/>
      <c r="D291"/>
      <c r="E291" s="69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</row>
    <row r="292" spans="2:27" s="25" customFormat="1" ht="15.75" customHeight="1" x14ac:dyDescent="0.2">
      <c r="B292" s="89"/>
      <c r="C292"/>
      <c r="D292"/>
      <c r="E292" s="69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</row>
    <row r="293" spans="2:27" s="25" customFormat="1" ht="15.75" customHeight="1" x14ac:dyDescent="0.2">
      <c r="B293" s="89"/>
      <c r="C293"/>
      <c r="D293"/>
      <c r="E293" s="69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</row>
    <row r="294" spans="2:27" s="25" customFormat="1" ht="15.75" customHeight="1" x14ac:dyDescent="0.2">
      <c r="B294" s="89"/>
      <c r="C294"/>
      <c r="D294"/>
      <c r="E294" s="69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</row>
    <row r="295" spans="2:27" s="25" customFormat="1" ht="15.75" customHeight="1" x14ac:dyDescent="0.2">
      <c r="B295" s="89"/>
      <c r="C295"/>
      <c r="D295"/>
      <c r="E295" s="69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</row>
    <row r="296" spans="2:27" s="25" customFormat="1" ht="15.75" customHeight="1" x14ac:dyDescent="0.2">
      <c r="B296" s="89"/>
      <c r="C296"/>
      <c r="D296"/>
      <c r="E296" s="69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</row>
    <row r="297" spans="2:27" s="25" customFormat="1" ht="15.75" customHeight="1" x14ac:dyDescent="0.2">
      <c r="B297" s="89"/>
      <c r="C297"/>
      <c r="D297"/>
      <c r="E297" s="69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</row>
    <row r="298" spans="2:27" s="25" customFormat="1" ht="15.75" customHeight="1" x14ac:dyDescent="0.2">
      <c r="B298" s="89"/>
      <c r="C298"/>
      <c r="D298"/>
      <c r="E298" s="69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</row>
    <row r="299" spans="2:27" s="25" customFormat="1" ht="15.75" customHeight="1" x14ac:dyDescent="0.2">
      <c r="B299" s="89"/>
      <c r="C299"/>
      <c r="D299"/>
      <c r="E299" s="6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</row>
    <row r="300" spans="2:27" s="25" customFormat="1" ht="15.75" customHeight="1" x14ac:dyDescent="0.2">
      <c r="B300" s="89"/>
      <c r="C300"/>
      <c r="D300"/>
      <c r="E300" s="69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</row>
    <row r="301" spans="2:27" s="25" customFormat="1" ht="15.75" customHeight="1" x14ac:dyDescent="0.2">
      <c r="B301" s="89"/>
      <c r="C301"/>
      <c r="D301"/>
      <c r="E301" s="69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</row>
    <row r="302" spans="2:27" s="25" customFormat="1" ht="15.75" customHeight="1" x14ac:dyDescent="0.2">
      <c r="B302" s="89"/>
      <c r="C302"/>
      <c r="D302"/>
      <c r="E302" s="69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</row>
    <row r="303" spans="2:27" s="25" customFormat="1" ht="15.75" customHeight="1" x14ac:dyDescent="0.2">
      <c r="B303" s="89"/>
      <c r="C303"/>
      <c r="D303"/>
      <c r="E303" s="69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</row>
    <row r="304" spans="2:27" s="25" customFormat="1" ht="15.75" customHeight="1" x14ac:dyDescent="0.2">
      <c r="B304" s="89"/>
      <c r="C304"/>
      <c r="D304"/>
      <c r="E304" s="69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</row>
    <row r="305" spans="2:27" s="25" customFormat="1" ht="15.75" customHeight="1" x14ac:dyDescent="0.2">
      <c r="B305" s="89"/>
      <c r="C305"/>
      <c r="D305"/>
      <c r="E305" s="69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</row>
    <row r="306" spans="2:27" s="25" customFormat="1" ht="15.75" customHeight="1" x14ac:dyDescent="0.2">
      <c r="B306" s="89"/>
      <c r="C306"/>
      <c r="D306"/>
      <c r="E306" s="69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</row>
    <row r="307" spans="2:27" s="25" customFormat="1" ht="15.75" customHeight="1" x14ac:dyDescent="0.2">
      <c r="B307" s="89"/>
      <c r="C307"/>
      <c r="D307"/>
      <c r="E307" s="69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</row>
    <row r="308" spans="2:27" s="25" customFormat="1" ht="15.75" customHeight="1" x14ac:dyDescent="0.2">
      <c r="B308" s="89"/>
      <c r="C308"/>
      <c r="D308"/>
      <c r="E308" s="69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</row>
    <row r="309" spans="2:27" s="25" customFormat="1" ht="15.75" customHeight="1" x14ac:dyDescent="0.2">
      <c r="B309" s="89"/>
      <c r="C309"/>
      <c r="D309"/>
      <c r="E309" s="6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</row>
    <row r="310" spans="2:27" s="25" customFormat="1" ht="15.75" customHeight="1" x14ac:dyDescent="0.2">
      <c r="B310" s="89"/>
      <c r="C310"/>
      <c r="D310"/>
      <c r="E310" s="69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</row>
    <row r="311" spans="2:27" s="25" customFormat="1" ht="15.75" customHeight="1" x14ac:dyDescent="0.2">
      <c r="B311" s="89"/>
      <c r="C311"/>
      <c r="D311"/>
      <c r="E311" s="69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</row>
    <row r="312" spans="2:27" s="25" customFormat="1" ht="15.75" customHeight="1" x14ac:dyDescent="0.2">
      <c r="B312" s="89"/>
      <c r="C312"/>
      <c r="D312"/>
      <c r="E312" s="69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</row>
    <row r="313" spans="2:27" s="25" customFormat="1" ht="15.75" customHeight="1" x14ac:dyDescent="0.2">
      <c r="B313" s="89"/>
      <c r="C313"/>
      <c r="D313"/>
      <c r="E313" s="69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</row>
    <row r="314" spans="2:27" s="25" customFormat="1" ht="15.75" customHeight="1" x14ac:dyDescent="0.2">
      <c r="B314" s="89"/>
      <c r="C314"/>
      <c r="D314"/>
      <c r="E314" s="69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</row>
    <row r="315" spans="2:27" s="25" customFormat="1" ht="15.75" customHeight="1" x14ac:dyDescent="0.2">
      <c r="B315" s="89"/>
      <c r="C315"/>
      <c r="D315"/>
      <c r="E315" s="69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</row>
    <row r="316" spans="2:27" s="25" customFormat="1" ht="15.75" customHeight="1" x14ac:dyDescent="0.2">
      <c r="B316" s="89"/>
      <c r="C316"/>
      <c r="D316"/>
      <c r="E316" s="69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</row>
    <row r="317" spans="2:27" s="25" customFormat="1" ht="15.75" customHeight="1" x14ac:dyDescent="0.2">
      <c r="B317" s="89"/>
      <c r="C317"/>
      <c r="D317"/>
      <c r="E317" s="69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</row>
    <row r="318" spans="2:27" s="25" customFormat="1" ht="15.75" customHeight="1" x14ac:dyDescent="0.2">
      <c r="B318" s="89"/>
      <c r="C318"/>
      <c r="D318"/>
      <c r="E318" s="69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</row>
    <row r="319" spans="2:27" s="25" customFormat="1" ht="15.75" customHeight="1" x14ac:dyDescent="0.2">
      <c r="B319" s="89"/>
      <c r="C319"/>
      <c r="D319"/>
      <c r="E319" s="6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</row>
    <row r="320" spans="2:27" s="25" customFormat="1" ht="15.75" customHeight="1" x14ac:dyDescent="0.2">
      <c r="B320" s="89"/>
      <c r="C320"/>
      <c r="D320"/>
      <c r="E320" s="69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</row>
    <row r="321" spans="2:27" s="25" customFormat="1" ht="15.75" customHeight="1" x14ac:dyDescent="0.2">
      <c r="B321" s="89"/>
      <c r="C321"/>
      <c r="D321"/>
      <c r="E321" s="69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</row>
    <row r="322" spans="2:27" s="25" customFormat="1" ht="15.75" customHeight="1" x14ac:dyDescent="0.2">
      <c r="B322" s="89"/>
      <c r="C322"/>
      <c r="D322"/>
      <c r="E322" s="69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</row>
    <row r="323" spans="2:27" s="25" customFormat="1" ht="15.75" customHeight="1" x14ac:dyDescent="0.2">
      <c r="B323" s="89"/>
      <c r="C323"/>
      <c r="D323"/>
      <c r="E323" s="69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</row>
    <row r="324" spans="2:27" s="25" customFormat="1" ht="15.75" customHeight="1" x14ac:dyDescent="0.2">
      <c r="B324" s="89"/>
      <c r="C324"/>
      <c r="D324"/>
      <c r="E324" s="69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</row>
    <row r="325" spans="2:27" s="25" customFormat="1" ht="15.75" customHeight="1" x14ac:dyDescent="0.2">
      <c r="B325" s="89"/>
      <c r="C325"/>
      <c r="D325"/>
      <c r="E325" s="69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</row>
    <row r="326" spans="2:27" s="25" customFormat="1" ht="15.75" customHeight="1" x14ac:dyDescent="0.2">
      <c r="B326" s="89"/>
      <c r="C326"/>
      <c r="D326"/>
      <c r="E326" s="69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</row>
    <row r="327" spans="2:27" s="25" customFormat="1" ht="15.75" customHeight="1" x14ac:dyDescent="0.2">
      <c r="B327" s="89"/>
      <c r="C327"/>
      <c r="D327"/>
      <c r="E327" s="69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</row>
    <row r="328" spans="2:27" s="25" customFormat="1" ht="15.75" customHeight="1" x14ac:dyDescent="0.2">
      <c r="B328" s="89"/>
      <c r="C328"/>
      <c r="D328"/>
      <c r="E328" s="69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</row>
    <row r="329" spans="2:27" s="25" customFormat="1" ht="15.75" customHeight="1" x14ac:dyDescent="0.2">
      <c r="B329" s="89"/>
      <c r="C329"/>
      <c r="D329"/>
      <c r="E329" s="6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</row>
    <row r="330" spans="2:27" s="25" customFormat="1" ht="15.75" customHeight="1" x14ac:dyDescent="0.2">
      <c r="B330" s="89"/>
      <c r="C330"/>
      <c r="D330"/>
      <c r="E330" s="69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</row>
    <row r="331" spans="2:27" s="25" customFormat="1" ht="15.75" customHeight="1" x14ac:dyDescent="0.2">
      <c r="B331" s="89"/>
      <c r="C331"/>
      <c r="D331"/>
      <c r="E331" s="69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</row>
    <row r="332" spans="2:27" s="25" customFormat="1" ht="15.75" customHeight="1" x14ac:dyDescent="0.2">
      <c r="B332" s="89"/>
      <c r="C332"/>
      <c r="D332"/>
      <c r="E332" s="69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</row>
    <row r="333" spans="2:27" s="25" customFormat="1" ht="15.75" customHeight="1" x14ac:dyDescent="0.2">
      <c r="B333" s="89"/>
      <c r="C333"/>
      <c r="D333"/>
      <c r="E333" s="69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</row>
    <row r="334" spans="2:27" s="25" customFormat="1" ht="15.75" customHeight="1" x14ac:dyDescent="0.2">
      <c r="B334" s="89"/>
      <c r="C334"/>
      <c r="D334"/>
      <c r="E334" s="69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</row>
    <row r="335" spans="2:27" s="25" customFormat="1" ht="15.75" customHeight="1" x14ac:dyDescent="0.2">
      <c r="B335" s="89"/>
      <c r="C335"/>
      <c r="D335"/>
      <c r="E335" s="69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</row>
    <row r="336" spans="2:27" s="25" customFormat="1" ht="15.75" customHeight="1" x14ac:dyDescent="0.2">
      <c r="B336" s="89"/>
      <c r="C336"/>
      <c r="D336"/>
      <c r="E336" s="69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</row>
    <row r="337" spans="2:27" s="25" customFormat="1" ht="15.75" customHeight="1" x14ac:dyDescent="0.2">
      <c r="B337" s="89"/>
      <c r="C337"/>
      <c r="D337"/>
      <c r="E337" s="69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</row>
    <row r="338" spans="2:27" s="25" customFormat="1" ht="15.75" customHeight="1" x14ac:dyDescent="0.2">
      <c r="B338" s="89"/>
      <c r="C338"/>
      <c r="D338"/>
      <c r="E338" s="69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</row>
    <row r="339" spans="2:27" s="25" customFormat="1" ht="15.75" customHeight="1" x14ac:dyDescent="0.2">
      <c r="B339" s="89"/>
      <c r="C339"/>
      <c r="D339"/>
      <c r="E339" s="6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</row>
    <row r="340" spans="2:27" s="25" customFormat="1" ht="15.75" customHeight="1" x14ac:dyDescent="0.2">
      <c r="B340" s="89"/>
      <c r="C340"/>
      <c r="D340"/>
      <c r="E340" s="69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</row>
    <row r="341" spans="2:27" s="25" customFormat="1" ht="15.75" customHeight="1" x14ac:dyDescent="0.2">
      <c r="B341" s="89"/>
      <c r="C341"/>
      <c r="D341"/>
      <c r="E341" s="69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</row>
    <row r="342" spans="2:27" s="25" customFormat="1" ht="15.75" customHeight="1" x14ac:dyDescent="0.2">
      <c r="B342" s="89"/>
      <c r="C342"/>
      <c r="D342"/>
      <c r="E342" s="69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</row>
    <row r="343" spans="2:27" s="25" customFormat="1" ht="15.75" customHeight="1" x14ac:dyDescent="0.2">
      <c r="B343" s="89"/>
      <c r="C343"/>
      <c r="D343"/>
      <c r="E343" s="69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</row>
    <row r="344" spans="2:27" s="25" customFormat="1" ht="15.75" customHeight="1" x14ac:dyDescent="0.2">
      <c r="B344" s="89"/>
      <c r="C344"/>
      <c r="D344"/>
      <c r="E344" s="69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</row>
    <row r="345" spans="2:27" s="25" customFormat="1" ht="15.75" customHeight="1" x14ac:dyDescent="0.2">
      <c r="B345" s="89"/>
      <c r="C345"/>
      <c r="D345"/>
      <c r="E345" s="69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</row>
    <row r="346" spans="2:27" s="25" customFormat="1" ht="15.75" customHeight="1" x14ac:dyDescent="0.2">
      <c r="B346" s="89"/>
      <c r="C346"/>
      <c r="D346"/>
      <c r="E346" s="69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</row>
    <row r="347" spans="2:27" s="25" customFormat="1" ht="15.75" customHeight="1" x14ac:dyDescent="0.2">
      <c r="B347" s="89"/>
      <c r="C347"/>
      <c r="D347"/>
      <c r="E347" s="69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</row>
    <row r="348" spans="2:27" s="25" customFormat="1" ht="15.75" customHeight="1" x14ac:dyDescent="0.2">
      <c r="B348" s="89"/>
      <c r="C348"/>
      <c r="D348"/>
      <c r="E348" s="69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</row>
    <row r="349" spans="2:27" s="25" customFormat="1" ht="15.75" customHeight="1" x14ac:dyDescent="0.2">
      <c r="B349" s="89"/>
      <c r="C349"/>
      <c r="D349"/>
      <c r="E349" s="6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</row>
    <row r="350" spans="2:27" s="25" customFormat="1" ht="15.75" customHeight="1" x14ac:dyDescent="0.2">
      <c r="B350" s="89"/>
      <c r="C350"/>
      <c r="D350"/>
      <c r="E350" s="69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</row>
    <row r="351" spans="2:27" s="25" customFormat="1" ht="15.75" customHeight="1" x14ac:dyDescent="0.2">
      <c r="B351" s="89"/>
      <c r="C351"/>
      <c r="D351"/>
      <c r="E351" s="69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</row>
    <row r="352" spans="2:27" s="25" customFormat="1" ht="15.75" customHeight="1" x14ac:dyDescent="0.2">
      <c r="B352" s="89"/>
      <c r="C352"/>
      <c r="D352"/>
      <c r="E352" s="69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</row>
    <row r="353" spans="2:27" s="25" customFormat="1" ht="15.75" customHeight="1" x14ac:dyDescent="0.2">
      <c r="B353" s="89"/>
      <c r="C353"/>
      <c r="D353"/>
      <c r="E353" s="69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</row>
    <row r="354" spans="2:27" s="25" customFormat="1" ht="15.75" customHeight="1" x14ac:dyDescent="0.2">
      <c r="B354" s="89"/>
      <c r="C354"/>
      <c r="D354"/>
      <c r="E354" s="69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  <c r="AA354"/>
    </row>
    <row r="355" spans="2:27" s="25" customFormat="1" ht="15.75" customHeight="1" x14ac:dyDescent="0.2">
      <c r="B355" s="89"/>
      <c r="C355"/>
      <c r="D355"/>
      <c r="E355" s="69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</row>
    <row r="356" spans="2:27" s="25" customFormat="1" ht="15.75" customHeight="1" x14ac:dyDescent="0.2">
      <c r="B356" s="89"/>
      <c r="C356"/>
      <c r="D356"/>
      <c r="E356" s="69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</row>
    <row r="357" spans="2:27" s="25" customFormat="1" ht="15.75" customHeight="1" x14ac:dyDescent="0.2">
      <c r="B357" s="89"/>
      <c r="C357"/>
      <c r="D357"/>
      <c r="E357" s="69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</row>
    <row r="358" spans="2:27" s="25" customFormat="1" ht="15.75" customHeight="1" x14ac:dyDescent="0.2">
      <c r="B358" s="89"/>
      <c r="C358"/>
      <c r="D358"/>
      <c r="E358" s="69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</row>
    <row r="359" spans="2:27" s="25" customFormat="1" ht="15.75" customHeight="1" x14ac:dyDescent="0.2">
      <c r="B359" s="89"/>
      <c r="C359"/>
      <c r="D359"/>
      <c r="E359" s="6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</row>
    <row r="360" spans="2:27" s="25" customFormat="1" ht="15.75" customHeight="1" x14ac:dyDescent="0.2">
      <c r="B360" s="89"/>
      <c r="C360"/>
      <c r="D360"/>
      <c r="E360" s="69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</row>
    <row r="361" spans="2:27" s="25" customFormat="1" ht="15.75" customHeight="1" x14ac:dyDescent="0.2">
      <c r="B361" s="89"/>
      <c r="C361"/>
      <c r="D361"/>
      <c r="E361" s="69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</row>
    <row r="362" spans="2:27" s="25" customFormat="1" ht="15.75" customHeight="1" x14ac:dyDescent="0.2">
      <c r="B362" s="89"/>
      <c r="C362"/>
      <c r="D362"/>
      <c r="E362" s="69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</row>
    <row r="363" spans="2:27" s="25" customFormat="1" ht="15.75" customHeight="1" x14ac:dyDescent="0.2">
      <c r="B363" s="89"/>
      <c r="C363"/>
      <c r="D363"/>
      <c r="E363" s="69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</row>
    <row r="364" spans="2:27" s="25" customFormat="1" ht="15.75" customHeight="1" x14ac:dyDescent="0.2">
      <c r="B364" s="89"/>
      <c r="C364"/>
      <c r="D364"/>
      <c r="E364" s="69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</row>
    <row r="365" spans="2:27" s="25" customFormat="1" ht="15.75" customHeight="1" x14ac:dyDescent="0.2">
      <c r="B365" s="89"/>
      <c r="C365"/>
      <c r="D365"/>
      <c r="E365" s="69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</row>
    <row r="366" spans="2:27" s="25" customFormat="1" ht="15.75" customHeight="1" x14ac:dyDescent="0.2">
      <c r="B366" s="89"/>
      <c r="C366"/>
      <c r="D366"/>
      <c r="E366" s="69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</row>
    <row r="367" spans="2:27" s="25" customFormat="1" ht="15.75" customHeight="1" x14ac:dyDescent="0.2">
      <c r="B367" s="89"/>
      <c r="C367"/>
      <c r="D367"/>
      <c r="E367" s="69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</row>
    <row r="368" spans="2:27" s="25" customFormat="1" ht="15.75" customHeight="1" x14ac:dyDescent="0.2">
      <c r="B368" s="89"/>
      <c r="C368"/>
      <c r="D368"/>
      <c r="E368" s="69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</row>
    <row r="369" spans="2:27" s="25" customFormat="1" ht="15.75" customHeight="1" x14ac:dyDescent="0.2">
      <c r="B369" s="89"/>
      <c r="C369"/>
      <c r="D369"/>
      <c r="E369" s="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</row>
    <row r="370" spans="2:27" s="25" customFormat="1" ht="15.75" customHeight="1" x14ac:dyDescent="0.2">
      <c r="B370" s="89"/>
      <c r="C370"/>
      <c r="D370"/>
      <c r="E370" s="69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</row>
    <row r="371" spans="2:27" s="25" customFormat="1" ht="15.75" customHeight="1" x14ac:dyDescent="0.2">
      <c r="B371" s="89"/>
      <c r="C371"/>
      <c r="D371"/>
      <c r="E371" s="69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</row>
    <row r="372" spans="2:27" s="25" customFormat="1" ht="15.75" customHeight="1" x14ac:dyDescent="0.2">
      <c r="B372" s="89"/>
      <c r="C372"/>
      <c r="D372"/>
      <c r="E372" s="69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</row>
    <row r="373" spans="2:27" s="25" customFormat="1" ht="15.75" customHeight="1" x14ac:dyDescent="0.2">
      <c r="B373" s="89"/>
      <c r="C373"/>
      <c r="D373"/>
      <c r="E373" s="69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</row>
    <row r="374" spans="2:27" s="25" customFormat="1" ht="15.75" customHeight="1" x14ac:dyDescent="0.2">
      <c r="B374" s="89"/>
      <c r="C374"/>
      <c r="D374"/>
      <c r="E374" s="69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</row>
    <row r="375" spans="2:27" s="25" customFormat="1" ht="15.75" customHeight="1" x14ac:dyDescent="0.2">
      <c r="B375" s="89"/>
      <c r="C375"/>
      <c r="D375"/>
      <c r="E375" s="69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</row>
    <row r="376" spans="2:27" s="25" customFormat="1" ht="15.75" customHeight="1" x14ac:dyDescent="0.2">
      <c r="B376" s="89"/>
      <c r="C376"/>
      <c r="D376"/>
      <c r="E376" s="69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</row>
    <row r="377" spans="2:27" s="25" customFormat="1" ht="15.75" customHeight="1" x14ac:dyDescent="0.2">
      <c r="B377" s="89"/>
      <c r="C377"/>
      <c r="D377"/>
      <c r="E377" s="69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</row>
    <row r="378" spans="2:27" s="25" customFormat="1" ht="15.75" customHeight="1" x14ac:dyDescent="0.2">
      <c r="B378" s="89"/>
      <c r="C378"/>
      <c r="D378"/>
      <c r="E378" s="69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</row>
    <row r="379" spans="2:27" s="25" customFormat="1" ht="15.75" customHeight="1" x14ac:dyDescent="0.2">
      <c r="B379" s="89"/>
      <c r="C379"/>
      <c r="D379"/>
      <c r="E379" s="6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</row>
    <row r="380" spans="2:27" s="25" customFormat="1" ht="15.75" customHeight="1" x14ac:dyDescent="0.2">
      <c r="B380" s="89"/>
      <c r="C380"/>
      <c r="D380"/>
      <c r="E380" s="69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</row>
    <row r="381" spans="2:27" s="25" customFormat="1" ht="15.75" customHeight="1" x14ac:dyDescent="0.2">
      <c r="B381" s="89"/>
      <c r="C381"/>
      <c r="D381"/>
      <c r="E381" s="69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  <c r="AA381"/>
    </row>
    <row r="382" spans="2:27" s="25" customFormat="1" ht="15.75" customHeight="1" x14ac:dyDescent="0.2">
      <c r="B382" s="89"/>
      <c r="C382"/>
      <c r="D382"/>
      <c r="E382" s="69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  <c r="AA382"/>
    </row>
    <row r="383" spans="2:27" s="25" customFormat="1" ht="15.75" customHeight="1" x14ac:dyDescent="0.2">
      <c r="B383" s="89"/>
      <c r="C383"/>
      <c r="D383"/>
      <c r="E383" s="69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  <c r="AA383"/>
    </row>
    <row r="384" spans="2:27" s="25" customFormat="1" ht="15.75" customHeight="1" x14ac:dyDescent="0.2">
      <c r="B384" s="89"/>
      <c r="C384"/>
      <c r="D384"/>
      <c r="E384" s="69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</row>
    <row r="385" spans="2:27" s="25" customFormat="1" ht="15.75" customHeight="1" x14ac:dyDescent="0.2">
      <c r="B385" s="89"/>
      <c r="C385"/>
      <c r="D385"/>
      <c r="E385" s="69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  <c r="AA385"/>
    </row>
    <row r="386" spans="2:27" s="25" customFormat="1" ht="15.75" customHeight="1" x14ac:dyDescent="0.2">
      <c r="B386" s="89"/>
      <c r="C386"/>
      <c r="D386"/>
      <c r="E386" s="69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</row>
    <row r="387" spans="2:27" s="25" customFormat="1" ht="15.75" customHeight="1" x14ac:dyDescent="0.2">
      <c r="B387" s="89"/>
      <c r="C387"/>
      <c r="D387"/>
      <c r="E387" s="69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/>
    </row>
    <row r="388" spans="2:27" s="25" customFormat="1" ht="15.75" customHeight="1" x14ac:dyDescent="0.2">
      <c r="B388" s="89"/>
      <c r="C388"/>
      <c r="D388"/>
      <c r="E388" s="69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</row>
    <row r="389" spans="2:27" s="25" customFormat="1" ht="15.75" customHeight="1" x14ac:dyDescent="0.2">
      <c r="B389" s="89"/>
      <c r="C389"/>
      <c r="D389"/>
      <c r="E389" s="6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</row>
    <row r="390" spans="2:27" s="25" customFormat="1" ht="15.75" customHeight="1" x14ac:dyDescent="0.2">
      <c r="B390" s="89"/>
      <c r="C390"/>
      <c r="D390"/>
      <c r="E390" s="69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</row>
    <row r="391" spans="2:27" s="25" customFormat="1" ht="15.75" customHeight="1" x14ac:dyDescent="0.2">
      <c r="B391" s="89"/>
      <c r="C391"/>
      <c r="D391"/>
      <c r="E391" s="69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  <c r="AA391"/>
    </row>
    <row r="392" spans="2:27" s="25" customFormat="1" ht="15.75" customHeight="1" x14ac:dyDescent="0.2">
      <c r="B392" s="89"/>
      <c r="C392"/>
      <c r="D392"/>
      <c r="E392" s="69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</row>
    <row r="393" spans="2:27" s="25" customFormat="1" ht="15.75" customHeight="1" x14ac:dyDescent="0.2">
      <c r="B393" s="89"/>
      <c r="C393"/>
      <c r="D393"/>
      <c r="E393" s="69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  <c r="AA393"/>
    </row>
    <row r="394" spans="2:27" s="25" customFormat="1" ht="15.75" customHeight="1" x14ac:dyDescent="0.2">
      <c r="B394" s="89"/>
      <c r="C394"/>
      <c r="D394"/>
      <c r="E394" s="69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  <c r="AA394"/>
    </row>
    <row r="395" spans="2:27" s="25" customFormat="1" ht="15.75" customHeight="1" x14ac:dyDescent="0.2">
      <c r="B395" s="89"/>
      <c r="C395"/>
      <c r="D395"/>
      <c r="E395" s="69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  <c r="AA395"/>
    </row>
    <row r="396" spans="2:27" s="25" customFormat="1" ht="15.75" customHeight="1" x14ac:dyDescent="0.2">
      <c r="B396" s="89"/>
      <c r="C396"/>
      <c r="D396"/>
      <c r="E396" s="69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</row>
    <row r="397" spans="2:27" s="25" customFormat="1" ht="15.75" customHeight="1" x14ac:dyDescent="0.2">
      <c r="B397" s="89"/>
      <c r="C397"/>
      <c r="D397"/>
      <c r="E397" s="69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</row>
    <row r="398" spans="2:27" s="25" customFormat="1" ht="15.75" customHeight="1" x14ac:dyDescent="0.2">
      <c r="B398" s="89"/>
      <c r="C398"/>
      <c r="D398"/>
      <c r="E398" s="69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</row>
    <row r="399" spans="2:27" s="25" customFormat="1" ht="15.75" customHeight="1" x14ac:dyDescent="0.2">
      <c r="B399" s="89"/>
      <c r="C399"/>
      <c r="D399"/>
      <c r="E399" s="6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</row>
    <row r="400" spans="2:27" s="25" customFormat="1" ht="15.75" customHeight="1" x14ac:dyDescent="0.2">
      <c r="B400" s="89"/>
      <c r="C400"/>
      <c r="D400"/>
      <c r="E400" s="69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</row>
    <row r="401" spans="2:27" s="25" customFormat="1" ht="15.75" customHeight="1" x14ac:dyDescent="0.2">
      <c r="B401" s="89"/>
      <c r="C401"/>
      <c r="D401"/>
      <c r="E401" s="69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</row>
    <row r="402" spans="2:27" s="25" customFormat="1" ht="15.75" customHeight="1" x14ac:dyDescent="0.2">
      <c r="B402" s="89"/>
      <c r="C402"/>
      <c r="D402"/>
      <c r="E402" s="69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</row>
    <row r="403" spans="2:27" s="25" customFormat="1" ht="15.75" customHeight="1" x14ac:dyDescent="0.2">
      <c r="B403" s="89"/>
      <c r="C403"/>
      <c r="D403"/>
      <c r="E403" s="69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</row>
    <row r="404" spans="2:27" s="25" customFormat="1" ht="15.75" customHeight="1" x14ac:dyDescent="0.2">
      <c r="B404" s="89"/>
      <c r="C404"/>
      <c r="D404"/>
      <c r="E404" s="69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</row>
    <row r="405" spans="2:27" s="25" customFormat="1" ht="15.75" customHeight="1" x14ac:dyDescent="0.2">
      <c r="B405" s="89"/>
      <c r="C405"/>
      <c r="D405"/>
      <c r="E405" s="69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</row>
    <row r="406" spans="2:27" s="25" customFormat="1" ht="15.75" customHeight="1" x14ac:dyDescent="0.2">
      <c r="B406" s="89"/>
      <c r="C406"/>
      <c r="D406"/>
      <c r="E406" s="69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  <c r="AA406"/>
    </row>
    <row r="407" spans="2:27" s="25" customFormat="1" ht="15.75" customHeight="1" x14ac:dyDescent="0.2">
      <c r="B407" s="89"/>
      <c r="C407"/>
      <c r="D407"/>
      <c r="E407" s="69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  <c r="AA407"/>
    </row>
    <row r="408" spans="2:27" s="25" customFormat="1" ht="15.75" customHeight="1" x14ac:dyDescent="0.2">
      <c r="B408" s="89"/>
      <c r="C408"/>
      <c r="D408"/>
      <c r="E408" s="69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</row>
    <row r="409" spans="2:27" s="25" customFormat="1" ht="15.75" customHeight="1" x14ac:dyDescent="0.2">
      <c r="B409" s="89"/>
      <c r="C409"/>
      <c r="D409"/>
      <c r="E409" s="6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</row>
    <row r="410" spans="2:27" s="25" customFormat="1" ht="15.75" customHeight="1" x14ac:dyDescent="0.2">
      <c r="B410" s="89"/>
      <c r="C410"/>
      <c r="D410"/>
      <c r="E410" s="69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</row>
    <row r="411" spans="2:27" s="25" customFormat="1" ht="15.75" customHeight="1" x14ac:dyDescent="0.2">
      <c r="B411" s="89"/>
      <c r="C411"/>
      <c r="D411"/>
      <c r="E411" s="69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  <c r="AA411"/>
    </row>
    <row r="412" spans="2:27" s="25" customFormat="1" ht="15.75" customHeight="1" x14ac:dyDescent="0.2">
      <c r="B412" s="89"/>
      <c r="C412"/>
      <c r="D412"/>
      <c r="E412" s="69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</row>
    <row r="413" spans="2:27" s="25" customFormat="1" ht="15.75" customHeight="1" x14ac:dyDescent="0.2">
      <c r="B413" s="89"/>
      <c r="C413"/>
      <c r="D413"/>
      <c r="E413" s="69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/>
    </row>
    <row r="414" spans="2:27" s="25" customFormat="1" ht="15.75" customHeight="1" x14ac:dyDescent="0.2">
      <c r="B414" s="89"/>
      <c r="C414"/>
      <c r="D414"/>
      <c r="E414" s="69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  <c r="AA414"/>
    </row>
    <row r="415" spans="2:27" s="25" customFormat="1" ht="15.75" customHeight="1" x14ac:dyDescent="0.2">
      <c r="B415" s="89"/>
      <c r="C415"/>
      <c r="D415"/>
      <c r="E415" s="69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  <c r="Z415"/>
      <c r="AA415"/>
    </row>
    <row r="416" spans="2:27" s="25" customFormat="1" ht="15.75" customHeight="1" x14ac:dyDescent="0.2">
      <c r="B416" s="89"/>
      <c r="C416"/>
      <c r="D416"/>
      <c r="E416" s="69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  <c r="AA416"/>
    </row>
    <row r="417" spans="2:27" s="25" customFormat="1" ht="15.75" customHeight="1" x14ac:dyDescent="0.2">
      <c r="B417" s="89"/>
      <c r="C417"/>
      <c r="D417"/>
      <c r="E417" s="69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  <c r="AA417"/>
    </row>
    <row r="418" spans="2:27" s="25" customFormat="1" ht="15.75" customHeight="1" x14ac:dyDescent="0.2">
      <c r="B418" s="89"/>
      <c r="C418"/>
      <c r="D418"/>
      <c r="E418" s="69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  <c r="AA418"/>
    </row>
    <row r="419" spans="2:27" s="25" customFormat="1" ht="15.75" customHeight="1" x14ac:dyDescent="0.2">
      <c r="B419" s="89"/>
      <c r="C419"/>
      <c r="D419"/>
      <c r="E419" s="6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  <c r="AA419"/>
    </row>
    <row r="420" spans="2:27" s="25" customFormat="1" ht="15.75" customHeight="1" x14ac:dyDescent="0.2">
      <c r="B420" s="89"/>
      <c r="C420"/>
      <c r="D420"/>
      <c r="E420" s="69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</row>
    <row r="421" spans="2:27" s="25" customFormat="1" ht="15.75" customHeight="1" x14ac:dyDescent="0.2">
      <c r="B421" s="89"/>
      <c r="C421"/>
      <c r="D421"/>
      <c r="E421" s="69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/>
      <c r="W421"/>
      <c r="X421"/>
      <c r="Y421"/>
      <c r="Z421"/>
      <c r="AA421"/>
    </row>
    <row r="422" spans="2:27" s="25" customFormat="1" ht="15.75" customHeight="1" x14ac:dyDescent="0.2">
      <c r="B422" s="89"/>
      <c r="C422"/>
      <c r="D422"/>
      <c r="E422" s="69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  <c r="AA422"/>
    </row>
    <row r="423" spans="2:27" s="25" customFormat="1" ht="15.75" customHeight="1" x14ac:dyDescent="0.2">
      <c r="B423" s="89"/>
      <c r="C423"/>
      <c r="D423"/>
      <c r="E423" s="69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  <c r="AA423"/>
    </row>
    <row r="424" spans="2:27" s="25" customFormat="1" ht="15.75" customHeight="1" x14ac:dyDescent="0.2">
      <c r="B424" s="89"/>
      <c r="C424"/>
      <c r="D424"/>
      <c r="E424" s="69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  <c r="AA424"/>
    </row>
    <row r="425" spans="2:27" s="25" customFormat="1" ht="15.75" customHeight="1" x14ac:dyDescent="0.2">
      <c r="B425" s="89"/>
      <c r="C425"/>
      <c r="D425"/>
      <c r="E425" s="69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  <c r="AA425"/>
    </row>
    <row r="426" spans="2:27" s="25" customFormat="1" ht="15.75" customHeight="1" x14ac:dyDescent="0.2">
      <c r="B426" s="89"/>
      <c r="C426"/>
      <c r="D426"/>
      <c r="E426" s="69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  <c r="AA426"/>
    </row>
    <row r="427" spans="2:27" s="25" customFormat="1" ht="15.75" customHeight="1" x14ac:dyDescent="0.2">
      <c r="B427" s="89"/>
      <c r="C427"/>
      <c r="D427"/>
      <c r="E427" s="69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  <c r="AA427"/>
    </row>
    <row r="428" spans="2:27" s="25" customFormat="1" ht="15.75" customHeight="1" x14ac:dyDescent="0.2">
      <c r="B428" s="89"/>
      <c r="C428"/>
      <c r="D428"/>
      <c r="E428" s="69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</row>
    <row r="429" spans="2:27" s="25" customFormat="1" ht="15.75" customHeight="1" x14ac:dyDescent="0.2">
      <c r="B429" s="89"/>
      <c r="C429"/>
      <c r="D429"/>
      <c r="E429" s="6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  <c r="AA429"/>
    </row>
    <row r="430" spans="2:27" s="25" customFormat="1" ht="15.75" customHeight="1" x14ac:dyDescent="0.2">
      <c r="B430" s="89"/>
      <c r="C430"/>
      <c r="D430"/>
      <c r="E430" s="69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  <c r="W430"/>
      <c r="X430"/>
      <c r="Y430"/>
      <c r="Z430"/>
      <c r="AA430"/>
    </row>
    <row r="431" spans="2:27" s="25" customFormat="1" ht="15.75" customHeight="1" x14ac:dyDescent="0.2">
      <c r="B431" s="89"/>
      <c r="C431"/>
      <c r="D431"/>
      <c r="E431" s="69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  <c r="Y431"/>
      <c r="Z431"/>
      <c r="AA431"/>
    </row>
    <row r="432" spans="2:27" s="25" customFormat="1" ht="15.75" customHeight="1" x14ac:dyDescent="0.2">
      <c r="B432" s="89"/>
      <c r="C432"/>
      <c r="D432"/>
      <c r="E432" s="69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  <c r="AA432"/>
    </row>
    <row r="433" spans="2:27" s="25" customFormat="1" ht="15.75" customHeight="1" x14ac:dyDescent="0.2">
      <c r="B433" s="89"/>
      <c r="C433"/>
      <c r="D433"/>
      <c r="E433" s="69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  <c r="AA433"/>
    </row>
    <row r="434" spans="2:27" s="25" customFormat="1" ht="15.75" customHeight="1" x14ac:dyDescent="0.2">
      <c r="B434" s="89"/>
      <c r="C434"/>
      <c r="D434"/>
      <c r="E434" s="69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  <c r="AA434"/>
    </row>
    <row r="435" spans="2:27" s="25" customFormat="1" ht="15.75" customHeight="1" x14ac:dyDescent="0.2">
      <c r="B435" s="89"/>
      <c r="C435"/>
      <c r="D435"/>
      <c r="E435" s="69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  <c r="V435"/>
      <c r="W435"/>
      <c r="X435"/>
      <c r="Y435"/>
      <c r="Z435"/>
      <c r="AA435"/>
    </row>
    <row r="436" spans="2:27" s="25" customFormat="1" ht="15.75" customHeight="1" x14ac:dyDescent="0.2">
      <c r="B436" s="89"/>
      <c r="C436"/>
      <c r="D436"/>
      <c r="E436" s="69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</row>
    <row r="437" spans="2:27" s="25" customFormat="1" ht="15.75" customHeight="1" x14ac:dyDescent="0.2">
      <c r="B437" s="89"/>
      <c r="C437"/>
      <c r="D437"/>
      <c r="E437" s="69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  <c r="Y437"/>
      <c r="Z437"/>
      <c r="AA437"/>
    </row>
    <row r="438" spans="2:27" s="25" customFormat="1" ht="15.75" customHeight="1" x14ac:dyDescent="0.2">
      <c r="B438" s="89"/>
      <c r="C438"/>
      <c r="D438"/>
      <c r="E438" s="69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  <c r="W438"/>
      <c r="X438"/>
      <c r="Y438"/>
      <c r="Z438"/>
      <c r="AA438"/>
    </row>
    <row r="439" spans="2:27" s="25" customFormat="1" ht="15.75" customHeight="1" x14ac:dyDescent="0.2">
      <c r="B439" s="89"/>
      <c r="C439"/>
      <c r="D439"/>
      <c r="E439" s="6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  <c r="AA439"/>
    </row>
    <row r="440" spans="2:27" s="25" customFormat="1" ht="15.75" customHeight="1" x14ac:dyDescent="0.2">
      <c r="B440" s="89"/>
      <c r="C440"/>
      <c r="D440"/>
      <c r="E440" s="69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</row>
    <row r="441" spans="2:27" s="25" customFormat="1" ht="15.75" customHeight="1" x14ac:dyDescent="0.2">
      <c r="B441" s="89"/>
      <c r="C441"/>
      <c r="D441"/>
      <c r="E441" s="69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/>
      <c r="W441"/>
      <c r="X441"/>
      <c r="Y441"/>
      <c r="Z441"/>
      <c r="AA441"/>
    </row>
    <row r="442" spans="2:27" s="25" customFormat="1" ht="15.75" customHeight="1" x14ac:dyDescent="0.2">
      <c r="B442" s="89"/>
      <c r="C442"/>
      <c r="D442"/>
      <c r="E442" s="69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  <c r="AA442"/>
    </row>
    <row r="443" spans="2:27" s="25" customFormat="1" ht="15.75" customHeight="1" x14ac:dyDescent="0.2">
      <c r="B443" s="89"/>
      <c r="C443"/>
      <c r="D443"/>
      <c r="E443" s="69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  <c r="AA443"/>
    </row>
    <row r="444" spans="2:27" s="25" customFormat="1" ht="15.75" customHeight="1" x14ac:dyDescent="0.2">
      <c r="B444" s="89"/>
      <c r="C444"/>
      <c r="D444"/>
      <c r="E444" s="69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  <c r="AA444"/>
    </row>
    <row r="445" spans="2:27" s="25" customFormat="1" ht="15.75" customHeight="1" x14ac:dyDescent="0.2">
      <c r="B445" s="89"/>
      <c r="C445"/>
      <c r="D445"/>
      <c r="E445" s="69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  <c r="V445"/>
      <c r="W445"/>
      <c r="X445"/>
      <c r="Y445"/>
      <c r="Z445"/>
      <c r="AA445"/>
    </row>
    <row r="446" spans="2:27" s="25" customFormat="1" ht="15.75" customHeight="1" x14ac:dyDescent="0.2">
      <c r="B446" s="89"/>
      <c r="C446"/>
      <c r="D446"/>
      <c r="E446" s="69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  <c r="Y446"/>
      <c r="Z446"/>
      <c r="AA446"/>
    </row>
    <row r="447" spans="2:27" s="25" customFormat="1" ht="15.75" customHeight="1" x14ac:dyDescent="0.2">
      <c r="B447" s="89"/>
      <c r="C447"/>
      <c r="D447"/>
      <c r="E447" s="69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  <c r="W447"/>
      <c r="X447"/>
      <c r="Y447"/>
      <c r="Z447"/>
      <c r="AA447"/>
    </row>
    <row r="448" spans="2:27" s="25" customFormat="1" ht="15.75" customHeight="1" x14ac:dyDescent="0.2">
      <c r="B448" s="89"/>
      <c r="C448"/>
      <c r="D448"/>
      <c r="E448" s="69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</row>
    <row r="449" spans="2:27" s="25" customFormat="1" ht="15.75" customHeight="1" x14ac:dyDescent="0.2">
      <c r="B449" s="89"/>
      <c r="C449"/>
      <c r="D449"/>
      <c r="E449" s="6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  <c r="W449"/>
      <c r="X449"/>
      <c r="Y449"/>
      <c r="Z449"/>
      <c r="AA449"/>
    </row>
    <row r="450" spans="2:27" s="25" customFormat="1" ht="15.75" customHeight="1" x14ac:dyDescent="0.2">
      <c r="B450" s="89"/>
      <c r="C450"/>
      <c r="D450"/>
      <c r="E450" s="69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  <c r="AA450"/>
    </row>
    <row r="451" spans="2:27" s="25" customFormat="1" ht="15.75" customHeight="1" x14ac:dyDescent="0.2">
      <c r="B451" s="89"/>
      <c r="C451"/>
      <c r="D451"/>
      <c r="E451" s="69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  <c r="AA451"/>
    </row>
    <row r="452" spans="2:27" s="25" customFormat="1" ht="15.75" customHeight="1" x14ac:dyDescent="0.2">
      <c r="B452" s="89"/>
      <c r="C452"/>
      <c r="D452"/>
      <c r="E452" s="69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</row>
    <row r="453" spans="2:27" s="25" customFormat="1" ht="15.75" customHeight="1" x14ac:dyDescent="0.2">
      <c r="B453" s="89"/>
      <c r="C453"/>
      <c r="D453"/>
      <c r="E453" s="69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  <c r="AA453"/>
    </row>
    <row r="454" spans="2:27" s="25" customFormat="1" ht="15.75" customHeight="1" x14ac:dyDescent="0.2">
      <c r="B454" s="89"/>
      <c r="C454"/>
      <c r="D454"/>
      <c r="E454" s="69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  <c r="AA454"/>
    </row>
    <row r="455" spans="2:27" s="25" customFormat="1" ht="15.75" customHeight="1" x14ac:dyDescent="0.2">
      <c r="B455" s="89"/>
      <c r="C455"/>
      <c r="D455"/>
      <c r="E455" s="69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  <c r="AA455"/>
    </row>
    <row r="456" spans="2:27" s="25" customFormat="1" ht="15.75" customHeight="1" x14ac:dyDescent="0.2">
      <c r="B456" s="89"/>
      <c r="C456"/>
      <c r="D456"/>
      <c r="E456" s="69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  <c r="AA456"/>
    </row>
    <row r="457" spans="2:27" s="25" customFormat="1" ht="15.75" customHeight="1" x14ac:dyDescent="0.2">
      <c r="B457" s="89"/>
      <c r="C457"/>
      <c r="D457"/>
      <c r="E457" s="69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  <c r="AA457"/>
    </row>
    <row r="458" spans="2:27" s="25" customFormat="1" ht="15.75" customHeight="1" x14ac:dyDescent="0.2">
      <c r="B458" s="89"/>
      <c r="C458"/>
      <c r="D458"/>
      <c r="E458" s="69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  <c r="V458"/>
      <c r="W458"/>
      <c r="X458"/>
      <c r="Y458"/>
      <c r="Z458"/>
      <c r="AA458"/>
    </row>
    <row r="459" spans="2:27" s="25" customFormat="1" ht="15.75" customHeight="1" x14ac:dyDescent="0.2">
      <c r="B459" s="89"/>
      <c r="C459"/>
      <c r="D459"/>
      <c r="E459" s="6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  <c r="AA459"/>
    </row>
    <row r="460" spans="2:27" s="25" customFormat="1" ht="15.75" customHeight="1" x14ac:dyDescent="0.2">
      <c r="B460" s="89"/>
      <c r="C460"/>
      <c r="D460"/>
      <c r="E460" s="69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  <c r="AA460"/>
    </row>
    <row r="461" spans="2:27" s="25" customFormat="1" ht="15.75" customHeight="1" x14ac:dyDescent="0.2">
      <c r="B461" s="89"/>
      <c r="C461"/>
      <c r="D461"/>
      <c r="E461" s="69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  <c r="AA461"/>
    </row>
    <row r="462" spans="2:27" s="25" customFormat="1" ht="15.75" customHeight="1" x14ac:dyDescent="0.2">
      <c r="B462" s="89"/>
      <c r="C462"/>
      <c r="D462"/>
      <c r="E462" s="69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  <c r="AA462"/>
    </row>
    <row r="463" spans="2:27" s="25" customFormat="1" ht="15.75" customHeight="1" x14ac:dyDescent="0.2">
      <c r="B463" s="89"/>
      <c r="C463"/>
      <c r="D463"/>
      <c r="E463" s="69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  <c r="AA463"/>
    </row>
    <row r="464" spans="2:27" s="25" customFormat="1" ht="15.75" customHeight="1" x14ac:dyDescent="0.2">
      <c r="B464" s="89"/>
      <c r="C464"/>
      <c r="D464"/>
      <c r="E464" s="69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  <c r="AA464"/>
    </row>
    <row r="465" spans="2:27" s="25" customFormat="1" ht="15.75" customHeight="1" x14ac:dyDescent="0.2">
      <c r="B465" s="89"/>
      <c r="C465"/>
      <c r="D465"/>
      <c r="E465" s="69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  <c r="AA465"/>
    </row>
    <row r="466" spans="2:27" s="25" customFormat="1" ht="15.75" customHeight="1" x14ac:dyDescent="0.2">
      <c r="B466" s="89"/>
      <c r="C466"/>
      <c r="D466"/>
      <c r="E466" s="69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  <c r="AA466"/>
    </row>
    <row r="467" spans="2:27" s="25" customFormat="1" ht="15.75" customHeight="1" x14ac:dyDescent="0.2">
      <c r="B467" s="89"/>
      <c r="C467"/>
      <c r="D467"/>
      <c r="E467" s="69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  <c r="AA467"/>
    </row>
    <row r="468" spans="2:27" s="25" customFormat="1" ht="15.75" customHeight="1" x14ac:dyDescent="0.2">
      <c r="B468" s="89"/>
      <c r="C468"/>
      <c r="D468"/>
      <c r="E468" s="69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</row>
    <row r="469" spans="2:27" s="25" customFormat="1" ht="15.75" customHeight="1" x14ac:dyDescent="0.2">
      <c r="B469" s="89"/>
      <c r="C469"/>
      <c r="D469"/>
      <c r="E469" s="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  <c r="AA469"/>
    </row>
    <row r="470" spans="2:27" s="25" customFormat="1" ht="15.75" customHeight="1" x14ac:dyDescent="0.2">
      <c r="B470" s="89"/>
      <c r="C470"/>
      <c r="D470"/>
      <c r="E470" s="69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  <c r="AA470"/>
    </row>
    <row r="471" spans="2:27" s="25" customFormat="1" ht="15.75" customHeight="1" x14ac:dyDescent="0.2">
      <c r="B471" s="89"/>
      <c r="C471"/>
      <c r="D471"/>
      <c r="E471" s="69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  <c r="AA471"/>
    </row>
    <row r="472" spans="2:27" s="25" customFormat="1" ht="15.75" customHeight="1" x14ac:dyDescent="0.2">
      <c r="B472" s="89"/>
      <c r="C472"/>
      <c r="D472"/>
      <c r="E472" s="69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  <c r="AA472"/>
    </row>
    <row r="473" spans="2:27" s="25" customFormat="1" ht="15.75" customHeight="1" x14ac:dyDescent="0.2">
      <c r="B473" s="89"/>
      <c r="C473"/>
      <c r="D473"/>
      <c r="E473" s="69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  <c r="W473"/>
      <c r="X473"/>
      <c r="Y473"/>
      <c r="Z473"/>
      <c r="AA473"/>
    </row>
    <row r="474" spans="2:27" s="25" customFormat="1" ht="15.75" customHeight="1" x14ac:dyDescent="0.2">
      <c r="B474" s="89"/>
      <c r="C474"/>
      <c r="D474"/>
      <c r="E474" s="69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/>
      <c r="W474"/>
      <c r="X474"/>
      <c r="Y474"/>
      <c r="Z474"/>
      <c r="AA474"/>
    </row>
    <row r="475" spans="2:27" s="25" customFormat="1" ht="15.75" customHeight="1" x14ac:dyDescent="0.2">
      <c r="B475" s="89"/>
      <c r="C475"/>
      <c r="D475"/>
      <c r="E475" s="69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  <c r="W475"/>
      <c r="X475"/>
      <c r="Y475"/>
      <c r="Z475"/>
      <c r="AA475"/>
    </row>
    <row r="476" spans="2:27" s="25" customFormat="1" ht="15.75" customHeight="1" x14ac:dyDescent="0.2">
      <c r="B476" s="89"/>
      <c r="C476"/>
      <c r="D476"/>
      <c r="E476" s="69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  <c r="W476"/>
      <c r="X476"/>
      <c r="Y476"/>
      <c r="Z476"/>
      <c r="AA476"/>
    </row>
    <row r="477" spans="2:27" s="25" customFormat="1" ht="15.75" customHeight="1" x14ac:dyDescent="0.2">
      <c r="B477" s="89"/>
      <c r="C477"/>
      <c r="D477"/>
      <c r="E477" s="69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  <c r="W477"/>
      <c r="X477"/>
      <c r="Y477"/>
      <c r="Z477"/>
      <c r="AA477"/>
    </row>
    <row r="478" spans="2:27" s="25" customFormat="1" ht="15.75" customHeight="1" x14ac:dyDescent="0.2">
      <c r="B478" s="89"/>
      <c r="C478"/>
      <c r="D478"/>
      <c r="E478" s="69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  <c r="W478"/>
      <c r="X478"/>
      <c r="Y478"/>
      <c r="Z478"/>
      <c r="AA478"/>
    </row>
    <row r="479" spans="2:27" s="25" customFormat="1" ht="15.75" customHeight="1" x14ac:dyDescent="0.2">
      <c r="B479" s="89"/>
      <c r="C479"/>
      <c r="D479"/>
      <c r="E479" s="6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  <c r="W479"/>
      <c r="X479"/>
      <c r="Y479"/>
      <c r="Z479"/>
      <c r="AA479"/>
    </row>
    <row r="480" spans="2:27" s="25" customFormat="1" ht="15.75" customHeight="1" x14ac:dyDescent="0.2">
      <c r="B480" s="89"/>
      <c r="C480"/>
      <c r="D480"/>
      <c r="E480" s="69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  <c r="AA480"/>
    </row>
    <row r="481" spans="2:27" s="25" customFormat="1" ht="15.75" customHeight="1" x14ac:dyDescent="0.2">
      <c r="B481" s="89"/>
      <c r="C481"/>
      <c r="D481"/>
      <c r="E481" s="69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  <c r="V481"/>
      <c r="W481"/>
      <c r="X481"/>
      <c r="Y481"/>
      <c r="Z481"/>
      <c r="AA481"/>
    </row>
    <row r="482" spans="2:27" s="25" customFormat="1" ht="15.75" customHeight="1" x14ac:dyDescent="0.2">
      <c r="B482" s="89"/>
      <c r="C482"/>
      <c r="D482"/>
      <c r="E482" s="69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  <c r="W482"/>
      <c r="X482"/>
      <c r="Y482"/>
      <c r="Z482"/>
      <c r="AA482"/>
    </row>
    <row r="483" spans="2:27" s="25" customFormat="1" ht="15.75" customHeight="1" x14ac:dyDescent="0.2">
      <c r="B483" s="89"/>
      <c r="C483"/>
      <c r="D483"/>
      <c r="E483" s="69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  <c r="W483"/>
      <c r="X483"/>
      <c r="Y483"/>
      <c r="Z483"/>
      <c r="AA483"/>
    </row>
    <row r="484" spans="2:27" s="25" customFormat="1" ht="15.75" customHeight="1" x14ac:dyDescent="0.2">
      <c r="B484" s="89"/>
      <c r="C484"/>
      <c r="D484"/>
      <c r="E484" s="69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  <c r="AA484"/>
    </row>
    <row r="485" spans="2:27" s="25" customFormat="1" ht="15.75" customHeight="1" x14ac:dyDescent="0.2">
      <c r="B485" s="89"/>
      <c r="C485"/>
      <c r="D485"/>
      <c r="E485" s="69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  <c r="W485"/>
      <c r="X485"/>
      <c r="Y485"/>
      <c r="Z485"/>
      <c r="AA485"/>
    </row>
    <row r="486" spans="2:27" s="25" customFormat="1" ht="15.75" customHeight="1" x14ac:dyDescent="0.2">
      <c r="B486" s="89"/>
      <c r="C486"/>
      <c r="D486"/>
      <c r="E486" s="69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  <c r="V486"/>
      <c r="W486"/>
      <c r="X486"/>
      <c r="Y486"/>
      <c r="Z486"/>
      <c r="AA486"/>
    </row>
    <row r="487" spans="2:27" s="25" customFormat="1" ht="15.75" customHeight="1" x14ac:dyDescent="0.2">
      <c r="B487" s="89"/>
      <c r="C487"/>
      <c r="D487"/>
      <c r="E487" s="69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  <c r="V487"/>
      <c r="W487"/>
      <c r="X487"/>
      <c r="Y487"/>
      <c r="Z487"/>
      <c r="AA487"/>
    </row>
    <row r="488" spans="2:27" s="25" customFormat="1" ht="15.75" customHeight="1" x14ac:dyDescent="0.2">
      <c r="B488" s="89"/>
      <c r="C488"/>
      <c r="D488"/>
      <c r="E488" s="69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  <c r="AA488"/>
    </row>
    <row r="489" spans="2:27" s="25" customFormat="1" ht="15.75" customHeight="1" x14ac:dyDescent="0.2">
      <c r="B489" s="89"/>
      <c r="C489"/>
      <c r="D489"/>
      <c r="E489" s="6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  <c r="W489"/>
      <c r="X489"/>
      <c r="Y489"/>
      <c r="Z489"/>
      <c r="AA489"/>
    </row>
    <row r="490" spans="2:27" s="25" customFormat="1" ht="15.75" customHeight="1" x14ac:dyDescent="0.2">
      <c r="B490" s="89"/>
      <c r="C490"/>
      <c r="D490"/>
      <c r="E490" s="69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  <c r="V490"/>
      <c r="W490"/>
      <c r="X490"/>
      <c r="Y490"/>
      <c r="Z490"/>
      <c r="AA490"/>
    </row>
    <row r="491" spans="2:27" s="25" customFormat="1" ht="15.75" customHeight="1" x14ac:dyDescent="0.2">
      <c r="B491" s="89"/>
      <c r="C491"/>
      <c r="D491"/>
      <c r="E491" s="69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  <c r="V491"/>
      <c r="W491"/>
      <c r="X491"/>
      <c r="Y491"/>
      <c r="Z491"/>
      <c r="AA491"/>
    </row>
    <row r="492" spans="2:27" s="25" customFormat="1" ht="15.75" customHeight="1" x14ac:dyDescent="0.2">
      <c r="B492" s="89"/>
      <c r="C492"/>
      <c r="D492"/>
      <c r="E492" s="69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  <c r="AA492"/>
    </row>
    <row r="493" spans="2:27" s="25" customFormat="1" ht="15.75" customHeight="1" x14ac:dyDescent="0.2">
      <c r="B493" s="89"/>
      <c r="C493"/>
      <c r="D493"/>
      <c r="E493" s="69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  <c r="W493"/>
      <c r="X493"/>
      <c r="Y493"/>
      <c r="Z493"/>
      <c r="AA493"/>
    </row>
    <row r="494" spans="2:27" s="25" customFormat="1" ht="15.75" customHeight="1" x14ac:dyDescent="0.2">
      <c r="B494" s="89"/>
      <c r="C494"/>
      <c r="D494"/>
      <c r="E494" s="69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  <c r="W494"/>
      <c r="X494"/>
      <c r="Y494"/>
      <c r="Z494"/>
      <c r="AA494"/>
    </row>
    <row r="495" spans="2:27" s="25" customFormat="1" ht="15.75" customHeight="1" x14ac:dyDescent="0.2">
      <c r="B495" s="89"/>
      <c r="C495"/>
      <c r="D495"/>
      <c r="E495" s="69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  <c r="V495"/>
      <c r="W495"/>
      <c r="X495"/>
      <c r="Y495"/>
      <c r="Z495"/>
      <c r="AA495"/>
    </row>
    <row r="496" spans="2:27" s="25" customFormat="1" ht="15.75" customHeight="1" x14ac:dyDescent="0.2">
      <c r="B496" s="89"/>
      <c r="C496"/>
      <c r="D496"/>
      <c r="E496" s="69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  <c r="W496"/>
      <c r="X496"/>
      <c r="Y496"/>
      <c r="Z496"/>
      <c r="AA496"/>
    </row>
    <row r="497" spans="2:27" s="25" customFormat="1" ht="15.75" customHeight="1" x14ac:dyDescent="0.2">
      <c r="B497" s="89"/>
      <c r="C497"/>
      <c r="D497"/>
      <c r="E497" s="69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  <c r="W497"/>
      <c r="X497"/>
      <c r="Y497"/>
      <c r="Z497"/>
      <c r="AA497"/>
    </row>
    <row r="498" spans="2:27" s="25" customFormat="1" ht="15.75" customHeight="1" x14ac:dyDescent="0.2">
      <c r="B498" s="89"/>
      <c r="C498"/>
      <c r="D498"/>
      <c r="E498" s="69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  <c r="W498"/>
      <c r="X498"/>
      <c r="Y498"/>
      <c r="Z498"/>
      <c r="AA498"/>
    </row>
    <row r="499" spans="2:27" s="25" customFormat="1" ht="15.75" customHeight="1" x14ac:dyDescent="0.2">
      <c r="B499" s="89"/>
      <c r="C499"/>
      <c r="D499"/>
      <c r="E499" s="6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  <c r="W499"/>
      <c r="X499"/>
      <c r="Y499"/>
      <c r="Z499"/>
      <c r="AA499"/>
    </row>
    <row r="500" spans="2:27" s="25" customFormat="1" ht="15.75" customHeight="1" x14ac:dyDescent="0.2">
      <c r="B500" s="89"/>
      <c r="C500"/>
      <c r="D500"/>
      <c r="E500" s="69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  <c r="AA500"/>
    </row>
    <row r="501" spans="2:27" s="25" customFormat="1" ht="15.75" customHeight="1" x14ac:dyDescent="0.2">
      <c r="B501" s="89"/>
      <c r="C501"/>
      <c r="D501"/>
      <c r="E501" s="69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/>
      <c r="W501"/>
      <c r="X501"/>
      <c r="Y501"/>
      <c r="Z501"/>
      <c r="AA501"/>
    </row>
    <row r="502" spans="2:27" s="25" customFormat="1" ht="15.75" customHeight="1" x14ac:dyDescent="0.2">
      <c r="B502" s="89"/>
      <c r="C502"/>
      <c r="D502"/>
      <c r="E502" s="69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  <c r="W502"/>
      <c r="X502"/>
      <c r="Y502"/>
      <c r="Z502"/>
      <c r="AA502"/>
    </row>
    <row r="503" spans="2:27" s="25" customFormat="1" ht="15.75" customHeight="1" x14ac:dyDescent="0.2">
      <c r="B503" s="89"/>
      <c r="C503"/>
      <c r="D503"/>
      <c r="E503" s="69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  <c r="AA503"/>
    </row>
    <row r="504" spans="2:27" s="25" customFormat="1" ht="15.75" customHeight="1" x14ac:dyDescent="0.2">
      <c r="B504" s="89"/>
      <c r="C504"/>
      <c r="D504"/>
      <c r="E504" s="69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  <c r="V504"/>
      <c r="W504"/>
      <c r="X504"/>
      <c r="Y504"/>
      <c r="Z504"/>
      <c r="AA504"/>
    </row>
    <row r="505" spans="2:27" s="25" customFormat="1" ht="15.75" customHeight="1" x14ac:dyDescent="0.2">
      <c r="B505" s="89"/>
      <c r="C505"/>
      <c r="D505"/>
      <c r="E505" s="69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  <c r="V505"/>
      <c r="W505"/>
      <c r="X505"/>
      <c r="Y505"/>
      <c r="Z505"/>
      <c r="AA505"/>
    </row>
    <row r="506" spans="2:27" s="25" customFormat="1" ht="15.75" customHeight="1" x14ac:dyDescent="0.2">
      <c r="B506" s="89"/>
      <c r="C506"/>
      <c r="D506"/>
      <c r="E506" s="69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  <c r="V506"/>
      <c r="W506"/>
      <c r="X506"/>
      <c r="Y506"/>
      <c r="Z506"/>
      <c r="AA506"/>
    </row>
    <row r="507" spans="2:27" s="25" customFormat="1" ht="15.75" customHeight="1" x14ac:dyDescent="0.2">
      <c r="B507" s="89"/>
      <c r="C507"/>
      <c r="D507"/>
      <c r="E507" s="69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  <c r="V507"/>
      <c r="W507"/>
      <c r="X507"/>
      <c r="Y507"/>
      <c r="Z507"/>
      <c r="AA507"/>
    </row>
    <row r="508" spans="2:27" s="25" customFormat="1" ht="15.75" customHeight="1" x14ac:dyDescent="0.2">
      <c r="B508" s="89"/>
      <c r="C508"/>
      <c r="D508"/>
      <c r="E508" s="69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  <c r="V508"/>
      <c r="W508"/>
      <c r="X508"/>
      <c r="Y508"/>
      <c r="Z508"/>
      <c r="AA508"/>
    </row>
    <row r="509" spans="2:27" s="25" customFormat="1" ht="15.75" customHeight="1" x14ac:dyDescent="0.2">
      <c r="B509" s="89"/>
      <c r="C509"/>
      <c r="D509"/>
      <c r="E509" s="6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  <c r="V509"/>
      <c r="W509"/>
      <c r="X509"/>
      <c r="Y509"/>
      <c r="Z509"/>
      <c r="AA509"/>
    </row>
    <row r="510" spans="2:27" s="25" customFormat="1" ht="15.75" customHeight="1" x14ac:dyDescent="0.2">
      <c r="B510" s="89"/>
      <c r="C510"/>
      <c r="D510"/>
      <c r="E510" s="69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  <c r="V510"/>
      <c r="W510"/>
      <c r="X510"/>
      <c r="Y510"/>
      <c r="Z510"/>
      <c r="AA510"/>
    </row>
    <row r="511" spans="2:27" s="25" customFormat="1" ht="15.75" customHeight="1" x14ac:dyDescent="0.2">
      <c r="B511" s="89"/>
      <c r="C511"/>
      <c r="D511"/>
      <c r="E511" s="69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  <c r="V511"/>
      <c r="W511"/>
      <c r="X511"/>
      <c r="Y511"/>
      <c r="Z511"/>
      <c r="AA511"/>
    </row>
    <row r="512" spans="2:27" s="25" customFormat="1" ht="15.75" customHeight="1" x14ac:dyDescent="0.2">
      <c r="B512" s="89"/>
      <c r="C512"/>
      <c r="D512"/>
      <c r="E512" s="69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  <c r="V512"/>
      <c r="W512"/>
      <c r="X512"/>
      <c r="Y512"/>
      <c r="Z512"/>
      <c r="AA512"/>
    </row>
    <row r="513" spans="2:27" s="25" customFormat="1" ht="15.75" customHeight="1" x14ac:dyDescent="0.2">
      <c r="B513" s="89"/>
      <c r="C513"/>
      <c r="D513"/>
      <c r="E513" s="69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  <c r="V513"/>
      <c r="W513"/>
      <c r="X513"/>
      <c r="Y513"/>
      <c r="Z513"/>
      <c r="AA513"/>
    </row>
    <row r="514" spans="2:27" s="25" customFormat="1" ht="15.75" customHeight="1" x14ac:dyDescent="0.2">
      <c r="B514" s="89"/>
      <c r="C514"/>
      <c r="D514"/>
      <c r="E514" s="69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  <c r="V514"/>
      <c r="W514"/>
      <c r="X514"/>
      <c r="Y514"/>
      <c r="Z514"/>
      <c r="AA514"/>
    </row>
    <row r="515" spans="2:27" s="25" customFormat="1" ht="15.75" customHeight="1" x14ac:dyDescent="0.2">
      <c r="B515" s="89"/>
      <c r="C515"/>
      <c r="D515"/>
      <c r="E515" s="69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  <c r="V515"/>
      <c r="W515"/>
      <c r="X515"/>
      <c r="Y515"/>
      <c r="Z515"/>
      <c r="AA515"/>
    </row>
    <row r="516" spans="2:27" s="25" customFormat="1" ht="15.75" customHeight="1" x14ac:dyDescent="0.2">
      <c r="B516" s="89"/>
      <c r="C516"/>
      <c r="D516"/>
      <c r="E516" s="69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  <c r="V516"/>
      <c r="W516"/>
      <c r="X516"/>
      <c r="Y516"/>
      <c r="Z516"/>
      <c r="AA516"/>
    </row>
    <row r="517" spans="2:27" s="25" customFormat="1" ht="15.75" customHeight="1" x14ac:dyDescent="0.2">
      <c r="B517" s="89"/>
      <c r="C517"/>
      <c r="D517"/>
      <c r="E517" s="69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  <c r="V517"/>
      <c r="W517"/>
      <c r="X517"/>
      <c r="Y517"/>
      <c r="Z517"/>
      <c r="AA517"/>
    </row>
    <row r="518" spans="2:27" s="25" customFormat="1" ht="15.75" customHeight="1" x14ac:dyDescent="0.2">
      <c r="B518" s="89"/>
      <c r="C518"/>
      <c r="D518"/>
      <c r="E518" s="69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  <c r="V518"/>
      <c r="W518"/>
      <c r="X518"/>
      <c r="Y518"/>
      <c r="Z518"/>
      <c r="AA518"/>
    </row>
    <row r="519" spans="2:27" s="25" customFormat="1" ht="15.75" customHeight="1" x14ac:dyDescent="0.2">
      <c r="B519" s="89"/>
      <c r="C519"/>
      <c r="D519"/>
      <c r="E519" s="6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  <c r="V519"/>
      <c r="W519"/>
      <c r="X519"/>
      <c r="Y519"/>
      <c r="Z519"/>
      <c r="AA519"/>
    </row>
    <row r="520" spans="2:27" s="25" customFormat="1" ht="15.75" customHeight="1" x14ac:dyDescent="0.2">
      <c r="B520" s="89"/>
      <c r="C520"/>
      <c r="D520"/>
      <c r="E520" s="69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  <c r="V520"/>
      <c r="W520"/>
      <c r="X520"/>
      <c r="Y520"/>
      <c r="Z520"/>
      <c r="AA520"/>
    </row>
    <row r="521" spans="2:27" s="25" customFormat="1" ht="15.75" customHeight="1" x14ac:dyDescent="0.2">
      <c r="B521" s="89"/>
      <c r="C521"/>
      <c r="D521"/>
      <c r="E521" s="69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  <c r="V521"/>
      <c r="W521"/>
      <c r="X521"/>
      <c r="Y521"/>
      <c r="Z521"/>
      <c r="AA521"/>
    </row>
    <row r="522" spans="2:27" s="25" customFormat="1" ht="15.75" customHeight="1" x14ac:dyDescent="0.2">
      <c r="B522" s="89"/>
      <c r="C522"/>
      <c r="D522"/>
      <c r="E522" s="69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  <c r="V522"/>
      <c r="W522"/>
      <c r="X522"/>
      <c r="Y522"/>
      <c r="Z522"/>
      <c r="AA522"/>
    </row>
    <row r="523" spans="2:27" s="25" customFormat="1" ht="15.75" customHeight="1" x14ac:dyDescent="0.2">
      <c r="B523" s="89"/>
      <c r="C523"/>
      <c r="D523"/>
      <c r="E523" s="69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  <c r="V523"/>
      <c r="W523"/>
      <c r="X523"/>
      <c r="Y523"/>
      <c r="Z523"/>
      <c r="AA523"/>
    </row>
    <row r="524" spans="2:27" s="25" customFormat="1" ht="15.75" customHeight="1" x14ac:dyDescent="0.2">
      <c r="B524" s="89"/>
      <c r="C524"/>
      <c r="D524"/>
      <c r="E524" s="69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  <c r="V524"/>
      <c r="W524"/>
      <c r="X524"/>
      <c r="Y524"/>
      <c r="Z524"/>
      <c r="AA524"/>
    </row>
    <row r="525" spans="2:27" s="25" customFormat="1" ht="15.75" customHeight="1" x14ac:dyDescent="0.2">
      <c r="B525" s="89"/>
      <c r="C525"/>
      <c r="D525"/>
      <c r="E525" s="69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  <c r="V525"/>
      <c r="W525"/>
      <c r="X525"/>
      <c r="Y525"/>
      <c r="Z525"/>
      <c r="AA525"/>
    </row>
    <row r="526" spans="2:27" s="25" customFormat="1" ht="15.75" customHeight="1" x14ac:dyDescent="0.2">
      <c r="B526" s="89"/>
      <c r="C526"/>
      <c r="D526"/>
      <c r="E526" s="69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  <c r="V526"/>
      <c r="W526"/>
      <c r="X526"/>
      <c r="Y526"/>
      <c r="Z526"/>
      <c r="AA526"/>
    </row>
    <row r="527" spans="2:27" s="25" customFormat="1" ht="15.75" customHeight="1" x14ac:dyDescent="0.2">
      <c r="B527" s="89"/>
      <c r="C527"/>
      <c r="D527"/>
      <c r="E527" s="69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  <c r="V527"/>
      <c r="W527"/>
      <c r="X527"/>
      <c r="Y527"/>
      <c r="Z527"/>
      <c r="AA527"/>
    </row>
    <row r="528" spans="2:27" s="25" customFormat="1" ht="15.75" customHeight="1" x14ac:dyDescent="0.2">
      <c r="B528" s="89"/>
      <c r="C528"/>
      <c r="D528"/>
      <c r="E528" s="69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  <c r="V528"/>
      <c r="W528"/>
      <c r="X528"/>
      <c r="Y528"/>
      <c r="Z528"/>
      <c r="AA528"/>
    </row>
    <row r="529" spans="2:27" s="25" customFormat="1" ht="15.75" customHeight="1" x14ac:dyDescent="0.2">
      <c r="B529" s="89"/>
      <c r="C529"/>
      <c r="D529"/>
      <c r="E529" s="6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  <c r="V529"/>
      <c r="W529"/>
      <c r="X529"/>
      <c r="Y529"/>
      <c r="Z529"/>
      <c r="AA529"/>
    </row>
    <row r="530" spans="2:27" s="25" customFormat="1" ht="15.75" customHeight="1" x14ac:dyDescent="0.2">
      <c r="B530" s="89"/>
      <c r="C530"/>
      <c r="D530"/>
      <c r="E530" s="69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  <c r="V530"/>
      <c r="W530"/>
      <c r="X530"/>
      <c r="Y530"/>
      <c r="Z530"/>
      <c r="AA530"/>
    </row>
    <row r="531" spans="2:27" s="25" customFormat="1" ht="15.75" customHeight="1" x14ac:dyDescent="0.2">
      <c r="B531" s="89"/>
      <c r="C531"/>
      <c r="D531"/>
      <c r="E531" s="69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  <c r="V531"/>
      <c r="W531"/>
      <c r="X531"/>
      <c r="Y531"/>
      <c r="Z531"/>
      <c r="AA531"/>
    </row>
    <row r="532" spans="2:27" s="25" customFormat="1" ht="15.75" customHeight="1" x14ac:dyDescent="0.2">
      <c r="B532" s="89"/>
      <c r="C532"/>
      <c r="D532"/>
      <c r="E532" s="69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  <c r="V532"/>
      <c r="W532"/>
      <c r="X532"/>
      <c r="Y532"/>
      <c r="Z532"/>
      <c r="AA532"/>
    </row>
    <row r="533" spans="2:27" s="25" customFormat="1" ht="15.75" customHeight="1" x14ac:dyDescent="0.2">
      <c r="B533" s="89"/>
      <c r="C533"/>
      <c r="D533"/>
      <c r="E533" s="69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  <c r="V533"/>
      <c r="W533"/>
      <c r="X533"/>
      <c r="Y533"/>
      <c r="Z533"/>
      <c r="AA533"/>
    </row>
    <row r="534" spans="2:27" s="25" customFormat="1" ht="15.75" customHeight="1" x14ac:dyDescent="0.2">
      <c r="B534" s="89"/>
      <c r="C534"/>
      <c r="D534"/>
      <c r="E534" s="69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  <c r="V534"/>
      <c r="W534"/>
      <c r="X534"/>
      <c r="Y534"/>
      <c r="Z534"/>
      <c r="AA534"/>
    </row>
    <row r="535" spans="2:27" s="25" customFormat="1" ht="15.75" customHeight="1" x14ac:dyDescent="0.2">
      <c r="B535" s="89"/>
      <c r="C535"/>
      <c r="D535"/>
      <c r="E535" s="69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  <c r="V535"/>
      <c r="W535"/>
      <c r="X535"/>
      <c r="Y535"/>
      <c r="Z535"/>
      <c r="AA535"/>
    </row>
    <row r="536" spans="2:27" s="25" customFormat="1" ht="15.75" customHeight="1" x14ac:dyDescent="0.2">
      <c r="B536" s="89"/>
      <c r="C536"/>
      <c r="D536"/>
      <c r="E536" s="69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  <c r="V536"/>
      <c r="W536"/>
      <c r="X536"/>
      <c r="Y536"/>
      <c r="Z536"/>
      <c r="AA536"/>
    </row>
    <row r="537" spans="2:27" s="25" customFormat="1" ht="15.75" customHeight="1" x14ac:dyDescent="0.2">
      <c r="B537" s="89"/>
      <c r="C537"/>
      <c r="D537"/>
      <c r="E537" s="69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  <c r="V537"/>
      <c r="W537"/>
      <c r="X537"/>
      <c r="Y537"/>
      <c r="Z537"/>
      <c r="AA537"/>
    </row>
    <row r="538" spans="2:27" s="25" customFormat="1" ht="15.75" customHeight="1" x14ac:dyDescent="0.2">
      <c r="B538" s="89"/>
      <c r="C538"/>
      <c r="D538"/>
      <c r="E538" s="69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  <c r="V538"/>
      <c r="W538"/>
      <c r="X538"/>
      <c r="Y538"/>
      <c r="Z538"/>
      <c r="AA538"/>
    </row>
    <row r="539" spans="2:27" s="25" customFormat="1" ht="15.75" customHeight="1" x14ac:dyDescent="0.2">
      <c r="B539" s="89"/>
      <c r="C539"/>
      <c r="D539"/>
      <c r="E539" s="6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  <c r="V539"/>
      <c r="W539"/>
      <c r="X539"/>
      <c r="Y539"/>
      <c r="Z539"/>
      <c r="AA539"/>
    </row>
    <row r="540" spans="2:27" s="25" customFormat="1" ht="15.75" customHeight="1" x14ac:dyDescent="0.2">
      <c r="B540" s="89"/>
      <c r="C540"/>
      <c r="D540"/>
      <c r="E540" s="69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  <c r="V540"/>
      <c r="W540"/>
      <c r="X540"/>
      <c r="Y540"/>
      <c r="Z540"/>
      <c r="AA540"/>
    </row>
    <row r="541" spans="2:27" s="25" customFormat="1" ht="15.75" customHeight="1" x14ac:dyDescent="0.2">
      <c r="B541" s="89"/>
      <c r="C541"/>
      <c r="D541"/>
      <c r="E541" s="69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  <c r="V541"/>
      <c r="W541"/>
      <c r="X541"/>
      <c r="Y541"/>
      <c r="Z541"/>
      <c r="AA541"/>
    </row>
    <row r="542" spans="2:27" s="25" customFormat="1" ht="15.75" customHeight="1" x14ac:dyDescent="0.2">
      <c r="B542" s="89"/>
      <c r="C542"/>
      <c r="D542"/>
      <c r="E542" s="69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  <c r="V542"/>
      <c r="W542"/>
      <c r="X542"/>
      <c r="Y542"/>
      <c r="Z542"/>
      <c r="AA542"/>
    </row>
    <row r="543" spans="2:27" s="25" customFormat="1" ht="15.75" customHeight="1" x14ac:dyDescent="0.2">
      <c r="B543" s="89"/>
      <c r="C543"/>
      <c r="D543"/>
      <c r="E543" s="69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  <c r="V543"/>
      <c r="W543"/>
      <c r="X543"/>
      <c r="Y543"/>
      <c r="Z543"/>
      <c r="AA543"/>
    </row>
    <row r="544" spans="2:27" s="25" customFormat="1" ht="15.75" customHeight="1" x14ac:dyDescent="0.2">
      <c r="B544" s="89"/>
      <c r="C544"/>
      <c r="D544"/>
      <c r="E544" s="69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  <c r="V544"/>
      <c r="W544"/>
      <c r="X544"/>
      <c r="Y544"/>
      <c r="Z544"/>
      <c r="AA544"/>
    </row>
    <row r="545" spans="2:27" s="25" customFormat="1" ht="15.75" customHeight="1" x14ac:dyDescent="0.2">
      <c r="B545" s="89"/>
      <c r="C545"/>
      <c r="D545"/>
      <c r="E545" s="69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  <c r="V545"/>
      <c r="W545"/>
      <c r="X545"/>
      <c r="Y545"/>
      <c r="Z545"/>
      <c r="AA545"/>
    </row>
    <row r="546" spans="2:27" s="25" customFormat="1" ht="15.75" customHeight="1" x14ac:dyDescent="0.2">
      <c r="B546" s="89"/>
      <c r="C546"/>
      <c r="D546"/>
      <c r="E546" s="69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  <c r="V546"/>
      <c r="W546"/>
      <c r="X546"/>
      <c r="Y546"/>
      <c r="Z546"/>
      <c r="AA546"/>
    </row>
    <row r="547" spans="2:27" s="25" customFormat="1" ht="15.75" customHeight="1" x14ac:dyDescent="0.2">
      <c r="B547" s="89"/>
      <c r="C547"/>
      <c r="D547"/>
      <c r="E547" s="69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  <c r="V547"/>
      <c r="W547"/>
      <c r="X547"/>
      <c r="Y547"/>
      <c r="Z547"/>
      <c r="AA547"/>
    </row>
    <row r="548" spans="2:27" s="25" customFormat="1" ht="15.75" customHeight="1" x14ac:dyDescent="0.2">
      <c r="B548" s="89"/>
      <c r="C548"/>
      <c r="D548"/>
      <c r="E548" s="69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  <c r="V548"/>
      <c r="W548"/>
      <c r="X548"/>
      <c r="Y548"/>
      <c r="Z548"/>
      <c r="AA548"/>
    </row>
    <row r="549" spans="2:27" s="25" customFormat="1" ht="15.75" customHeight="1" x14ac:dyDescent="0.2">
      <c r="B549" s="89"/>
      <c r="C549"/>
      <c r="D549"/>
      <c r="E549" s="6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  <c r="U549"/>
      <c r="V549"/>
      <c r="W549"/>
      <c r="X549"/>
      <c r="Y549"/>
      <c r="Z549"/>
      <c r="AA549"/>
    </row>
    <row r="550" spans="2:27" s="25" customFormat="1" ht="15.75" customHeight="1" x14ac:dyDescent="0.2">
      <c r="B550" s="89"/>
      <c r="C550"/>
      <c r="D550"/>
      <c r="E550" s="69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  <c r="V550"/>
      <c r="W550"/>
      <c r="X550"/>
      <c r="Y550"/>
      <c r="Z550"/>
      <c r="AA550"/>
    </row>
    <row r="551" spans="2:27" s="25" customFormat="1" ht="15.75" customHeight="1" x14ac:dyDescent="0.2">
      <c r="B551" s="89"/>
      <c r="C551"/>
      <c r="D551"/>
      <c r="E551" s="69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  <c r="V551"/>
      <c r="W551"/>
      <c r="X551"/>
      <c r="Y551"/>
      <c r="Z551"/>
      <c r="AA551"/>
    </row>
    <row r="552" spans="2:27" s="25" customFormat="1" ht="15.75" customHeight="1" x14ac:dyDescent="0.2">
      <c r="B552" s="89"/>
      <c r="C552"/>
      <c r="D552"/>
      <c r="E552" s="69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  <c r="V552"/>
      <c r="W552"/>
      <c r="X552"/>
      <c r="Y552"/>
      <c r="Z552"/>
      <c r="AA552"/>
    </row>
    <row r="553" spans="2:27" s="25" customFormat="1" ht="15.75" customHeight="1" x14ac:dyDescent="0.2">
      <c r="B553" s="89"/>
      <c r="C553"/>
      <c r="D553"/>
      <c r="E553" s="69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  <c r="V553"/>
      <c r="W553"/>
      <c r="X553"/>
      <c r="Y553"/>
      <c r="Z553"/>
      <c r="AA553"/>
    </row>
    <row r="554" spans="2:27" s="25" customFormat="1" ht="15.75" customHeight="1" x14ac:dyDescent="0.2">
      <c r="B554" s="89"/>
      <c r="C554"/>
      <c r="D554"/>
      <c r="E554" s="69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  <c r="V554"/>
      <c r="W554"/>
      <c r="X554"/>
      <c r="Y554"/>
      <c r="Z554"/>
      <c r="AA554"/>
    </row>
    <row r="555" spans="2:27" s="25" customFormat="1" ht="15.75" customHeight="1" x14ac:dyDescent="0.2">
      <c r="B555" s="89"/>
      <c r="C555"/>
      <c r="D555"/>
      <c r="E555" s="69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  <c r="V555"/>
      <c r="W555"/>
      <c r="X555"/>
      <c r="Y555"/>
      <c r="Z555"/>
      <c r="AA555"/>
    </row>
    <row r="556" spans="2:27" s="25" customFormat="1" ht="15.75" customHeight="1" x14ac:dyDescent="0.2">
      <c r="B556" s="89"/>
      <c r="C556"/>
      <c r="D556"/>
      <c r="E556" s="69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  <c r="V556"/>
      <c r="W556"/>
      <c r="X556"/>
      <c r="Y556"/>
      <c r="Z556"/>
      <c r="AA556"/>
    </row>
    <row r="557" spans="2:27" s="25" customFormat="1" ht="15.75" customHeight="1" x14ac:dyDescent="0.2">
      <c r="B557" s="89"/>
      <c r="C557"/>
      <c r="D557"/>
      <c r="E557" s="69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  <c r="V557"/>
      <c r="W557"/>
      <c r="X557"/>
      <c r="Y557"/>
      <c r="Z557"/>
      <c r="AA557"/>
    </row>
    <row r="558" spans="2:27" s="25" customFormat="1" ht="15.75" customHeight="1" x14ac:dyDescent="0.2">
      <c r="B558" s="89"/>
      <c r="C558"/>
      <c r="D558"/>
      <c r="E558" s="69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  <c r="V558"/>
      <c r="W558"/>
      <c r="X558"/>
      <c r="Y558"/>
      <c r="Z558"/>
      <c r="AA558"/>
    </row>
    <row r="559" spans="2:27" s="25" customFormat="1" ht="15.75" customHeight="1" x14ac:dyDescent="0.2">
      <c r="B559" s="89"/>
      <c r="C559"/>
      <c r="D559"/>
      <c r="E559" s="6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  <c r="V559"/>
      <c r="W559"/>
      <c r="X559"/>
      <c r="Y559"/>
      <c r="Z559"/>
      <c r="AA559"/>
    </row>
    <row r="560" spans="2:27" s="25" customFormat="1" ht="15.75" customHeight="1" x14ac:dyDescent="0.2">
      <c r="B560" s="89"/>
      <c r="C560"/>
      <c r="D560"/>
      <c r="E560" s="69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  <c r="V560"/>
      <c r="W560"/>
      <c r="X560"/>
      <c r="Y560"/>
      <c r="Z560"/>
      <c r="AA560"/>
    </row>
    <row r="561" spans="2:27" s="25" customFormat="1" ht="15.75" customHeight="1" x14ac:dyDescent="0.2">
      <c r="B561" s="89"/>
      <c r="C561"/>
      <c r="D561"/>
      <c r="E561" s="69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  <c r="V561"/>
      <c r="W561"/>
      <c r="X561"/>
      <c r="Y561"/>
      <c r="Z561"/>
      <c r="AA561"/>
    </row>
    <row r="562" spans="2:27" s="25" customFormat="1" ht="15.75" customHeight="1" x14ac:dyDescent="0.2">
      <c r="B562" s="89"/>
      <c r="C562"/>
      <c r="D562"/>
      <c r="E562" s="69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  <c r="V562"/>
      <c r="W562"/>
      <c r="X562"/>
      <c r="Y562"/>
      <c r="Z562"/>
      <c r="AA562"/>
    </row>
    <row r="563" spans="2:27" s="25" customFormat="1" ht="15.75" customHeight="1" x14ac:dyDescent="0.2">
      <c r="B563" s="89"/>
      <c r="C563"/>
      <c r="D563"/>
      <c r="E563" s="69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  <c r="V563"/>
      <c r="W563"/>
      <c r="X563"/>
      <c r="Y563"/>
      <c r="Z563"/>
      <c r="AA563"/>
    </row>
    <row r="564" spans="2:27" s="25" customFormat="1" ht="15.75" customHeight="1" x14ac:dyDescent="0.2">
      <c r="B564" s="89"/>
      <c r="C564"/>
      <c r="D564"/>
      <c r="E564" s="69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  <c r="V564"/>
      <c r="W564"/>
      <c r="X564"/>
      <c r="Y564"/>
      <c r="Z564"/>
      <c r="AA564"/>
    </row>
    <row r="565" spans="2:27" s="25" customFormat="1" ht="15.75" customHeight="1" x14ac:dyDescent="0.2">
      <c r="B565" s="89"/>
      <c r="C565"/>
      <c r="D565"/>
      <c r="E565" s="69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  <c r="V565"/>
      <c r="W565"/>
      <c r="X565"/>
      <c r="Y565"/>
      <c r="Z565"/>
      <c r="AA565"/>
    </row>
    <row r="566" spans="2:27" s="25" customFormat="1" ht="15.75" customHeight="1" x14ac:dyDescent="0.2">
      <c r="B566" s="89"/>
      <c r="C566"/>
      <c r="D566"/>
      <c r="E566" s="69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  <c r="V566"/>
      <c r="W566"/>
      <c r="X566"/>
      <c r="Y566"/>
      <c r="Z566"/>
      <c r="AA566"/>
    </row>
    <row r="567" spans="2:27" s="25" customFormat="1" ht="15.75" customHeight="1" x14ac:dyDescent="0.2">
      <c r="B567" s="89"/>
      <c r="C567"/>
      <c r="D567"/>
      <c r="E567" s="69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  <c r="V567"/>
      <c r="W567"/>
      <c r="X567"/>
      <c r="Y567"/>
      <c r="Z567"/>
      <c r="AA567"/>
    </row>
    <row r="568" spans="2:27" s="25" customFormat="1" ht="15.75" customHeight="1" x14ac:dyDescent="0.2">
      <c r="B568" s="89"/>
      <c r="C568"/>
      <c r="D568"/>
      <c r="E568" s="69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  <c r="V568"/>
      <c r="W568"/>
      <c r="X568"/>
      <c r="Y568"/>
      <c r="Z568"/>
      <c r="AA568"/>
    </row>
    <row r="569" spans="2:27" s="25" customFormat="1" ht="15.75" customHeight="1" x14ac:dyDescent="0.2">
      <c r="B569" s="89"/>
      <c r="C569"/>
      <c r="D569"/>
      <c r="E569" s="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  <c r="V569"/>
      <c r="W569"/>
      <c r="X569"/>
      <c r="Y569"/>
      <c r="Z569"/>
      <c r="AA569"/>
    </row>
    <row r="570" spans="2:27" s="25" customFormat="1" ht="15.75" customHeight="1" x14ac:dyDescent="0.2">
      <c r="B570" s="89"/>
      <c r="C570"/>
      <c r="D570"/>
      <c r="E570" s="69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  <c r="V570"/>
      <c r="W570"/>
      <c r="X570"/>
      <c r="Y570"/>
      <c r="Z570"/>
      <c r="AA570"/>
    </row>
    <row r="571" spans="2:27" s="25" customFormat="1" ht="15.75" customHeight="1" x14ac:dyDescent="0.2">
      <c r="B571" s="89"/>
      <c r="C571"/>
      <c r="D571"/>
      <c r="E571" s="69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  <c r="V571"/>
      <c r="W571"/>
      <c r="X571"/>
      <c r="Y571"/>
      <c r="Z571"/>
      <c r="AA571"/>
    </row>
    <row r="572" spans="2:27" s="25" customFormat="1" ht="15.75" customHeight="1" x14ac:dyDescent="0.2">
      <c r="B572" s="89"/>
      <c r="C572"/>
      <c r="D572"/>
      <c r="E572" s="69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  <c r="V572"/>
      <c r="W572"/>
      <c r="X572"/>
      <c r="Y572"/>
      <c r="Z572"/>
      <c r="AA572"/>
    </row>
    <row r="573" spans="2:27" s="25" customFormat="1" ht="15.75" customHeight="1" x14ac:dyDescent="0.2">
      <c r="B573" s="89"/>
      <c r="C573"/>
      <c r="D573"/>
      <c r="E573" s="69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  <c r="V573"/>
      <c r="W573"/>
      <c r="X573"/>
      <c r="Y573"/>
      <c r="Z573"/>
      <c r="AA573"/>
    </row>
    <row r="574" spans="2:27" s="25" customFormat="1" ht="15.75" customHeight="1" x14ac:dyDescent="0.2">
      <c r="B574" s="89"/>
      <c r="C574"/>
      <c r="D574"/>
      <c r="E574" s="69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  <c r="V574"/>
      <c r="W574"/>
      <c r="X574"/>
      <c r="Y574"/>
      <c r="Z574"/>
      <c r="AA574"/>
    </row>
    <row r="575" spans="2:27" s="25" customFormat="1" ht="15.75" customHeight="1" x14ac:dyDescent="0.2">
      <c r="B575" s="89"/>
      <c r="C575"/>
      <c r="D575"/>
      <c r="E575" s="69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  <c r="V575"/>
      <c r="W575"/>
      <c r="X575"/>
      <c r="Y575"/>
      <c r="Z575"/>
      <c r="AA575"/>
    </row>
    <row r="576" spans="2:27" s="25" customFormat="1" ht="15.75" customHeight="1" x14ac:dyDescent="0.2">
      <c r="B576" s="89"/>
      <c r="C576"/>
      <c r="D576"/>
      <c r="E576" s="69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  <c r="V576"/>
      <c r="W576"/>
      <c r="X576"/>
      <c r="Y576"/>
      <c r="Z576"/>
      <c r="AA576"/>
    </row>
    <row r="577" spans="2:27" s="25" customFormat="1" ht="15.75" customHeight="1" x14ac:dyDescent="0.2">
      <c r="B577" s="89"/>
      <c r="C577"/>
      <c r="D577"/>
      <c r="E577" s="69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  <c r="V577"/>
      <c r="W577"/>
      <c r="X577"/>
      <c r="Y577"/>
      <c r="Z577"/>
      <c r="AA577"/>
    </row>
    <row r="578" spans="2:27" s="25" customFormat="1" ht="15.75" customHeight="1" x14ac:dyDescent="0.2">
      <c r="B578" s="89"/>
      <c r="C578"/>
      <c r="D578"/>
      <c r="E578" s="69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  <c r="V578"/>
      <c r="W578"/>
      <c r="X578"/>
      <c r="Y578"/>
      <c r="Z578"/>
      <c r="AA578"/>
    </row>
    <row r="579" spans="2:27" s="25" customFormat="1" ht="15.75" customHeight="1" x14ac:dyDescent="0.2">
      <c r="B579" s="89"/>
      <c r="C579"/>
      <c r="D579"/>
      <c r="E579" s="6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  <c r="V579"/>
      <c r="W579"/>
      <c r="X579"/>
      <c r="Y579"/>
      <c r="Z579"/>
      <c r="AA579"/>
    </row>
    <row r="580" spans="2:27" s="25" customFormat="1" ht="15.75" customHeight="1" x14ac:dyDescent="0.2">
      <c r="B580" s="89"/>
      <c r="C580"/>
      <c r="D580"/>
      <c r="E580" s="69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  <c r="V580"/>
      <c r="W580"/>
      <c r="X580"/>
      <c r="Y580"/>
      <c r="Z580"/>
      <c r="AA580"/>
    </row>
    <row r="581" spans="2:27" s="25" customFormat="1" ht="15.75" customHeight="1" x14ac:dyDescent="0.2">
      <c r="B581" s="89"/>
      <c r="C581"/>
      <c r="D581"/>
      <c r="E581" s="69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  <c r="V581"/>
      <c r="W581"/>
      <c r="X581"/>
      <c r="Y581"/>
      <c r="Z581"/>
      <c r="AA581"/>
    </row>
    <row r="582" spans="2:27" s="25" customFormat="1" ht="15.75" customHeight="1" x14ac:dyDescent="0.2">
      <c r="B582" s="89"/>
      <c r="C582"/>
      <c r="D582"/>
      <c r="E582" s="69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  <c r="V582"/>
      <c r="W582"/>
      <c r="X582"/>
      <c r="Y582"/>
      <c r="Z582"/>
      <c r="AA582"/>
    </row>
    <row r="583" spans="2:27" s="25" customFormat="1" ht="15.75" customHeight="1" x14ac:dyDescent="0.2">
      <c r="B583" s="89"/>
      <c r="C583"/>
      <c r="D583"/>
      <c r="E583" s="69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  <c r="U583"/>
      <c r="V583"/>
      <c r="W583"/>
      <c r="X583"/>
      <c r="Y583"/>
      <c r="Z583"/>
      <c r="AA583"/>
    </row>
    <row r="584" spans="2:27" s="25" customFormat="1" ht="15.75" customHeight="1" x14ac:dyDescent="0.2">
      <c r="B584" s="89"/>
      <c r="C584"/>
      <c r="D584"/>
      <c r="E584" s="69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  <c r="V584"/>
      <c r="W584"/>
      <c r="X584"/>
      <c r="Y584"/>
      <c r="Z584"/>
      <c r="AA584"/>
    </row>
    <row r="585" spans="2:27" s="25" customFormat="1" ht="15.75" customHeight="1" x14ac:dyDescent="0.2">
      <c r="B585" s="89"/>
      <c r="C585"/>
      <c r="D585"/>
      <c r="E585" s="69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  <c r="V585"/>
      <c r="W585"/>
      <c r="X585"/>
      <c r="Y585"/>
      <c r="Z585"/>
      <c r="AA585"/>
    </row>
    <row r="586" spans="2:27" s="25" customFormat="1" ht="15.75" customHeight="1" x14ac:dyDescent="0.2">
      <c r="B586" s="89"/>
      <c r="C586"/>
      <c r="D586"/>
      <c r="E586" s="69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  <c r="V586"/>
      <c r="W586"/>
      <c r="X586"/>
      <c r="Y586"/>
      <c r="Z586"/>
      <c r="AA586"/>
    </row>
    <row r="587" spans="2:27" s="25" customFormat="1" ht="15.75" customHeight="1" x14ac:dyDescent="0.2">
      <c r="B587" s="89"/>
      <c r="C587"/>
      <c r="D587"/>
      <c r="E587" s="69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  <c r="V587"/>
      <c r="W587"/>
      <c r="X587"/>
      <c r="Y587"/>
      <c r="Z587"/>
      <c r="AA587"/>
    </row>
    <row r="588" spans="2:27" s="25" customFormat="1" ht="15.75" customHeight="1" x14ac:dyDescent="0.2">
      <c r="B588" s="89"/>
      <c r="C588"/>
      <c r="D588"/>
      <c r="E588" s="69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  <c r="V588"/>
      <c r="W588"/>
      <c r="X588"/>
      <c r="Y588"/>
      <c r="Z588"/>
      <c r="AA588"/>
    </row>
    <row r="589" spans="2:27" s="25" customFormat="1" ht="15.75" customHeight="1" x14ac:dyDescent="0.2">
      <c r="B589" s="89"/>
      <c r="C589"/>
      <c r="D589"/>
      <c r="E589" s="6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  <c r="V589"/>
      <c r="W589"/>
      <c r="X589"/>
      <c r="Y589"/>
      <c r="Z589"/>
      <c r="AA589"/>
    </row>
    <row r="590" spans="2:27" s="25" customFormat="1" ht="15.75" customHeight="1" x14ac:dyDescent="0.2">
      <c r="B590" s="89"/>
      <c r="C590"/>
      <c r="D590"/>
      <c r="E590" s="69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  <c r="V590"/>
      <c r="W590"/>
      <c r="X590"/>
      <c r="Y590"/>
      <c r="Z590"/>
      <c r="AA590"/>
    </row>
    <row r="591" spans="2:27" s="25" customFormat="1" ht="15.75" customHeight="1" x14ac:dyDescent="0.2">
      <c r="B591" s="89"/>
      <c r="C591"/>
      <c r="D591"/>
      <c r="E591" s="69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  <c r="U591"/>
      <c r="V591"/>
      <c r="W591"/>
      <c r="X591"/>
      <c r="Y591"/>
      <c r="Z591"/>
      <c r="AA591"/>
    </row>
    <row r="592" spans="2:27" s="25" customFormat="1" ht="15.75" customHeight="1" x14ac:dyDescent="0.2">
      <c r="B592" s="89"/>
      <c r="C592"/>
      <c r="D592"/>
      <c r="E592" s="69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  <c r="V592"/>
      <c r="W592"/>
      <c r="X592"/>
      <c r="Y592"/>
      <c r="Z592"/>
      <c r="AA592"/>
    </row>
    <row r="593" spans="2:27" s="25" customFormat="1" ht="15.75" customHeight="1" x14ac:dyDescent="0.2">
      <c r="B593" s="89"/>
      <c r="C593"/>
      <c r="D593"/>
      <c r="E593" s="69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  <c r="V593"/>
      <c r="W593"/>
      <c r="X593"/>
      <c r="Y593"/>
      <c r="Z593"/>
      <c r="AA593"/>
    </row>
    <row r="594" spans="2:27" s="25" customFormat="1" ht="15.75" customHeight="1" x14ac:dyDescent="0.2">
      <c r="B594" s="89"/>
      <c r="C594"/>
      <c r="D594"/>
      <c r="E594" s="69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  <c r="V594"/>
      <c r="W594"/>
      <c r="X594"/>
      <c r="Y594"/>
      <c r="Z594"/>
      <c r="AA594"/>
    </row>
    <row r="595" spans="2:27" s="25" customFormat="1" ht="15.75" customHeight="1" x14ac:dyDescent="0.2">
      <c r="B595" s="89"/>
      <c r="C595"/>
      <c r="D595"/>
      <c r="E595" s="69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  <c r="V595"/>
      <c r="W595"/>
      <c r="X595"/>
      <c r="Y595"/>
      <c r="Z595"/>
      <c r="AA595"/>
    </row>
    <row r="596" spans="2:27" s="25" customFormat="1" ht="15.75" customHeight="1" x14ac:dyDescent="0.2">
      <c r="B596" s="89"/>
      <c r="C596"/>
      <c r="D596"/>
      <c r="E596" s="69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  <c r="V596"/>
      <c r="W596"/>
      <c r="X596"/>
      <c r="Y596"/>
      <c r="Z596"/>
      <c r="AA596"/>
    </row>
    <row r="597" spans="2:27" s="25" customFormat="1" ht="15.75" customHeight="1" x14ac:dyDescent="0.2">
      <c r="B597" s="89"/>
      <c r="C597"/>
      <c r="D597"/>
      <c r="E597" s="69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  <c r="V597"/>
      <c r="W597"/>
      <c r="X597"/>
      <c r="Y597"/>
      <c r="Z597"/>
      <c r="AA597"/>
    </row>
    <row r="598" spans="2:27" s="25" customFormat="1" ht="15.75" customHeight="1" x14ac:dyDescent="0.2">
      <c r="B598" s="89"/>
      <c r="C598"/>
      <c r="D598"/>
      <c r="E598" s="69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  <c r="V598"/>
      <c r="W598"/>
      <c r="X598"/>
      <c r="Y598"/>
      <c r="Z598"/>
      <c r="AA598"/>
    </row>
    <row r="599" spans="2:27" s="25" customFormat="1" ht="15.75" customHeight="1" x14ac:dyDescent="0.2">
      <c r="B599" s="89"/>
      <c r="C599"/>
      <c r="D599"/>
      <c r="E599" s="6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  <c r="V599"/>
      <c r="W599"/>
      <c r="X599"/>
      <c r="Y599"/>
      <c r="Z599"/>
      <c r="AA599"/>
    </row>
    <row r="600" spans="2:27" s="25" customFormat="1" ht="15.75" customHeight="1" x14ac:dyDescent="0.2">
      <c r="B600" s="89"/>
      <c r="C600"/>
      <c r="D600"/>
      <c r="E600" s="69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  <c r="V600"/>
      <c r="W600"/>
      <c r="X600"/>
      <c r="Y600"/>
      <c r="Z600"/>
      <c r="AA600"/>
    </row>
    <row r="601" spans="2:27" s="25" customFormat="1" ht="15.75" customHeight="1" x14ac:dyDescent="0.2">
      <c r="B601" s="89"/>
      <c r="C601"/>
      <c r="D601"/>
      <c r="E601" s="69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  <c r="V601"/>
      <c r="W601"/>
      <c r="X601"/>
      <c r="Y601"/>
      <c r="Z601"/>
      <c r="AA601"/>
    </row>
    <row r="602" spans="2:27" s="25" customFormat="1" ht="15.75" customHeight="1" x14ac:dyDescent="0.2">
      <c r="B602" s="89"/>
      <c r="C602"/>
      <c r="D602"/>
      <c r="E602" s="69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  <c r="V602"/>
      <c r="W602"/>
      <c r="X602"/>
      <c r="Y602"/>
      <c r="Z602"/>
      <c r="AA602"/>
    </row>
    <row r="603" spans="2:27" s="25" customFormat="1" ht="15.75" customHeight="1" x14ac:dyDescent="0.2">
      <c r="B603" s="89"/>
      <c r="C603"/>
      <c r="D603"/>
      <c r="E603" s="69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  <c r="V603"/>
      <c r="W603"/>
      <c r="X603"/>
      <c r="Y603"/>
      <c r="Z603"/>
      <c r="AA603"/>
    </row>
    <row r="604" spans="2:27" s="25" customFormat="1" ht="15.75" customHeight="1" x14ac:dyDescent="0.2">
      <c r="B604" s="89"/>
      <c r="C604"/>
      <c r="D604"/>
      <c r="E604" s="69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  <c r="V604"/>
      <c r="W604"/>
      <c r="X604"/>
      <c r="Y604"/>
      <c r="Z604"/>
      <c r="AA604"/>
    </row>
    <row r="605" spans="2:27" s="25" customFormat="1" ht="15.75" customHeight="1" x14ac:dyDescent="0.2">
      <c r="B605" s="89"/>
      <c r="C605"/>
      <c r="D605"/>
      <c r="E605" s="69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  <c r="V605"/>
      <c r="W605"/>
      <c r="X605"/>
      <c r="Y605"/>
      <c r="Z605"/>
      <c r="AA605"/>
    </row>
    <row r="606" spans="2:27" s="25" customFormat="1" ht="15.75" customHeight="1" x14ac:dyDescent="0.2">
      <c r="B606" s="89"/>
      <c r="C606"/>
      <c r="D606"/>
      <c r="E606" s="69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  <c r="U606"/>
      <c r="V606"/>
      <c r="W606"/>
      <c r="X606"/>
      <c r="Y606"/>
      <c r="Z606"/>
      <c r="AA606"/>
    </row>
    <row r="607" spans="2:27" s="25" customFormat="1" ht="15.75" customHeight="1" x14ac:dyDescent="0.2">
      <c r="B607" s="89"/>
      <c r="C607"/>
      <c r="D607"/>
      <c r="E607" s="69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  <c r="U607"/>
      <c r="V607"/>
      <c r="W607"/>
      <c r="X607"/>
      <c r="Y607"/>
      <c r="Z607"/>
      <c r="AA607"/>
    </row>
    <row r="608" spans="2:27" s="25" customFormat="1" ht="15.75" customHeight="1" x14ac:dyDescent="0.2">
      <c r="B608" s="89"/>
      <c r="C608"/>
      <c r="D608"/>
      <c r="E608" s="69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  <c r="V608"/>
      <c r="W608"/>
      <c r="X608"/>
      <c r="Y608"/>
      <c r="Z608"/>
      <c r="AA608"/>
    </row>
    <row r="609" spans="2:27" s="25" customFormat="1" ht="15.75" customHeight="1" x14ac:dyDescent="0.2">
      <c r="B609" s="89"/>
      <c r="C609"/>
      <c r="D609"/>
      <c r="E609" s="6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  <c r="V609"/>
      <c r="W609"/>
      <c r="X609"/>
      <c r="Y609"/>
      <c r="Z609"/>
      <c r="AA609"/>
    </row>
    <row r="610" spans="2:27" s="25" customFormat="1" ht="15.75" customHeight="1" x14ac:dyDescent="0.2">
      <c r="B610" s="89"/>
      <c r="C610"/>
      <c r="D610"/>
      <c r="E610" s="69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  <c r="V610"/>
      <c r="W610"/>
      <c r="X610"/>
      <c r="Y610"/>
      <c r="Z610"/>
      <c r="AA610"/>
    </row>
    <row r="611" spans="2:27" s="25" customFormat="1" ht="15.75" customHeight="1" x14ac:dyDescent="0.2">
      <c r="B611" s="89"/>
      <c r="C611"/>
      <c r="D611"/>
      <c r="E611" s="69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  <c r="V611"/>
      <c r="W611"/>
      <c r="X611"/>
      <c r="Y611"/>
      <c r="Z611"/>
      <c r="AA611"/>
    </row>
    <row r="612" spans="2:27" s="25" customFormat="1" ht="15.75" customHeight="1" x14ac:dyDescent="0.2">
      <c r="B612" s="89"/>
      <c r="C612"/>
      <c r="D612"/>
      <c r="E612" s="69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  <c r="V612"/>
      <c r="W612"/>
      <c r="X612"/>
      <c r="Y612"/>
      <c r="Z612"/>
      <c r="AA612"/>
    </row>
    <row r="613" spans="2:27" s="25" customFormat="1" ht="15.75" customHeight="1" x14ac:dyDescent="0.2">
      <c r="B613" s="89"/>
      <c r="C613"/>
      <c r="D613"/>
      <c r="E613" s="69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  <c r="V613"/>
      <c r="W613"/>
      <c r="X613"/>
      <c r="Y613"/>
      <c r="Z613"/>
      <c r="AA613"/>
    </row>
    <row r="614" spans="2:27" s="25" customFormat="1" ht="15.75" customHeight="1" x14ac:dyDescent="0.2">
      <c r="B614" s="89"/>
      <c r="C614"/>
      <c r="D614"/>
      <c r="E614" s="69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  <c r="V614"/>
      <c r="W614"/>
      <c r="X614"/>
      <c r="Y614"/>
      <c r="Z614"/>
      <c r="AA614"/>
    </row>
    <row r="615" spans="2:27" s="25" customFormat="1" ht="15.75" customHeight="1" x14ac:dyDescent="0.2">
      <c r="B615" s="89"/>
      <c r="C615"/>
      <c r="D615"/>
      <c r="E615" s="69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  <c r="V615"/>
      <c r="W615"/>
      <c r="X615"/>
      <c r="Y615"/>
      <c r="Z615"/>
      <c r="AA615"/>
    </row>
    <row r="616" spans="2:27" s="25" customFormat="1" ht="15.75" customHeight="1" x14ac:dyDescent="0.2">
      <c r="B616" s="89"/>
      <c r="C616"/>
      <c r="D616"/>
      <c r="E616" s="69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  <c r="V616"/>
      <c r="W616"/>
      <c r="X616"/>
      <c r="Y616"/>
      <c r="Z616"/>
      <c r="AA616"/>
    </row>
    <row r="617" spans="2:27" s="25" customFormat="1" ht="15.75" customHeight="1" x14ac:dyDescent="0.2">
      <c r="B617" s="89"/>
      <c r="C617"/>
      <c r="D617"/>
      <c r="E617" s="69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  <c r="V617"/>
      <c r="W617"/>
      <c r="X617"/>
      <c r="Y617"/>
      <c r="Z617"/>
      <c r="AA617"/>
    </row>
    <row r="618" spans="2:27" s="25" customFormat="1" ht="15.75" customHeight="1" x14ac:dyDescent="0.2">
      <c r="B618" s="89"/>
      <c r="C618"/>
      <c r="D618"/>
      <c r="E618" s="69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  <c r="V618"/>
      <c r="W618"/>
      <c r="X618"/>
      <c r="Y618"/>
      <c r="Z618"/>
      <c r="AA618"/>
    </row>
    <row r="619" spans="2:27" s="25" customFormat="1" ht="15.75" customHeight="1" x14ac:dyDescent="0.2">
      <c r="B619" s="89"/>
      <c r="C619"/>
      <c r="D619"/>
      <c r="E619" s="6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  <c r="V619"/>
      <c r="W619"/>
      <c r="X619"/>
      <c r="Y619"/>
      <c r="Z619"/>
      <c r="AA619"/>
    </row>
    <row r="620" spans="2:27" s="25" customFormat="1" ht="15.75" customHeight="1" x14ac:dyDescent="0.2">
      <c r="B620" s="89"/>
      <c r="C620"/>
      <c r="D620"/>
      <c r="E620" s="69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  <c r="V620"/>
      <c r="W620"/>
      <c r="X620"/>
      <c r="Y620"/>
      <c r="Z620"/>
      <c r="AA620"/>
    </row>
    <row r="621" spans="2:27" s="25" customFormat="1" ht="15.75" customHeight="1" x14ac:dyDescent="0.2">
      <c r="B621" s="89"/>
      <c r="C621"/>
      <c r="D621"/>
      <c r="E621" s="69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  <c r="V621"/>
      <c r="W621"/>
      <c r="X621"/>
      <c r="Y621"/>
      <c r="Z621"/>
      <c r="AA621"/>
    </row>
    <row r="622" spans="2:27" s="25" customFormat="1" ht="15.75" customHeight="1" x14ac:dyDescent="0.2">
      <c r="B622" s="89"/>
      <c r="C622"/>
      <c r="D622"/>
      <c r="E622" s="69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  <c r="V622"/>
      <c r="W622"/>
      <c r="X622"/>
      <c r="Y622"/>
      <c r="Z622"/>
      <c r="AA622"/>
    </row>
    <row r="623" spans="2:27" s="25" customFormat="1" ht="15.75" customHeight="1" x14ac:dyDescent="0.2">
      <c r="B623" s="89"/>
      <c r="C623"/>
      <c r="D623"/>
      <c r="E623" s="69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  <c r="V623"/>
      <c r="W623"/>
      <c r="X623"/>
      <c r="Y623"/>
      <c r="Z623"/>
      <c r="AA623"/>
    </row>
    <row r="624" spans="2:27" s="25" customFormat="1" ht="15.75" customHeight="1" x14ac:dyDescent="0.2">
      <c r="B624" s="89"/>
      <c r="C624"/>
      <c r="D624"/>
      <c r="E624" s="69"/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  <c r="T624"/>
      <c r="U624"/>
      <c r="V624"/>
      <c r="W624"/>
      <c r="X624"/>
      <c r="Y624"/>
      <c r="Z624"/>
      <c r="AA624"/>
    </row>
    <row r="625" spans="2:27" s="25" customFormat="1" ht="15.75" customHeight="1" x14ac:dyDescent="0.2">
      <c r="B625" s="89"/>
      <c r="C625"/>
      <c r="D625"/>
      <c r="E625" s="69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  <c r="V625"/>
      <c r="W625"/>
      <c r="X625"/>
      <c r="Y625"/>
      <c r="Z625"/>
      <c r="AA625"/>
    </row>
    <row r="626" spans="2:27" s="25" customFormat="1" ht="15.75" customHeight="1" x14ac:dyDescent="0.2">
      <c r="B626" s="89"/>
      <c r="C626"/>
      <c r="D626"/>
      <c r="E626" s="69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  <c r="V626"/>
      <c r="W626"/>
      <c r="X626"/>
      <c r="Y626"/>
      <c r="Z626"/>
      <c r="AA626"/>
    </row>
    <row r="627" spans="2:27" s="25" customFormat="1" ht="15.75" customHeight="1" x14ac:dyDescent="0.2">
      <c r="B627" s="89"/>
      <c r="C627"/>
      <c r="D627"/>
      <c r="E627" s="69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  <c r="V627"/>
      <c r="W627"/>
      <c r="X627"/>
      <c r="Y627"/>
      <c r="Z627"/>
      <c r="AA627"/>
    </row>
    <row r="628" spans="2:27" s="25" customFormat="1" ht="15.75" customHeight="1" x14ac:dyDescent="0.2">
      <c r="B628" s="89"/>
      <c r="C628"/>
      <c r="D628"/>
      <c r="E628" s="69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  <c r="V628"/>
      <c r="W628"/>
      <c r="X628"/>
      <c r="Y628"/>
      <c r="Z628"/>
      <c r="AA628"/>
    </row>
    <row r="629" spans="2:27" s="25" customFormat="1" ht="15.75" customHeight="1" x14ac:dyDescent="0.2">
      <c r="B629" s="89"/>
      <c r="C629"/>
      <c r="D629"/>
      <c r="E629" s="6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  <c r="V629"/>
      <c r="W629"/>
      <c r="X629"/>
      <c r="Y629"/>
      <c r="Z629"/>
      <c r="AA629"/>
    </row>
    <row r="630" spans="2:27" s="25" customFormat="1" ht="15.75" customHeight="1" x14ac:dyDescent="0.2">
      <c r="B630" s="89"/>
      <c r="C630"/>
      <c r="D630"/>
      <c r="E630" s="69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  <c r="V630"/>
      <c r="W630"/>
      <c r="X630"/>
      <c r="Y630"/>
      <c r="Z630"/>
      <c r="AA630"/>
    </row>
    <row r="631" spans="2:27" s="25" customFormat="1" ht="15.75" customHeight="1" x14ac:dyDescent="0.2">
      <c r="B631" s="89"/>
      <c r="C631"/>
      <c r="D631"/>
      <c r="E631" s="69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  <c r="V631"/>
      <c r="W631"/>
      <c r="X631"/>
      <c r="Y631"/>
      <c r="Z631"/>
      <c r="AA631"/>
    </row>
    <row r="632" spans="2:27" s="25" customFormat="1" ht="15.75" customHeight="1" x14ac:dyDescent="0.2">
      <c r="B632" s="89"/>
      <c r="C632"/>
      <c r="D632"/>
      <c r="E632" s="69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  <c r="V632"/>
      <c r="W632"/>
      <c r="X632"/>
      <c r="Y632"/>
      <c r="Z632"/>
      <c r="AA632"/>
    </row>
    <row r="633" spans="2:27" s="25" customFormat="1" ht="15.75" customHeight="1" x14ac:dyDescent="0.2">
      <c r="B633" s="89"/>
      <c r="C633"/>
      <c r="D633"/>
      <c r="E633" s="69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  <c r="V633"/>
      <c r="W633"/>
      <c r="X633"/>
      <c r="Y633"/>
      <c r="Z633"/>
      <c r="AA633"/>
    </row>
    <row r="634" spans="2:27" s="25" customFormat="1" ht="15.75" customHeight="1" x14ac:dyDescent="0.2">
      <c r="B634" s="89"/>
      <c r="C634"/>
      <c r="D634"/>
      <c r="E634" s="69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  <c r="V634"/>
      <c r="W634"/>
      <c r="X634"/>
      <c r="Y634"/>
      <c r="Z634"/>
      <c r="AA634"/>
    </row>
    <row r="635" spans="2:27" s="25" customFormat="1" ht="15.75" customHeight="1" x14ac:dyDescent="0.2">
      <c r="B635" s="89"/>
      <c r="C635"/>
      <c r="D635"/>
      <c r="E635" s="69"/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  <c r="V635"/>
      <c r="W635"/>
      <c r="X635"/>
      <c r="Y635"/>
      <c r="Z635"/>
      <c r="AA635"/>
    </row>
    <row r="636" spans="2:27" s="25" customFormat="1" ht="15.75" customHeight="1" x14ac:dyDescent="0.2">
      <c r="B636" s="89"/>
      <c r="C636"/>
      <c r="D636"/>
      <c r="E636" s="69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  <c r="V636"/>
      <c r="W636"/>
      <c r="X636"/>
      <c r="Y636"/>
      <c r="Z636"/>
      <c r="AA636"/>
    </row>
    <row r="637" spans="2:27" s="25" customFormat="1" ht="15.75" customHeight="1" x14ac:dyDescent="0.2">
      <c r="B637" s="89"/>
      <c r="C637"/>
      <c r="D637"/>
      <c r="E637" s="69"/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  <c r="V637"/>
      <c r="W637"/>
      <c r="X637"/>
      <c r="Y637"/>
      <c r="Z637"/>
      <c r="AA637"/>
    </row>
    <row r="638" spans="2:27" s="25" customFormat="1" ht="15.75" customHeight="1" x14ac:dyDescent="0.2">
      <c r="B638" s="89"/>
      <c r="C638"/>
      <c r="D638"/>
      <c r="E638" s="69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  <c r="V638"/>
      <c r="W638"/>
      <c r="X638"/>
      <c r="Y638"/>
      <c r="Z638"/>
      <c r="AA638"/>
    </row>
    <row r="639" spans="2:27" s="25" customFormat="1" ht="15.75" customHeight="1" x14ac:dyDescent="0.2">
      <c r="B639" s="89"/>
      <c r="C639"/>
      <c r="D639"/>
      <c r="E639" s="69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  <c r="U639"/>
      <c r="V639"/>
      <c r="W639"/>
      <c r="X639"/>
      <c r="Y639"/>
      <c r="Z639"/>
      <c r="AA639"/>
    </row>
    <row r="640" spans="2:27" s="25" customFormat="1" ht="15.75" customHeight="1" x14ac:dyDescent="0.2">
      <c r="B640" s="89"/>
      <c r="C640"/>
      <c r="D640"/>
      <c r="E640" s="69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  <c r="V640"/>
      <c r="W640"/>
      <c r="X640"/>
      <c r="Y640"/>
      <c r="Z640"/>
      <c r="AA640"/>
    </row>
    <row r="641" spans="2:27" s="25" customFormat="1" ht="15.75" customHeight="1" x14ac:dyDescent="0.2">
      <c r="B641" s="89"/>
      <c r="C641"/>
      <c r="D641"/>
      <c r="E641" s="69"/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/>
      <c r="U641"/>
      <c r="V641"/>
      <c r="W641"/>
      <c r="X641"/>
      <c r="Y641"/>
      <c r="Z641"/>
      <c r="AA641"/>
    </row>
    <row r="642" spans="2:27" s="25" customFormat="1" ht="15.75" customHeight="1" x14ac:dyDescent="0.2">
      <c r="B642" s="89"/>
      <c r="C642"/>
      <c r="D642"/>
      <c r="E642" s="69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  <c r="V642"/>
      <c r="W642"/>
      <c r="X642"/>
      <c r="Y642"/>
      <c r="Z642"/>
      <c r="AA642"/>
    </row>
    <row r="643" spans="2:27" s="25" customFormat="1" ht="15.75" customHeight="1" x14ac:dyDescent="0.2">
      <c r="B643" s="89"/>
      <c r="C643"/>
      <c r="D643"/>
      <c r="E643" s="69"/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  <c r="T643"/>
      <c r="U643"/>
      <c r="V643"/>
      <c r="W643"/>
      <c r="X643"/>
      <c r="Y643"/>
      <c r="Z643"/>
      <c r="AA643"/>
    </row>
    <row r="644" spans="2:27" s="25" customFormat="1" ht="15.75" customHeight="1" x14ac:dyDescent="0.2">
      <c r="B644" s="89"/>
      <c r="C644"/>
      <c r="D644"/>
      <c r="E644" s="69"/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  <c r="U644"/>
      <c r="V644"/>
      <c r="W644"/>
      <c r="X644"/>
      <c r="Y644"/>
      <c r="Z644"/>
      <c r="AA644"/>
    </row>
    <row r="645" spans="2:27" s="25" customFormat="1" ht="15.75" customHeight="1" x14ac:dyDescent="0.2">
      <c r="B645" s="89"/>
      <c r="C645"/>
      <c r="D645"/>
      <c r="E645" s="69"/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  <c r="T645"/>
      <c r="U645"/>
      <c r="V645"/>
      <c r="W645"/>
      <c r="X645"/>
      <c r="Y645"/>
      <c r="Z645"/>
      <c r="AA645"/>
    </row>
    <row r="646" spans="2:27" s="25" customFormat="1" ht="15.75" customHeight="1" x14ac:dyDescent="0.2">
      <c r="B646" s="89"/>
      <c r="C646"/>
      <c r="D646"/>
      <c r="E646" s="69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  <c r="U646"/>
      <c r="V646"/>
      <c r="W646"/>
      <c r="X646"/>
      <c r="Y646"/>
      <c r="Z646"/>
      <c r="AA646"/>
    </row>
    <row r="647" spans="2:27" s="25" customFormat="1" ht="15.75" customHeight="1" x14ac:dyDescent="0.2">
      <c r="B647" s="89"/>
      <c r="C647"/>
      <c r="D647"/>
      <c r="E647" s="69"/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  <c r="V647"/>
      <c r="W647"/>
      <c r="X647"/>
      <c r="Y647"/>
      <c r="Z647"/>
      <c r="AA647"/>
    </row>
    <row r="648" spans="2:27" s="25" customFormat="1" ht="15.75" customHeight="1" x14ac:dyDescent="0.2">
      <c r="B648" s="89"/>
      <c r="C648"/>
      <c r="D648"/>
      <c r="E648" s="69"/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  <c r="U648"/>
      <c r="V648"/>
      <c r="W648"/>
      <c r="X648"/>
      <c r="Y648"/>
      <c r="Z648"/>
      <c r="AA648"/>
    </row>
    <row r="649" spans="2:27" s="25" customFormat="1" ht="15.75" customHeight="1" x14ac:dyDescent="0.2">
      <c r="B649" s="89"/>
      <c r="C649"/>
      <c r="D649"/>
      <c r="E649" s="69"/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  <c r="T649"/>
      <c r="U649"/>
      <c r="V649"/>
      <c r="W649"/>
      <c r="X649"/>
      <c r="Y649"/>
      <c r="Z649"/>
      <c r="AA649"/>
    </row>
    <row r="650" spans="2:27" s="25" customFormat="1" ht="15.75" customHeight="1" x14ac:dyDescent="0.2">
      <c r="B650" s="89"/>
      <c r="C650"/>
      <c r="D650"/>
      <c r="E650" s="69"/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  <c r="T650"/>
      <c r="U650"/>
      <c r="V650"/>
      <c r="W650"/>
      <c r="X650"/>
      <c r="Y650"/>
      <c r="Z650"/>
      <c r="AA650"/>
    </row>
    <row r="651" spans="2:27" s="25" customFormat="1" ht="15.75" customHeight="1" x14ac:dyDescent="0.2">
      <c r="B651" s="89"/>
      <c r="C651"/>
      <c r="D651"/>
      <c r="E651" s="69"/>
      <c r="F651"/>
      <c r="G651"/>
      <c r="H651"/>
      <c r="I651"/>
      <c r="J651"/>
      <c r="K651"/>
      <c r="L651"/>
      <c r="M651"/>
      <c r="N651"/>
      <c r="O651"/>
      <c r="P651"/>
      <c r="Q651"/>
      <c r="R651"/>
      <c r="S651"/>
      <c r="T651"/>
      <c r="U651"/>
      <c r="V651"/>
      <c r="W651"/>
      <c r="X651"/>
      <c r="Y651"/>
      <c r="Z651"/>
      <c r="AA651"/>
    </row>
    <row r="652" spans="2:27" s="25" customFormat="1" ht="15.75" customHeight="1" x14ac:dyDescent="0.2">
      <c r="B652" s="89"/>
      <c r="C652"/>
      <c r="D652"/>
      <c r="E652" s="69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  <c r="V652"/>
      <c r="W652"/>
      <c r="X652"/>
      <c r="Y652"/>
      <c r="Z652"/>
      <c r="AA652"/>
    </row>
    <row r="653" spans="2:27" s="25" customFormat="1" ht="15.75" customHeight="1" x14ac:dyDescent="0.2">
      <c r="B653" s="89"/>
      <c r="C653"/>
      <c r="D653"/>
      <c r="E653" s="69"/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  <c r="T653"/>
      <c r="U653"/>
      <c r="V653"/>
      <c r="W653"/>
      <c r="X653"/>
      <c r="Y653"/>
      <c r="Z653"/>
      <c r="AA653"/>
    </row>
    <row r="654" spans="2:27" s="25" customFormat="1" ht="15.75" customHeight="1" x14ac:dyDescent="0.2">
      <c r="B654" s="89"/>
      <c r="C654"/>
      <c r="D654"/>
      <c r="E654" s="69"/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  <c r="T654"/>
      <c r="U654"/>
      <c r="V654"/>
      <c r="W654"/>
      <c r="X654"/>
      <c r="Y654"/>
      <c r="Z654"/>
      <c r="AA654"/>
    </row>
    <row r="655" spans="2:27" s="25" customFormat="1" ht="15.75" customHeight="1" x14ac:dyDescent="0.2">
      <c r="B655" s="89"/>
      <c r="C655"/>
      <c r="D655"/>
      <c r="E655" s="69"/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  <c r="V655"/>
      <c r="W655"/>
      <c r="X655"/>
      <c r="Y655"/>
      <c r="Z655"/>
      <c r="AA655"/>
    </row>
    <row r="656" spans="2:27" s="25" customFormat="1" ht="15.75" customHeight="1" x14ac:dyDescent="0.2">
      <c r="B656" s="89"/>
      <c r="C656"/>
      <c r="D656"/>
      <c r="E656" s="69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/>
      <c r="U656"/>
      <c r="V656"/>
      <c r="W656"/>
      <c r="X656"/>
      <c r="Y656"/>
      <c r="Z656"/>
      <c r="AA656"/>
    </row>
    <row r="657" spans="2:27" s="25" customFormat="1" ht="15.75" customHeight="1" x14ac:dyDescent="0.2">
      <c r="B657" s="89"/>
      <c r="C657"/>
      <c r="D657"/>
      <c r="E657" s="69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  <c r="V657"/>
      <c r="W657"/>
      <c r="X657"/>
      <c r="Y657"/>
      <c r="Z657"/>
      <c r="AA657"/>
    </row>
    <row r="658" spans="2:27" s="25" customFormat="1" ht="15.75" customHeight="1" x14ac:dyDescent="0.2">
      <c r="B658" s="89"/>
      <c r="C658"/>
      <c r="D658"/>
      <c r="E658" s="69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  <c r="U658"/>
      <c r="V658"/>
      <c r="W658"/>
      <c r="X658"/>
      <c r="Y658"/>
      <c r="Z658"/>
      <c r="AA658"/>
    </row>
    <row r="659" spans="2:27" s="25" customFormat="1" ht="15.75" customHeight="1" x14ac:dyDescent="0.2">
      <c r="B659" s="89"/>
      <c r="C659"/>
      <c r="D659"/>
      <c r="E659" s="69"/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  <c r="V659"/>
      <c r="W659"/>
      <c r="X659"/>
      <c r="Y659"/>
      <c r="Z659"/>
      <c r="AA659"/>
    </row>
    <row r="660" spans="2:27" s="25" customFormat="1" ht="15.75" customHeight="1" x14ac:dyDescent="0.2">
      <c r="B660" s="89"/>
      <c r="C660"/>
      <c r="D660"/>
      <c r="E660" s="69"/>
      <c r="F660"/>
      <c r="G660"/>
      <c r="H660"/>
      <c r="I660"/>
      <c r="J660"/>
      <c r="K660"/>
      <c r="L660"/>
      <c r="M660"/>
      <c r="N660"/>
      <c r="O660"/>
      <c r="P660"/>
      <c r="Q660"/>
      <c r="R660"/>
      <c r="S660"/>
      <c r="T660"/>
      <c r="U660"/>
      <c r="V660"/>
      <c r="W660"/>
      <c r="X660"/>
      <c r="Y660"/>
      <c r="Z660"/>
      <c r="AA660"/>
    </row>
    <row r="661" spans="2:27" s="25" customFormat="1" ht="15.75" customHeight="1" x14ac:dyDescent="0.2">
      <c r="B661" s="89"/>
      <c r="C661"/>
      <c r="D661"/>
      <c r="E661" s="69"/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  <c r="V661"/>
      <c r="W661"/>
      <c r="X661"/>
      <c r="Y661"/>
      <c r="Z661"/>
      <c r="AA661"/>
    </row>
    <row r="662" spans="2:27" s="25" customFormat="1" ht="15.75" customHeight="1" x14ac:dyDescent="0.2">
      <c r="B662" s="89"/>
      <c r="C662"/>
      <c r="D662"/>
      <c r="E662" s="69"/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  <c r="T662"/>
      <c r="U662"/>
      <c r="V662"/>
      <c r="W662"/>
      <c r="X662"/>
      <c r="Y662"/>
      <c r="Z662"/>
      <c r="AA662"/>
    </row>
    <row r="663" spans="2:27" s="25" customFormat="1" ht="15.75" customHeight="1" x14ac:dyDescent="0.2">
      <c r="B663" s="89"/>
      <c r="C663"/>
      <c r="D663"/>
      <c r="E663" s="69"/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  <c r="T663"/>
      <c r="U663"/>
      <c r="V663"/>
      <c r="W663"/>
      <c r="X663"/>
      <c r="Y663"/>
      <c r="Z663"/>
      <c r="AA663"/>
    </row>
    <row r="664" spans="2:27" s="25" customFormat="1" ht="15.75" customHeight="1" x14ac:dyDescent="0.2">
      <c r="B664" s="89"/>
      <c r="C664"/>
      <c r="D664"/>
      <c r="E664" s="69"/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/>
      <c r="U664"/>
      <c r="V664"/>
      <c r="W664"/>
      <c r="X664"/>
      <c r="Y664"/>
      <c r="Z664"/>
      <c r="AA664"/>
    </row>
    <row r="665" spans="2:27" s="25" customFormat="1" ht="15.75" customHeight="1" x14ac:dyDescent="0.2">
      <c r="B665" s="89"/>
      <c r="C665"/>
      <c r="D665"/>
      <c r="E665" s="69"/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  <c r="T665"/>
      <c r="U665"/>
      <c r="V665"/>
      <c r="W665"/>
      <c r="X665"/>
      <c r="Y665"/>
      <c r="Z665"/>
      <c r="AA665"/>
    </row>
    <row r="666" spans="2:27" s="25" customFormat="1" ht="15.75" customHeight="1" x14ac:dyDescent="0.2">
      <c r="B666" s="89"/>
      <c r="C666"/>
      <c r="D666"/>
      <c r="E666" s="69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  <c r="V666"/>
      <c r="W666"/>
      <c r="X666"/>
      <c r="Y666"/>
      <c r="Z666"/>
      <c r="AA666"/>
    </row>
    <row r="667" spans="2:27" s="25" customFormat="1" ht="15.75" customHeight="1" x14ac:dyDescent="0.2">
      <c r="B667" s="89"/>
      <c r="C667"/>
      <c r="D667"/>
      <c r="E667" s="69"/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  <c r="T667"/>
      <c r="U667"/>
      <c r="V667"/>
      <c r="W667"/>
      <c r="X667"/>
      <c r="Y667"/>
      <c r="Z667"/>
      <c r="AA667"/>
    </row>
    <row r="668" spans="2:27" s="25" customFormat="1" ht="15.75" customHeight="1" x14ac:dyDescent="0.2">
      <c r="B668" s="89"/>
      <c r="C668"/>
      <c r="D668"/>
      <c r="E668" s="69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  <c r="V668"/>
      <c r="W668"/>
      <c r="X668"/>
      <c r="Y668"/>
      <c r="Z668"/>
      <c r="AA668"/>
    </row>
    <row r="669" spans="2:27" s="25" customFormat="1" ht="15.75" customHeight="1" x14ac:dyDescent="0.2">
      <c r="B669" s="89"/>
      <c r="C669"/>
      <c r="D669"/>
      <c r="E669" s="69"/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  <c r="V669"/>
      <c r="W669"/>
      <c r="X669"/>
      <c r="Y669"/>
      <c r="Z669"/>
      <c r="AA669"/>
    </row>
    <row r="670" spans="2:27" s="25" customFormat="1" ht="15.75" customHeight="1" x14ac:dyDescent="0.2">
      <c r="B670" s="89"/>
      <c r="C670"/>
      <c r="D670"/>
      <c r="E670" s="69"/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  <c r="U670"/>
      <c r="V670"/>
      <c r="W670"/>
      <c r="X670"/>
      <c r="Y670"/>
      <c r="Z670"/>
      <c r="AA670"/>
    </row>
    <row r="671" spans="2:27" s="25" customFormat="1" ht="15.75" customHeight="1" x14ac:dyDescent="0.2">
      <c r="B671" s="89"/>
      <c r="C671"/>
      <c r="D671"/>
      <c r="E671" s="69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  <c r="V671"/>
      <c r="W671"/>
      <c r="X671"/>
      <c r="Y671"/>
      <c r="Z671"/>
      <c r="AA671"/>
    </row>
    <row r="672" spans="2:27" s="25" customFormat="1" ht="15.75" customHeight="1" x14ac:dyDescent="0.2">
      <c r="B672" s="89"/>
      <c r="C672"/>
      <c r="D672"/>
      <c r="E672" s="69"/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  <c r="T672"/>
      <c r="U672"/>
      <c r="V672"/>
      <c r="W672"/>
      <c r="X672"/>
      <c r="Y672"/>
      <c r="Z672"/>
      <c r="AA672"/>
    </row>
    <row r="673" spans="2:27" s="25" customFormat="1" ht="15.75" customHeight="1" x14ac:dyDescent="0.2">
      <c r="B673" s="89"/>
      <c r="C673"/>
      <c r="D673"/>
      <c r="E673" s="69"/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  <c r="T673"/>
      <c r="U673"/>
      <c r="V673"/>
      <c r="W673"/>
      <c r="X673"/>
      <c r="Y673"/>
      <c r="Z673"/>
      <c r="AA673"/>
    </row>
    <row r="674" spans="2:27" s="25" customFormat="1" ht="15.75" customHeight="1" x14ac:dyDescent="0.2">
      <c r="B674" s="89"/>
      <c r="C674"/>
      <c r="D674"/>
      <c r="E674" s="69"/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  <c r="U674"/>
      <c r="V674"/>
      <c r="W674"/>
      <c r="X674"/>
      <c r="Y674"/>
      <c r="Z674"/>
      <c r="AA674"/>
    </row>
    <row r="675" spans="2:27" s="25" customFormat="1" ht="15.75" customHeight="1" x14ac:dyDescent="0.2">
      <c r="B675" s="89"/>
      <c r="C675"/>
      <c r="D675"/>
      <c r="E675" s="69"/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  <c r="U675"/>
      <c r="V675"/>
      <c r="W675"/>
      <c r="X675"/>
      <c r="Y675"/>
      <c r="Z675"/>
      <c r="AA675"/>
    </row>
    <row r="676" spans="2:27" s="25" customFormat="1" ht="15.75" customHeight="1" x14ac:dyDescent="0.2">
      <c r="B676" s="89"/>
      <c r="C676"/>
      <c r="D676"/>
      <c r="E676" s="69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  <c r="V676"/>
      <c r="W676"/>
      <c r="X676"/>
      <c r="Y676"/>
      <c r="Z676"/>
      <c r="AA676"/>
    </row>
    <row r="677" spans="2:27" s="25" customFormat="1" ht="15.75" customHeight="1" x14ac:dyDescent="0.2">
      <c r="B677" s="89"/>
      <c r="C677"/>
      <c r="D677"/>
      <c r="E677" s="69"/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  <c r="V677"/>
      <c r="W677"/>
      <c r="X677"/>
      <c r="Y677"/>
      <c r="Z677"/>
      <c r="AA677"/>
    </row>
    <row r="678" spans="2:27" s="25" customFormat="1" ht="15.75" customHeight="1" x14ac:dyDescent="0.2">
      <c r="B678" s="89"/>
      <c r="C678"/>
      <c r="D678"/>
      <c r="E678" s="69"/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  <c r="T678"/>
      <c r="U678"/>
      <c r="V678"/>
      <c r="W678"/>
      <c r="X678"/>
      <c r="Y678"/>
      <c r="Z678"/>
      <c r="AA678"/>
    </row>
    <row r="679" spans="2:27" s="25" customFormat="1" ht="15.75" customHeight="1" x14ac:dyDescent="0.2">
      <c r="B679" s="89"/>
      <c r="C679"/>
      <c r="D679"/>
      <c r="E679" s="69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  <c r="V679"/>
      <c r="W679"/>
      <c r="X679"/>
      <c r="Y679"/>
      <c r="Z679"/>
      <c r="AA679"/>
    </row>
    <row r="680" spans="2:27" s="25" customFormat="1" ht="15.75" customHeight="1" x14ac:dyDescent="0.2">
      <c r="B680" s="89"/>
      <c r="C680"/>
      <c r="D680"/>
      <c r="E680" s="69"/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  <c r="U680"/>
      <c r="V680"/>
      <c r="W680"/>
      <c r="X680"/>
      <c r="Y680"/>
      <c r="Z680"/>
      <c r="AA680"/>
    </row>
    <row r="681" spans="2:27" s="25" customFormat="1" ht="15.75" customHeight="1" x14ac:dyDescent="0.2">
      <c r="B681" s="89"/>
      <c r="C681"/>
      <c r="D681"/>
      <c r="E681" s="69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  <c r="U681"/>
      <c r="V681"/>
      <c r="W681"/>
      <c r="X681"/>
      <c r="Y681"/>
      <c r="Z681"/>
      <c r="AA681"/>
    </row>
    <row r="682" spans="2:27" s="25" customFormat="1" ht="15.75" customHeight="1" x14ac:dyDescent="0.2">
      <c r="B682" s="89"/>
      <c r="C682"/>
      <c r="D682"/>
      <c r="E682" s="69"/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  <c r="T682"/>
      <c r="U682"/>
      <c r="V682"/>
      <c r="W682"/>
      <c r="X682"/>
      <c r="Y682"/>
      <c r="Z682"/>
      <c r="AA682"/>
    </row>
    <row r="683" spans="2:27" s="25" customFormat="1" ht="15.75" customHeight="1" x14ac:dyDescent="0.2">
      <c r="B683" s="89"/>
      <c r="C683"/>
      <c r="D683"/>
      <c r="E683" s="69"/>
      <c r="F683"/>
      <c r="G683"/>
      <c r="H683"/>
      <c r="I683"/>
      <c r="J683"/>
      <c r="K683"/>
      <c r="L683"/>
      <c r="M683"/>
      <c r="N683"/>
      <c r="O683"/>
      <c r="P683"/>
      <c r="Q683"/>
      <c r="R683"/>
      <c r="S683"/>
      <c r="T683"/>
      <c r="U683"/>
      <c r="V683"/>
      <c r="W683"/>
      <c r="X683"/>
      <c r="Y683"/>
      <c r="Z683"/>
      <c r="AA683"/>
    </row>
    <row r="684" spans="2:27" s="25" customFormat="1" ht="15.75" customHeight="1" x14ac:dyDescent="0.2">
      <c r="B684" s="89"/>
      <c r="C684"/>
      <c r="D684"/>
      <c r="E684" s="69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  <c r="V684"/>
      <c r="W684"/>
      <c r="X684"/>
      <c r="Y684"/>
      <c r="Z684"/>
      <c r="AA684"/>
    </row>
    <row r="685" spans="2:27" s="25" customFormat="1" ht="15.75" customHeight="1" x14ac:dyDescent="0.2">
      <c r="B685" s="89"/>
      <c r="C685"/>
      <c r="D685"/>
      <c r="E685" s="69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  <c r="V685"/>
      <c r="W685"/>
      <c r="X685"/>
      <c r="Y685"/>
      <c r="Z685"/>
      <c r="AA685"/>
    </row>
    <row r="686" spans="2:27" s="25" customFormat="1" ht="15.75" customHeight="1" x14ac:dyDescent="0.2">
      <c r="B686" s="89"/>
      <c r="C686"/>
      <c r="D686"/>
      <c r="E686" s="69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  <c r="U686"/>
      <c r="V686"/>
      <c r="W686"/>
      <c r="X686"/>
      <c r="Y686"/>
      <c r="Z686"/>
      <c r="AA686"/>
    </row>
    <row r="687" spans="2:27" s="25" customFormat="1" ht="15.75" customHeight="1" x14ac:dyDescent="0.2">
      <c r="B687" s="89"/>
      <c r="C687"/>
      <c r="D687"/>
      <c r="E687" s="69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  <c r="V687"/>
      <c r="W687"/>
      <c r="X687"/>
      <c r="Y687"/>
      <c r="Z687"/>
      <c r="AA687"/>
    </row>
    <row r="688" spans="2:27" s="25" customFormat="1" ht="15.75" customHeight="1" x14ac:dyDescent="0.2">
      <c r="B688" s="89"/>
      <c r="C688"/>
      <c r="D688"/>
      <c r="E688" s="69"/>
      <c r="F688"/>
      <c r="G688"/>
      <c r="H688"/>
      <c r="I688"/>
      <c r="J688"/>
      <c r="K688"/>
      <c r="L688"/>
      <c r="M688"/>
      <c r="N688"/>
      <c r="O688"/>
      <c r="P688"/>
      <c r="Q688"/>
      <c r="R688"/>
      <c r="S688"/>
      <c r="T688"/>
      <c r="U688"/>
      <c r="V688"/>
      <c r="W688"/>
      <c r="X688"/>
      <c r="Y688"/>
      <c r="Z688"/>
      <c r="AA688"/>
    </row>
    <row r="689" spans="2:27" s="25" customFormat="1" ht="15.75" customHeight="1" x14ac:dyDescent="0.2">
      <c r="B689" s="89"/>
      <c r="C689"/>
      <c r="D689"/>
      <c r="E689" s="6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  <c r="V689"/>
      <c r="W689"/>
      <c r="X689"/>
      <c r="Y689"/>
      <c r="Z689"/>
      <c r="AA689"/>
    </row>
    <row r="690" spans="2:27" s="25" customFormat="1" ht="15.75" customHeight="1" x14ac:dyDescent="0.2">
      <c r="B690" s="89"/>
      <c r="C690"/>
      <c r="D690"/>
      <c r="E690" s="69"/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  <c r="T690"/>
      <c r="U690"/>
      <c r="V690"/>
      <c r="W690"/>
      <c r="X690"/>
      <c r="Y690"/>
      <c r="Z690"/>
      <c r="AA690"/>
    </row>
    <row r="691" spans="2:27" s="25" customFormat="1" ht="15.75" customHeight="1" x14ac:dyDescent="0.2">
      <c r="B691" s="89"/>
      <c r="C691"/>
      <c r="D691"/>
      <c r="E691" s="69"/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  <c r="U691"/>
      <c r="V691"/>
      <c r="W691"/>
      <c r="X691"/>
      <c r="Y691"/>
      <c r="Z691"/>
      <c r="AA691"/>
    </row>
    <row r="692" spans="2:27" s="25" customFormat="1" ht="15.75" customHeight="1" x14ac:dyDescent="0.2">
      <c r="B692" s="89"/>
      <c r="C692"/>
      <c r="D692"/>
      <c r="E692" s="69"/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  <c r="T692"/>
      <c r="U692"/>
      <c r="V692"/>
      <c r="W692"/>
      <c r="X692"/>
      <c r="Y692"/>
      <c r="Z692"/>
      <c r="AA692"/>
    </row>
    <row r="693" spans="2:27" s="25" customFormat="1" ht="15.75" customHeight="1" x14ac:dyDescent="0.2">
      <c r="B693" s="89"/>
      <c r="C693"/>
      <c r="D693"/>
      <c r="E693" s="69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  <c r="U693"/>
      <c r="V693"/>
      <c r="W693"/>
      <c r="X693"/>
      <c r="Y693"/>
      <c r="Z693"/>
      <c r="AA693"/>
    </row>
    <row r="694" spans="2:27" s="25" customFormat="1" ht="15.75" customHeight="1" x14ac:dyDescent="0.2">
      <c r="B694" s="89"/>
      <c r="C694"/>
      <c r="D694"/>
      <c r="E694" s="69"/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  <c r="V694"/>
      <c r="W694"/>
      <c r="X694"/>
      <c r="Y694"/>
      <c r="Z694"/>
      <c r="AA694"/>
    </row>
    <row r="695" spans="2:27" s="25" customFormat="1" ht="15.75" customHeight="1" x14ac:dyDescent="0.2">
      <c r="B695" s="89"/>
      <c r="C695"/>
      <c r="D695"/>
      <c r="E695" s="69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  <c r="V695"/>
      <c r="W695"/>
      <c r="X695"/>
      <c r="Y695"/>
      <c r="Z695"/>
      <c r="AA695"/>
    </row>
    <row r="696" spans="2:27" s="25" customFormat="1" ht="15.75" customHeight="1" x14ac:dyDescent="0.2">
      <c r="B696" s="89"/>
      <c r="C696"/>
      <c r="D696"/>
      <c r="E696" s="69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  <c r="U696"/>
      <c r="V696"/>
      <c r="W696"/>
      <c r="X696"/>
      <c r="Y696"/>
      <c r="Z696"/>
      <c r="AA696"/>
    </row>
    <row r="697" spans="2:27" s="25" customFormat="1" ht="15.75" customHeight="1" x14ac:dyDescent="0.2">
      <c r="B697" s="89"/>
      <c r="C697"/>
      <c r="D697"/>
      <c r="E697" s="69"/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  <c r="V697"/>
      <c r="W697"/>
      <c r="X697"/>
      <c r="Y697"/>
      <c r="Z697"/>
      <c r="AA697"/>
    </row>
    <row r="698" spans="2:27" s="25" customFormat="1" ht="15.75" customHeight="1" x14ac:dyDescent="0.2">
      <c r="B698" s="89"/>
      <c r="C698"/>
      <c r="D698"/>
      <c r="E698" s="69"/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  <c r="V698"/>
      <c r="W698"/>
      <c r="X698"/>
      <c r="Y698"/>
      <c r="Z698"/>
      <c r="AA698"/>
    </row>
    <row r="699" spans="2:27" s="25" customFormat="1" ht="15.75" customHeight="1" x14ac:dyDescent="0.2">
      <c r="B699" s="89"/>
      <c r="C699"/>
      <c r="D699"/>
      <c r="E699" s="69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  <c r="V699"/>
      <c r="W699"/>
      <c r="X699"/>
      <c r="Y699"/>
      <c r="Z699"/>
      <c r="AA699"/>
    </row>
    <row r="700" spans="2:27" s="25" customFormat="1" ht="15.75" customHeight="1" x14ac:dyDescent="0.2">
      <c r="B700" s="89"/>
      <c r="C700"/>
      <c r="D700"/>
      <c r="E700" s="69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  <c r="V700"/>
      <c r="W700"/>
      <c r="X700"/>
      <c r="Y700"/>
      <c r="Z700"/>
      <c r="AA700"/>
    </row>
    <row r="701" spans="2:27" s="25" customFormat="1" ht="15.75" customHeight="1" x14ac:dyDescent="0.2">
      <c r="B701" s="89"/>
      <c r="C701"/>
      <c r="D701"/>
      <c r="E701" s="69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  <c r="V701"/>
      <c r="W701"/>
      <c r="X701"/>
      <c r="Y701"/>
      <c r="Z701"/>
      <c r="AA701"/>
    </row>
    <row r="702" spans="2:27" s="25" customFormat="1" ht="15.75" customHeight="1" x14ac:dyDescent="0.2">
      <c r="B702" s="89"/>
      <c r="C702"/>
      <c r="D702"/>
      <c r="E702" s="69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  <c r="V702"/>
      <c r="W702"/>
      <c r="X702"/>
      <c r="Y702"/>
      <c r="Z702"/>
      <c r="AA702"/>
    </row>
    <row r="703" spans="2:27" s="25" customFormat="1" ht="15.75" customHeight="1" x14ac:dyDescent="0.2">
      <c r="B703" s="89"/>
      <c r="C703"/>
      <c r="D703"/>
      <c r="E703" s="69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  <c r="V703"/>
      <c r="W703"/>
      <c r="X703"/>
      <c r="Y703"/>
      <c r="Z703"/>
      <c r="AA703"/>
    </row>
    <row r="704" spans="2:27" s="25" customFormat="1" ht="15.75" customHeight="1" x14ac:dyDescent="0.2">
      <c r="B704" s="89"/>
      <c r="C704"/>
      <c r="D704"/>
      <c r="E704" s="69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  <c r="V704"/>
      <c r="W704"/>
      <c r="X704"/>
      <c r="Y704"/>
      <c r="Z704"/>
      <c r="AA704"/>
    </row>
    <row r="705" spans="2:27" s="25" customFormat="1" ht="15.75" customHeight="1" x14ac:dyDescent="0.2">
      <c r="B705" s="89"/>
      <c r="C705"/>
      <c r="D705"/>
      <c r="E705" s="69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  <c r="V705"/>
      <c r="W705"/>
      <c r="X705"/>
      <c r="Y705"/>
      <c r="Z705"/>
      <c r="AA705"/>
    </row>
    <row r="706" spans="2:27" s="25" customFormat="1" ht="15.75" customHeight="1" x14ac:dyDescent="0.2">
      <c r="B706" s="89"/>
      <c r="C706"/>
      <c r="D706"/>
      <c r="E706" s="69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  <c r="V706"/>
      <c r="W706"/>
      <c r="X706"/>
      <c r="Y706"/>
      <c r="Z706"/>
      <c r="AA706"/>
    </row>
    <row r="707" spans="2:27" s="25" customFormat="1" ht="15.75" customHeight="1" x14ac:dyDescent="0.2">
      <c r="B707" s="89"/>
      <c r="C707"/>
      <c r="D707"/>
      <c r="E707" s="69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  <c r="V707"/>
      <c r="W707"/>
      <c r="X707"/>
      <c r="Y707"/>
      <c r="Z707"/>
      <c r="AA707"/>
    </row>
    <row r="708" spans="2:27" s="25" customFormat="1" ht="15.75" customHeight="1" x14ac:dyDescent="0.2">
      <c r="B708" s="89"/>
      <c r="C708"/>
      <c r="D708"/>
      <c r="E708" s="69"/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  <c r="V708"/>
      <c r="W708"/>
      <c r="X708"/>
      <c r="Y708"/>
      <c r="Z708"/>
      <c r="AA708"/>
    </row>
    <row r="709" spans="2:27" s="25" customFormat="1" ht="15.75" customHeight="1" x14ac:dyDescent="0.2">
      <c r="B709" s="89"/>
      <c r="C709"/>
      <c r="D709"/>
      <c r="E709" s="69"/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  <c r="T709"/>
      <c r="U709"/>
      <c r="V709"/>
      <c r="W709"/>
      <c r="X709"/>
      <c r="Y709"/>
      <c r="Z709"/>
      <c r="AA709"/>
    </row>
    <row r="710" spans="2:27" s="25" customFormat="1" ht="15.75" customHeight="1" x14ac:dyDescent="0.2">
      <c r="B710" s="89"/>
      <c r="C710"/>
      <c r="D710"/>
      <c r="E710" s="69"/>
      <c r="F710"/>
      <c r="G710"/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  <c r="V710"/>
      <c r="W710"/>
      <c r="X710"/>
      <c r="Y710"/>
      <c r="Z710"/>
      <c r="AA710"/>
    </row>
    <row r="711" spans="2:27" s="25" customFormat="1" ht="15.75" customHeight="1" x14ac:dyDescent="0.2">
      <c r="B711" s="89"/>
      <c r="C711"/>
      <c r="D711"/>
      <c r="E711" s="69"/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  <c r="U711"/>
      <c r="V711"/>
      <c r="W711"/>
      <c r="X711"/>
      <c r="Y711"/>
      <c r="Z711"/>
      <c r="AA711"/>
    </row>
    <row r="712" spans="2:27" s="25" customFormat="1" ht="15.75" customHeight="1" x14ac:dyDescent="0.2">
      <c r="B712" s="89"/>
      <c r="C712"/>
      <c r="D712"/>
      <c r="E712" s="69"/>
      <c r="F712"/>
      <c r="G712"/>
      <c r="H712"/>
      <c r="I712"/>
      <c r="J712"/>
      <c r="K712"/>
      <c r="L712"/>
      <c r="M712"/>
      <c r="N712"/>
      <c r="O712"/>
      <c r="P712"/>
      <c r="Q712"/>
      <c r="R712"/>
      <c r="S712"/>
      <c r="T712"/>
      <c r="U712"/>
      <c r="V712"/>
      <c r="W712"/>
      <c r="X712"/>
      <c r="Y712"/>
      <c r="Z712"/>
      <c r="AA712"/>
    </row>
    <row r="713" spans="2:27" s="25" customFormat="1" ht="15.75" customHeight="1" x14ac:dyDescent="0.2">
      <c r="B713" s="89"/>
      <c r="C713"/>
      <c r="D713"/>
      <c r="E713" s="69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  <c r="V713"/>
      <c r="W713"/>
      <c r="X713"/>
      <c r="Y713"/>
      <c r="Z713"/>
      <c r="AA713"/>
    </row>
    <row r="714" spans="2:27" s="25" customFormat="1" ht="15.75" customHeight="1" x14ac:dyDescent="0.2">
      <c r="B714" s="89"/>
      <c r="C714"/>
      <c r="D714"/>
      <c r="E714" s="69"/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  <c r="U714"/>
      <c r="V714"/>
      <c r="W714"/>
      <c r="X714"/>
      <c r="Y714"/>
      <c r="Z714"/>
      <c r="AA714"/>
    </row>
    <row r="715" spans="2:27" s="25" customFormat="1" ht="15.75" customHeight="1" x14ac:dyDescent="0.2">
      <c r="B715" s="89"/>
      <c r="C715"/>
      <c r="D715"/>
      <c r="E715" s="69"/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  <c r="V715"/>
      <c r="W715"/>
      <c r="X715"/>
      <c r="Y715"/>
      <c r="Z715"/>
      <c r="AA715"/>
    </row>
    <row r="716" spans="2:27" s="25" customFormat="1" ht="15.75" customHeight="1" x14ac:dyDescent="0.2">
      <c r="B716" s="89"/>
      <c r="C716"/>
      <c r="D716"/>
      <c r="E716" s="69"/>
      <c r="F716"/>
      <c r="G716"/>
      <c r="H716"/>
      <c r="I716"/>
      <c r="J716"/>
      <c r="K716"/>
      <c r="L716"/>
      <c r="M716"/>
      <c r="N716"/>
      <c r="O716"/>
      <c r="P716"/>
      <c r="Q716"/>
      <c r="R716"/>
      <c r="S716"/>
      <c r="T716"/>
      <c r="U716"/>
      <c r="V716"/>
      <c r="W716"/>
      <c r="X716"/>
      <c r="Y716"/>
      <c r="Z716"/>
      <c r="AA716"/>
    </row>
    <row r="717" spans="2:27" s="25" customFormat="1" ht="15.75" customHeight="1" x14ac:dyDescent="0.2">
      <c r="B717" s="89"/>
      <c r="C717"/>
      <c r="D717"/>
      <c r="E717" s="69"/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  <c r="V717"/>
      <c r="W717"/>
      <c r="X717"/>
      <c r="Y717"/>
      <c r="Z717"/>
      <c r="AA717"/>
    </row>
    <row r="718" spans="2:27" s="25" customFormat="1" ht="15.75" customHeight="1" x14ac:dyDescent="0.2">
      <c r="B718" s="89"/>
      <c r="C718"/>
      <c r="D718"/>
      <c r="E718" s="69"/>
      <c r="F718"/>
      <c r="G718"/>
      <c r="H718"/>
      <c r="I718"/>
      <c r="J718"/>
      <c r="K718"/>
      <c r="L718"/>
      <c r="M718"/>
      <c r="N718"/>
      <c r="O718"/>
      <c r="P718"/>
      <c r="Q718"/>
      <c r="R718"/>
      <c r="S718"/>
      <c r="T718"/>
      <c r="U718"/>
      <c r="V718"/>
      <c r="W718"/>
      <c r="X718"/>
      <c r="Y718"/>
      <c r="Z718"/>
      <c r="AA718"/>
    </row>
    <row r="719" spans="2:27" s="25" customFormat="1" ht="15.75" customHeight="1" x14ac:dyDescent="0.2">
      <c r="B719" s="89"/>
      <c r="C719"/>
      <c r="D719"/>
      <c r="E719" s="69"/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  <c r="T719"/>
      <c r="U719"/>
      <c r="V719"/>
      <c r="W719"/>
      <c r="X719"/>
      <c r="Y719"/>
      <c r="Z719"/>
      <c r="AA719"/>
    </row>
    <row r="720" spans="2:27" s="25" customFormat="1" ht="15.75" customHeight="1" x14ac:dyDescent="0.2">
      <c r="B720" s="89"/>
      <c r="C720"/>
      <c r="D720"/>
      <c r="E720" s="69"/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  <c r="U720"/>
      <c r="V720"/>
      <c r="W720"/>
      <c r="X720"/>
      <c r="Y720"/>
      <c r="Z720"/>
      <c r="AA720"/>
    </row>
    <row r="721" spans="2:27" s="25" customFormat="1" ht="15.75" customHeight="1" x14ac:dyDescent="0.2">
      <c r="B721" s="89"/>
      <c r="C721"/>
      <c r="D721"/>
      <c r="E721" s="69"/>
      <c r="F721"/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  <c r="V721"/>
      <c r="W721"/>
      <c r="X721"/>
      <c r="Y721"/>
      <c r="Z721"/>
      <c r="AA721"/>
    </row>
    <row r="722" spans="2:27" s="25" customFormat="1" ht="15.75" customHeight="1" x14ac:dyDescent="0.2">
      <c r="B722" s="89"/>
      <c r="C722"/>
      <c r="D722"/>
      <c r="E722" s="69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  <c r="V722"/>
      <c r="W722"/>
      <c r="X722"/>
      <c r="Y722"/>
      <c r="Z722"/>
      <c r="AA722"/>
    </row>
    <row r="723" spans="2:27" s="25" customFormat="1" ht="15.75" customHeight="1" x14ac:dyDescent="0.2">
      <c r="B723" s="89"/>
      <c r="C723"/>
      <c r="D723"/>
      <c r="E723" s="69"/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  <c r="U723"/>
      <c r="V723"/>
      <c r="W723"/>
      <c r="X723"/>
      <c r="Y723"/>
      <c r="Z723"/>
      <c r="AA723"/>
    </row>
    <row r="724" spans="2:27" s="25" customFormat="1" ht="15.75" customHeight="1" x14ac:dyDescent="0.2">
      <c r="B724" s="89"/>
      <c r="C724"/>
      <c r="D724"/>
      <c r="E724" s="69"/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  <c r="U724"/>
      <c r="V724"/>
      <c r="W724"/>
      <c r="X724"/>
      <c r="Y724"/>
      <c r="Z724"/>
      <c r="AA724"/>
    </row>
    <row r="725" spans="2:27" s="25" customFormat="1" ht="15.75" customHeight="1" x14ac:dyDescent="0.2">
      <c r="B725" s="89"/>
      <c r="C725"/>
      <c r="D725"/>
      <c r="E725" s="69"/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/>
      <c r="U725"/>
      <c r="V725"/>
      <c r="W725"/>
      <c r="X725"/>
      <c r="Y725"/>
      <c r="Z725"/>
      <c r="AA725"/>
    </row>
    <row r="726" spans="2:27" s="25" customFormat="1" ht="15.75" customHeight="1" x14ac:dyDescent="0.2">
      <c r="B726" s="89"/>
      <c r="C726"/>
      <c r="D726"/>
      <c r="E726" s="69"/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  <c r="U726"/>
      <c r="V726"/>
      <c r="W726"/>
      <c r="X726"/>
      <c r="Y726"/>
      <c r="Z726"/>
      <c r="AA726"/>
    </row>
    <row r="727" spans="2:27" s="25" customFormat="1" ht="15.75" customHeight="1" x14ac:dyDescent="0.2">
      <c r="B727" s="89"/>
      <c r="C727"/>
      <c r="D727"/>
      <c r="E727" s="69"/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  <c r="V727"/>
      <c r="W727"/>
      <c r="X727"/>
      <c r="Y727"/>
      <c r="Z727"/>
      <c r="AA727"/>
    </row>
    <row r="728" spans="2:27" s="25" customFormat="1" ht="15.75" customHeight="1" x14ac:dyDescent="0.2">
      <c r="B728" s="89"/>
      <c r="C728"/>
      <c r="D728"/>
      <c r="E728" s="69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  <c r="V728"/>
      <c r="W728"/>
      <c r="X728"/>
      <c r="Y728"/>
      <c r="Z728"/>
      <c r="AA728"/>
    </row>
    <row r="729" spans="2:27" s="25" customFormat="1" ht="15.75" customHeight="1" x14ac:dyDescent="0.2">
      <c r="B729" s="89"/>
      <c r="C729"/>
      <c r="D729"/>
      <c r="E729" s="69"/>
      <c r="F729"/>
      <c r="G729"/>
      <c r="H729"/>
      <c r="I729"/>
      <c r="J729"/>
      <c r="K729"/>
      <c r="L729"/>
      <c r="M729"/>
      <c r="N729"/>
      <c r="O729"/>
      <c r="P729"/>
      <c r="Q729"/>
      <c r="R729"/>
      <c r="S729"/>
      <c r="T729"/>
      <c r="U729"/>
      <c r="V729"/>
      <c r="W729"/>
      <c r="X729"/>
      <c r="Y729"/>
      <c r="Z729"/>
      <c r="AA729"/>
    </row>
    <row r="730" spans="2:27" s="25" customFormat="1" ht="15.75" customHeight="1" x14ac:dyDescent="0.2">
      <c r="B730" s="89"/>
      <c r="C730"/>
      <c r="D730"/>
      <c r="E730" s="69"/>
      <c r="F730"/>
      <c r="G730"/>
      <c r="H730"/>
      <c r="I730"/>
      <c r="J730"/>
      <c r="K730"/>
      <c r="L730"/>
      <c r="M730"/>
      <c r="N730"/>
      <c r="O730"/>
      <c r="P730"/>
      <c r="Q730"/>
      <c r="R730"/>
      <c r="S730"/>
      <c r="T730"/>
      <c r="U730"/>
      <c r="V730"/>
      <c r="W730"/>
      <c r="X730"/>
      <c r="Y730"/>
      <c r="Z730"/>
      <c r="AA730"/>
    </row>
    <row r="731" spans="2:27" s="25" customFormat="1" ht="15.75" customHeight="1" x14ac:dyDescent="0.2">
      <c r="B731" s="89"/>
      <c r="C731"/>
      <c r="D731"/>
      <c r="E731" s="69"/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  <c r="V731"/>
      <c r="W731"/>
      <c r="X731"/>
      <c r="Y731"/>
      <c r="Z731"/>
      <c r="AA731"/>
    </row>
    <row r="732" spans="2:27" s="25" customFormat="1" ht="15.75" customHeight="1" x14ac:dyDescent="0.2">
      <c r="B732" s="89"/>
      <c r="C732"/>
      <c r="D732"/>
      <c r="E732" s="69"/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  <c r="U732"/>
      <c r="V732"/>
      <c r="W732"/>
      <c r="X732"/>
      <c r="Y732"/>
      <c r="Z732"/>
      <c r="AA732"/>
    </row>
    <row r="733" spans="2:27" s="25" customFormat="1" ht="15.75" customHeight="1" x14ac:dyDescent="0.2">
      <c r="B733" s="89"/>
      <c r="C733"/>
      <c r="D733"/>
      <c r="E733" s="69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  <c r="V733"/>
      <c r="W733"/>
      <c r="X733"/>
      <c r="Y733"/>
      <c r="Z733"/>
      <c r="AA733"/>
    </row>
    <row r="734" spans="2:27" s="25" customFormat="1" ht="15.75" customHeight="1" x14ac:dyDescent="0.2">
      <c r="B734" s="89"/>
      <c r="C734"/>
      <c r="D734"/>
      <c r="E734" s="69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  <c r="V734"/>
      <c r="W734"/>
      <c r="X734"/>
      <c r="Y734"/>
      <c r="Z734"/>
      <c r="AA734"/>
    </row>
    <row r="735" spans="2:27" s="25" customFormat="1" ht="15.75" customHeight="1" x14ac:dyDescent="0.2">
      <c r="B735" s="89"/>
      <c r="C735"/>
      <c r="D735"/>
      <c r="E735" s="69"/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  <c r="U735"/>
      <c r="V735"/>
      <c r="W735"/>
      <c r="X735"/>
      <c r="Y735"/>
      <c r="Z735"/>
      <c r="AA735"/>
    </row>
    <row r="736" spans="2:27" s="25" customFormat="1" ht="15.75" customHeight="1" x14ac:dyDescent="0.2">
      <c r="B736" s="89"/>
      <c r="C736"/>
      <c r="D736"/>
      <c r="E736" s="69"/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  <c r="U736"/>
      <c r="V736"/>
      <c r="W736"/>
      <c r="X736"/>
      <c r="Y736"/>
      <c r="Z736"/>
      <c r="AA736"/>
    </row>
    <row r="737" spans="2:27" s="25" customFormat="1" ht="15.75" customHeight="1" x14ac:dyDescent="0.2">
      <c r="B737" s="89"/>
      <c r="C737"/>
      <c r="D737"/>
      <c r="E737" s="69"/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  <c r="U737"/>
      <c r="V737"/>
      <c r="W737"/>
      <c r="X737"/>
      <c r="Y737"/>
      <c r="Z737"/>
      <c r="AA737"/>
    </row>
    <row r="738" spans="2:27" s="25" customFormat="1" ht="15.75" customHeight="1" x14ac:dyDescent="0.2">
      <c r="B738" s="89"/>
      <c r="C738"/>
      <c r="D738"/>
      <c r="E738" s="69"/>
      <c r="F738"/>
      <c r="G738"/>
      <c r="H738"/>
      <c r="I738"/>
      <c r="J738"/>
      <c r="K738"/>
      <c r="L738"/>
      <c r="M738"/>
      <c r="N738"/>
      <c r="O738"/>
      <c r="P738"/>
      <c r="Q738"/>
      <c r="R738"/>
      <c r="S738"/>
      <c r="T738"/>
      <c r="U738"/>
      <c r="V738"/>
      <c r="W738"/>
      <c r="X738"/>
      <c r="Y738"/>
      <c r="Z738"/>
      <c r="AA738"/>
    </row>
    <row r="739" spans="2:27" s="25" customFormat="1" ht="15.75" customHeight="1" x14ac:dyDescent="0.2">
      <c r="B739" s="89"/>
      <c r="C739"/>
      <c r="D739"/>
      <c r="E739" s="69"/>
      <c r="F739"/>
      <c r="G739"/>
      <c r="H739"/>
      <c r="I739"/>
      <c r="J739"/>
      <c r="K739"/>
      <c r="L739"/>
      <c r="M739"/>
      <c r="N739"/>
      <c r="O739"/>
      <c r="P739"/>
      <c r="Q739"/>
      <c r="R739"/>
      <c r="S739"/>
      <c r="T739"/>
      <c r="U739"/>
      <c r="V739"/>
      <c r="W739"/>
      <c r="X739"/>
      <c r="Y739"/>
      <c r="Z739"/>
      <c r="AA739"/>
    </row>
    <row r="740" spans="2:27" s="25" customFormat="1" ht="15.75" customHeight="1" x14ac:dyDescent="0.2">
      <c r="B740" s="89"/>
      <c r="C740"/>
      <c r="D740"/>
      <c r="E740" s="69"/>
      <c r="F740"/>
      <c r="G740"/>
      <c r="H740"/>
      <c r="I740"/>
      <c r="J740"/>
      <c r="K740"/>
      <c r="L740"/>
      <c r="M740"/>
      <c r="N740"/>
      <c r="O740"/>
      <c r="P740"/>
      <c r="Q740"/>
      <c r="R740"/>
      <c r="S740"/>
      <c r="T740"/>
      <c r="U740"/>
      <c r="V740"/>
      <c r="W740"/>
      <c r="X740"/>
      <c r="Y740"/>
      <c r="Z740"/>
      <c r="AA740"/>
    </row>
    <row r="741" spans="2:27" s="25" customFormat="1" ht="15.75" customHeight="1" x14ac:dyDescent="0.2">
      <c r="B741" s="89"/>
      <c r="C741"/>
      <c r="D741"/>
      <c r="E741" s="69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  <c r="V741"/>
      <c r="W741"/>
      <c r="X741"/>
      <c r="Y741"/>
      <c r="Z741"/>
      <c r="AA741"/>
    </row>
    <row r="742" spans="2:27" s="25" customFormat="1" ht="15.75" customHeight="1" x14ac:dyDescent="0.2">
      <c r="B742" s="89"/>
      <c r="C742"/>
      <c r="D742"/>
      <c r="E742" s="69"/>
      <c r="F742"/>
      <c r="G742"/>
      <c r="H742"/>
      <c r="I742"/>
      <c r="J742"/>
      <c r="K742"/>
      <c r="L742"/>
      <c r="M742"/>
      <c r="N742"/>
      <c r="O742"/>
      <c r="P742"/>
      <c r="Q742"/>
      <c r="R742"/>
      <c r="S742"/>
      <c r="T742"/>
      <c r="U742"/>
      <c r="V742"/>
      <c r="W742"/>
      <c r="X742"/>
      <c r="Y742"/>
      <c r="Z742"/>
      <c r="AA742"/>
    </row>
    <row r="743" spans="2:27" s="25" customFormat="1" ht="15.75" customHeight="1" x14ac:dyDescent="0.2">
      <c r="B743" s="89"/>
      <c r="C743"/>
      <c r="D743"/>
      <c r="E743" s="69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  <c r="V743"/>
      <c r="W743"/>
      <c r="X743"/>
      <c r="Y743"/>
      <c r="Z743"/>
      <c r="AA743"/>
    </row>
    <row r="744" spans="2:27" s="25" customFormat="1" ht="15.75" customHeight="1" x14ac:dyDescent="0.2">
      <c r="B744" s="89"/>
      <c r="C744"/>
      <c r="D744"/>
      <c r="E744" s="69"/>
      <c r="F744"/>
      <c r="G744"/>
      <c r="H744"/>
      <c r="I744"/>
      <c r="J744"/>
      <c r="K744"/>
      <c r="L744"/>
      <c r="M744"/>
      <c r="N744"/>
      <c r="O744"/>
      <c r="P744"/>
      <c r="Q744"/>
      <c r="R744"/>
      <c r="S744"/>
      <c r="T744"/>
      <c r="U744"/>
      <c r="V744"/>
      <c r="W744"/>
      <c r="X744"/>
      <c r="Y744"/>
      <c r="Z744"/>
      <c r="AA744"/>
    </row>
    <row r="745" spans="2:27" s="25" customFormat="1" ht="15.75" customHeight="1" x14ac:dyDescent="0.2">
      <c r="B745" s="89"/>
      <c r="C745"/>
      <c r="D745"/>
      <c r="E745" s="69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  <c r="V745"/>
      <c r="W745"/>
      <c r="X745"/>
      <c r="Y745"/>
      <c r="Z745"/>
      <c r="AA745"/>
    </row>
    <row r="746" spans="2:27" s="25" customFormat="1" ht="15.75" customHeight="1" x14ac:dyDescent="0.2">
      <c r="B746" s="89"/>
      <c r="C746"/>
      <c r="D746"/>
      <c r="E746" s="69"/>
      <c r="F746"/>
      <c r="G746"/>
      <c r="H746"/>
      <c r="I746"/>
      <c r="J746"/>
      <c r="K746"/>
      <c r="L746"/>
      <c r="M746"/>
      <c r="N746"/>
      <c r="O746"/>
      <c r="P746"/>
      <c r="Q746"/>
      <c r="R746"/>
      <c r="S746"/>
      <c r="T746"/>
      <c r="U746"/>
      <c r="V746"/>
      <c r="W746"/>
      <c r="X746"/>
      <c r="Y746"/>
      <c r="Z746"/>
      <c r="AA746"/>
    </row>
    <row r="747" spans="2:27" s="25" customFormat="1" ht="15.75" customHeight="1" x14ac:dyDescent="0.2">
      <c r="B747" s="89"/>
      <c r="C747"/>
      <c r="D747"/>
      <c r="E747" s="69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  <c r="U747"/>
      <c r="V747"/>
      <c r="W747"/>
      <c r="X747"/>
      <c r="Y747"/>
      <c r="Z747"/>
      <c r="AA747"/>
    </row>
    <row r="748" spans="2:27" s="25" customFormat="1" ht="15.75" customHeight="1" x14ac:dyDescent="0.2">
      <c r="B748" s="89"/>
      <c r="C748"/>
      <c r="D748"/>
      <c r="E748" s="69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  <c r="V748"/>
      <c r="W748"/>
      <c r="X748"/>
      <c r="Y748"/>
      <c r="Z748"/>
      <c r="AA748"/>
    </row>
    <row r="749" spans="2:27" s="25" customFormat="1" ht="15.75" customHeight="1" x14ac:dyDescent="0.2">
      <c r="B749" s="89"/>
      <c r="C749"/>
      <c r="D749"/>
      <c r="E749" s="69"/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  <c r="T749"/>
      <c r="U749"/>
      <c r="V749"/>
      <c r="W749"/>
      <c r="X749"/>
      <c r="Y749"/>
      <c r="Z749"/>
      <c r="AA749"/>
    </row>
    <row r="750" spans="2:27" s="25" customFormat="1" ht="15.75" customHeight="1" x14ac:dyDescent="0.2">
      <c r="B750" s="89"/>
      <c r="C750"/>
      <c r="D750"/>
      <c r="E750" s="69"/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  <c r="V750"/>
      <c r="W750"/>
      <c r="X750"/>
      <c r="Y750"/>
      <c r="Z750"/>
      <c r="AA750"/>
    </row>
    <row r="751" spans="2:27" s="25" customFormat="1" ht="15.75" customHeight="1" x14ac:dyDescent="0.2">
      <c r="B751" s="89"/>
      <c r="C751"/>
      <c r="D751"/>
      <c r="E751" s="69"/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  <c r="V751"/>
      <c r="W751"/>
      <c r="X751"/>
      <c r="Y751"/>
      <c r="Z751"/>
      <c r="AA751"/>
    </row>
    <row r="752" spans="2:27" s="25" customFormat="1" ht="15.75" customHeight="1" x14ac:dyDescent="0.2">
      <c r="B752" s="89"/>
      <c r="C752"/>
      <c r="D752"/>
      <c r="E752" s="69"/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  <c r="V752"/>
      <c r="W752"/>
      <c r="X752"/>
      <c r="Y752"/>
      <c r="Z752"/>
      <c r="AA752"/>
    </row>
    <row r="753" spans="2:27" s="25" customFormat="1" ht="15.75" customHeight="1" x14ac:dyDescent="0.2">
      <c r="B753" s="89"/>
      <c r="C753"/>
      <c r="D753"/>
      <c r="E753" s="69"/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  <c r="T753"/>
      <c r="U753"/>
      <c r="V753"/>
      <c r="W753"/>
      <c r="X753"/>
      <c r="Y753"/>
      <c r="Z753"/>
      <c r="AA753"/>
    </row>
    <row r="754" spans="2:27" s="25" customFormat="1" ht="15.75" customHeight="1" x14ac:dyDescent="0.2">
      <c r="B754" s="89"/>
      <c r="C754"/>
      <c r="D754"/>
      <c r="E754" s="69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  <c r="T754"/>
      <c r="U754"/>
      <c r="V754"/>
      <c r="W754"/>
      <c r="X754"/>
      <c r="Y754"/>
      <c r="Z754"/>
      <c r="AA754"/>
    </row>
    <row r="755" spans="2:27" s="25" customFormat="1" ht="15.75" customHeight="1" x14ac:dyDescent="0.2">
      <c r="B755" s="89"/>
      <c r="C755"/>
      <c r="D755"/>
      <c r="E755" s="69"/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  <c r="V755"/>
      <c r="W755"/>
      <c r="X755"/>
      <c r="Y755"/>
      <c r="Z755"/>
      <c r="AA755"/>
    </row>
    <row r="756" spans="2:27" s="25" customFormat="1" ht="15.75" customHeight="1" x14ac:dyDescent="0.2">
      <c r="B756" s="89"/>
      <c r="C756"/>
      <c r="D756"/>
      <c r="E756" s="69"/>
      <c r="F756"/>
      <c r="G756"/>
      <c r="H756"/>
      <c r="I756"/>
      <c r="J756"/>
      <c r="K756"/>
      <c r="L756"/>
      <c r="M756"/>
      <c r="N756"/>
      <c r="O756"/>
      <c r="P756"/>
      <c r="Q756"/>
      <c r="R756"/>
      <c r="S756"/>
      <c r="T756"/>
      <c r="U756"/>
      <c r="V756"/>
      <c r="W756"/>
      <c r="X756"/>
      <c r="Y756"/>
      <c r="Z756"/>
      <c r="AA756"/>
    </row>
    <row r="757" spans="2:27" s="25" customFormat="1" ht="15.75" customHeight="1" x14ac:dyDescent="0.2">
      <c r="B757" s="89"/>
      <c r="C757"/>
      <c r="D757"/>
      <c r="E757" s="69"/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  <c r="T757"/>
      <c r="U757"/>
      <c r="V757"/>
      <c r="W757"/>
      <c r="X757"/>
      <c r="Y757"/>
      <c r="Z757"/>
      <c r="AA757"/>
    </row>
    <row r="758" spans="2:27" s="25" customFormat="1" ht="15.75" customHeight="1" x14ac:dyDescent="0.2">
      <c r="B758" s="89"/>
      <c r="C758"/>
      <c r="D758"/>
      <c r="E758" s="69"/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  <c r="T758"/>
      <c r="U758"/>
      <c r="V758"/>
      <c r="W758"/>
      <c r="X758"/>
      <c r="Y758"/>
      <c r="Z758"/>
      <c r="AA758"/>
    </row>
    <row r="759" spans="2:27" s="25" customFormat="1" ht="15.75" customHeight="1" x14ac:dyDescent="0.2">
      <c r="B759" s="89"/>
      <c r="C759"/>
      <c r="D759"/>
      <c r="E759" s="69"/>
      <c r="F759"/>
      <c r="G759"/>
      <c r="H759"/>
      <c r="I759"/>
      <c r="J759"/>
      <c r="K759"/>
      <c r="L759"/>
      <c r="M759"/>
      <c r="N759"/>
      <c r="O759"/>
      <c r="P759"/>
      <c r="Q759"/>
      <c r="R759"/>
      <c r="S759"/>
      <c r="T759"/>
      <c r="U759"/>
      <c r="V759"/>
      <c r="W759"/>
      <c r="X759"/>
      <c r="Y759"/>
      <c r="Z759"/>
      <c r="AA759"/>
    </row>
    <row r="760" spans="2:27" s="25" customFormat="1" ht="15.75" customHeight="1" x14ac:dyDescent="0.2">
      <c r="B760" s="89"/>
      <c r="C760"/>
      <c r="D760"/>
      <c r="E760" s="69"/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  <c r="T760"/>
      <c r="U760"/>
      <c r="V760"/>
      <c r="W760"/>
      <c r="X760"/>
      <c r="Y760"/>
      <c r="Z760"/>
      <c r="AA760"/>
    </row>
    <row r="761" spans="2:27" s="25" customFormat="1" ht="15.75" customHeight="1" x14ac:dyDescent="0.2">
      <c r="B761" s="89"/>
      <c r="C761"/>
      <c r="D761"/>
      <c r="E761" s="69"/>
      <c r="F761"/>
      <c r="G761"/>
      <c r="H761"/>
      <c r="I761"/>
      <c r="J761"/>
      <c r="K761"/>
      <c r="L761"/>
      <c r="M761"/>
      <c r="N761"/>
      <c r="O761"/>
      <c r="P761"/>
      <c r="Q761"/>
      <c r="R761"/>
      <c r="S761"/>
      <c r="T761"/>
      <c r="U761"/>
      <c r="V761"/>
      <c r="W761"/>
      <c r="X761"/>
      <c r="Y761"/>
      <c r="Z761"/>
      <c r="AA761"/>
    </row>
    <row r="762" spans="2:27" s="25" customFormat="1" ht="15.75" customHeight="1" x14ac:dyDescent="0.2">
      <c r="B762" s="89"/>
      <c r="C762"/>
      <c r="D762"/>
      <c r="E762" s="69"/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  <c r="U762"/>
      <c r="V762"/>
      <c r="W762"/>
      <c r="X762"/>
      <c r="Y762"/>
      <c r="Z762"/>
      <c r="AA762"/>
    </row>
    <row r="763" spans="2:27" s="25" customFormat="1" ht="15.75" customHeight="1" x14ac:dyDescent="0.2">
      <c r="B763" s="89"/>
      <c r="C763"/>
      <c r="D763"/>
      <c r="E763" s="69"/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  <c r="V763"/>
      <c r="W763"/>
      <c r="X763"/>
      <c r="Y763"/>
      <c r="Z763"/>
      <c r="AA763"/>
    </row>
    <row r="764" spans="2:27" s="25" customFormat="1" ht="15.75" customHeight="1" x14ac:dyDescent="0.2">
      <c r="B764" s="89"/>
      <c r="C764"/>
      <c r="D764"/>
      <c r="E764" s="69"/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  <c r="V764"/>
      <c r="W764"/>
      <c r="X764"/>
      <c r="Y764"/>
      <c r="Z764"/>
      <c r="AA764"/>
    </row>
    <row r="765" spans="2:27" s="25" customFormat="1" ht="15.75" customHeight="1" x14ac:dyDescent="0.2">
      <c r="B765" s="89"/>
      <c r="C765"/>
      <c r="D765"/>
      <c r="E765" s="69"/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  <c r="U765"/>
      <c r="V765"/>
      <c r="W765"/>
      <c r="X765"/>
      <c r="Y765"/>
      <c r="Z765"/>
      <c r="AA765"/>
    </row>
    <row r="766" spans="2:27" s="25" customFormat="1" ht="15.75" customHeight="1" x14ac:dyDescent="0.2">
      <c r="B766" s="89"/>
      <c r="C766"/>
      <c r="D766"/>
      <c r="E766" s="69"/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  <c r="T766"/>
      <c r="U766"/>
      <c r="V766"/>
      <c r="W766"/>
      <c r="X766"/>
      <c r="Y766"/>
      <c r="Z766"/>
      <c r="AA766"/>
    </row>
    <row r="767" spans="2:27" s="25" customFormat="1" ht="15.75" customHeight="1" x14ac:dyDescent="0.2">
      <c r="B767" s="89"/>
      <c r="C767"/>
      <c r="D767"/>
      <c r="E767" s="69"/>
      <c r="F767"/>
      <c r="G767"/>
      <c r="H767"/>
      <c r="I767"/>
      <c r="J767"/>
      <c r="K767"/>
      <c r="L767"/>
      <c r="M767"/>
      <c r="N767"/>
      <c r="O767"/>
      <c r="P767"/>
      <c r="Q767"/>
      <c r="R767"/>
      <c r="S767"/>
      <c r="T767"/>
      <c r="U767"/>
      <c r="V767"/>
      <c r="W767"/>
      <c r="X767"/>
      <c r="Y767"/>
      <c r="Z767"/>
      <c r="AA767"/>
    </row>
    <row r="768" spans="2:27" s="25" customFormat="1" ht="15.75" customHeight="1" x14ac:dyDescent="0.2">
      <c r="B768" s="89"/>
      <c r="C768"/>
      <c r="D768"/>
      <c r="E768" s="69"/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  <c r="U768"/>
      <c r="V768"/>
      <c r="W768"/>
      <c r="X768"/>
      <c r="Y768"/>
      <c r="Z768"/>
      <c r="AA768"/>
    </row>
    <row r="769" spans="2:27" s="25" customFormat="1" ht="15.75" customHeight="1" x14ac:dyDescent="0.2">
      <c r="B769" s="89"/>
      <c r="C769"/>
      <c r="D769"/>
      <c r="E769" s="69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  <c r="V769"/>
      <c r="W769"/>
      <c r="X769"/>
      <c r="Y769"/>
      <c r="Z769"/>
      <c r="AA769"/>
    </row>
    <row r="770" spans="2:27" s="25" customFormat="1" ht="15.75" customHeight="1" x14ac:dyDescent="0.2">
      <c r="B770" s="89"/>
      <c r="C770"/>
      <c r="D770"/>
      <c r="E770" s="69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  <c r="V770"/>
      <c r="W770"/>
      <c r="X770"/>
      <c r="Y770"/>
      <c r="Z770"/>
      <c r="AA770"/>
    </row>
    <row r="771" spans="2:27" s="25" customFormat="1" ht="15.75" customHeight="1" x14ac:dyDescent="0.2">
      <c r="B771" s="89"/>
      <c r="C771"/>
      <c r="D771"/>
      <c r="E771" s="69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  <c r="V771"/>
      <c r="W771"/>
      <c r="X771"/>
      <c r="Y771"/>
      <c r="Z771"/>
      <c r="AA771"/>
    </row>
    <row r="772" spans="2:27" s="25" customFormat="1" ht="15.75" customHeight="1" x14ac:dyDescent="0.2">
      <c r="B772" s="89"/>
      <c r="C772"/>
      <c r="D772"/>
      <c r="E772" s="69"/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  <c r="V772"/>
      <c r="W772"/>
      <c r="X772"/>
      <c r="Y772"/>
      <c r="Z772"/>
      <c r="AA772"/>
    </row>
    <row r="773" spans="2:27" s="25" customFormat="1" ht="15.75" customHeight="1" x14ac:dyDescent="0.2">
      <c r="B773" s="89"/>
      <c r="C773"/>
      <c r="D773"/>
      <c r="E773" s="69"/>
      <c r="F773"/>
      <c r="G773"/>
      <c r="H773"/>
      <c r="I773"/>
      <c r="J773"/>
      <c r="K773"/>
      <c r="L773"/>
      <c r="M773"/>
      <c r="N773"/>
      <c r="O773"/>
      <c r="P773"/>
      <c r="Q773"/>
      <c r="R773"/>
      <c r="S773"/>
      <c r="T773"/>
      <c r="U773"/>
      <c r="V773"/>
      <c r="W773"/>
      <c r="X773"/>
      <c r="Y773"/>
      <c r="Z773"/>
      <c r="AA773"/>
    </row>
    <row r="774" spans="2:27" s="25" customFormat="1" ht="15.75" customHeight="1" x14ac:dyDescent="0.2">
      <c r="B774" s="89"/>
      <c r="C774"/>
      <c r="D774"/>
      <c r="E774" s="69"/>
      <c r="F774"/>
      <c r="G774"/>
      <c r="H774"/>
      <c r="I774"/>
      <c r="J774"/>
      <c r="K774"/>
      <c r="L774"/>
      <c r="M774"/>
      <c r="N774"/>
      <c r="O774"/>
      <c r="P774"/>
      <c r="Q774"/>
      <c r="R774"/>
      <c r="S774"/>
      <c r="T774"/>
      <c r="U774"/>
      <c r="V774"/>
      <c r="W774"/>
      <c r="X774"/>
      <c r="Y774"/>
      <c r="Z774"/>
      <c r="AA774"/>
    </row>
    <row r="775" spans="2:27" s="25" customFormat="1" ht="15.75" customHeight="1" x14ac:dyDescent="0.2">
      <c r="B775" s="89"/>
      <c r="C775"/>
      <c r="D775"/>
      <c r="E775" s="69"/>
      <c r="F775"/>
      <c r="G775"/>
      <c r="H775"/>
      <c r="I775"/>
      <c r="J775"/>
      <c r="K775"/>
      <c r="L775"/>
      <c r="M775"/>
      <c r="N775"/>
      <c r="O775"/>
      <c r="P775"/>
      <c r="Q775"/>
      <c r="R775"/>
      <c r="S775"/>
      <c r="T775"/>
      <c r="U775"/>
      <c r="V775"/>
      <c r="W775"/>
      <c r="X775"/>
      <c r="Y775"/>
      <c r="Z775"/>
      <c r="AA775"/>
    </row>
    <row r="776" spans="2:27" s="25" customFormat="1" ht="15.75" customHeight="1" x14ac:dyDescent="0.2">
      <c r="B776" s="89"/>
      <c r="C776"/>
      <c r="D776"/>
      <c r="E776" s="69"/>
      <c r="F776"/>
      <c r="G776"/>
      <c r="H776"/>
      <c r="I776"/>
      <c r="J776"/>
      <c r="K776"/>
      <c r="L776"/>
      <c r="M776"/>
      <c r="N776"/>
      <c r="O776"/>
      <c r="P776"/>
      <c r="Q776"/>
      <c r="R776"/>
      <c r="S776"/>
      <c r="T776"/>
      <c r="U776"/>
      <c r="V776"/>
      <c r="W776"/>
      <c r="X776"/>
      <c r="Y776"/>
      <c r="Z776"/>
      <c r="AA776"/>
    </row>
    <row r="777" spans="2:27" s="25" customFormat="1" ht="15.75" customHeight="1" x14ac:dyDescent="0.2">
      <c r="B777" s="89"/>
      <c r="C777"/>
      <c r="D777"/>
      <c r="E777" s="69"/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  <c r="V777"/>
      <c r="W777"/>
      <c r="X777"/>
      <c r="Y777"/>
      <c r="Z777"/>
      <c r="AA777"/>
    </row>
    <row r="778" spans="2:27" s="25" customFormat="1" ht="15.75" customHeight="1" x14ac:dyDescent="0.2">
      <c r="B778" s="89"/>
      <c r="C778"/>
      <c r="D778"/>
      <c r="E778" s="69"/>
      <c r="F778"/>
      <c r="G778"/>
      <c r="H778"/>
      <c r="I778"/>
      <c r="J778"/>
      <c r="K778"/>
      <c r="L778"/>
      <c r="M778"/>
      <c r="N778"/>
      <c r="O778"/>
      <c r="P778"/>
      <c r="Q778"/>
      <c r="R778"/>
      <c r="S778"/>
      <c r="T778"/>
      <c r="U778"/>
      <c r="V778"/>
      <c r="W778"/>
      <c r="X778"/>
      <c r="Y778"/>
      <c r="Z778"/>
      <c r="AA778"/>
    </row>
    <row r="779" spans="2:27" s="25" customFormat="1" ht="15.75" customHeight="1" x14ac:dyDescent="0.2">
      <c r="B779" s="89"/>
      <c r="C779"/>
      <c r="D779"/>
      <c r="E779" s="69"/>
      <c r="F779"/>
      <c r="G779"/>
      <c r="H779"/>
      <c r="I779"/>
      <c r="J779"/>
      <c r="K779"/>
      <c r="L779"/>
      <c r="M779"/>
      <c r="N779"/>
      <c r="O779"/>
      <c r="P779"/>
      <c r="Q779"/>
      <c r="R779"/>
      <c r="S779"/>
      <c r="T779"/>
      <c r="U779"/>
      <c r="V779"/>
      <c r="W779"/>
      <c r="X779"/>
      <c r="Y779"/>
      <c r="Z779"/>
      <c r="AA779"/>
    </row>
    <row r="780" spans="2:27" s="25" customFormat="1" ht="15.75" customHeight="1" x14ac:dyDescent="0.2">
      <c r="B780" s="89"/>
      <c r="C780"/>
      <c r="D780"/>
      <c r="E780" s="69"/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  <c r="T780"/>
      <c r="U780"/>
      <c r="V780"/>
      <c r="W780"/>
      <c r="X780"/>
      <c r="Y780"/>
      <c r="Z780"/>
      <c r="AA780"/>
    </row>
    <row r="781" spans="2:27" s="25" customFormat="1" ht="15.75" customHeight="1" x14ac:dyDescent="0.2">
      <c r="B781" s="89"/>
      <c r="C781"/>
      <c r="D781"/>
      <c r="E781" s="69"/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  <c r="V781"/>
      <c r="W781"/>
      <c r="X781"/>
      <c r="Y781"/>
      <c r="Z781"/>
      <c r="AA781"/>
    </row>
    <row r="782" spans="2:27" s="25" customFormat="1" ht="15.75" customHeight="1" x14ac:dyDescent="0.2">
      <c r="B782" s="89"/>
      <c r="C782"/>
      <c r="D782"/>
      <c r="E782" s="69"/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  <c r="V782"/>
      <c r="W782"/>
      <c r="X782"/>
      <c r="Y782"/>
      <c r="Z782"/>
      <c r="AA782"/>
    </row>
    <row r="783" spans="2:27" s="25" customFormat="1" ht="15.75" customHeight="1" x14ac:dyDescent="0.2">
      <c r="B783" s="89"/>
      <c r="C783"/>
      <c r="D783"/>
      <c r="E783" s="69"/>
      <c r="F783"/>
      <c r="G783"/>
      <c r="H783"/>
      <c r="I783"/>
      <c r="J783"/>
      <c r="K783"/>
      <c r="L783"/>
      <c r="M783"/>
      <c r="N783"/>
      <c r="O783"/>
      <c r="P783"/>
      <c r="Q783"/>
      <c r="R783"/>
      <c r="S783"/>
      <c r="T783"/>
      <c r="U783"/>
      <c r="V783"/>
      <c r="W783"/>
      <c r="X783"/>
      <c r="Y783"/>
      <c r="Z783"/>
      <c r="AA783"/>
    </row>
    <row r="784" spans="2:27" s="25" customFormat="1" ht="15.75" customHeight="1" x14ac:dyDescent="0.2">
      <c r="B784" s="89"/>
      <c r="C784"/>
      <c r="D784"/>
      <c r="E784" s="69"/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  <c r="T784"/>
      <c r="U784"/>
      <c r="V784"/>
      <c r="W784"/>
      <c r="X784"/>
      <c r="Y784"/>
      <c r="Z784"/>
      <c r="AA784"/>
    </row>
    <row r="785" spans="2:27" s="25" customFormat="1" ht="15.75" customHeight="1" x14ac:dyDescent="0.2">
      <c r="B785" s="89"/>
      <c r="C785"/>
      <c r="D785"/>
      <c r="E785" s="69"/>
      <c r="F785"/>
      <c r="G785"/>
      <c r="H785"/>
      <c r="I785"/>
      <c r="J785"/>
      <c r="K785"/>
      <c r="L785"/>
      <c r="M785"/>
      <c r="N785"/>
      <c r="O785"/>
      <c r="P785"/>
      <c r="Q785"/>
      <c r="R785"/>
      <c r="S785"/>
      <c r="T785"/>
      <c r="U785"/>
      <c r="V785"/>
      <c r="W785"/>
      <c r="X785"/>
      <c r="Y785"/>
      <c r="Z785"/>
      <c r="AA785"/>
    </row>
    <row r="786" spans="2:27" s="25" customFormat="1" ht="15.75" customHeight="1" x14ac:dyDescent="0.2">
      <c r="B786" s="89"/>
      <c r="C786"/>
      <c r="D786"/>
      <c r="E786" s="69"/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  <c r="U786"/>
      <c r="V786"/>
      <c r="W786"/>
      <c r="X786"/>
      <c r="Y786"/>
      <c r="Z786"/>
      <c r="AA786"/>
    </row>
    <row r="787" spans="2:27" s="25" customFormat="1" ht="15.75" customHeight="1" x14ac:dyDescent="0.2">
      <c r="B787" s="89"/>
      <c r="C787"/>
      <c r="D787"/>
      <c r="E787" s="69"/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  <c r="V787"/>
      <c r="W787"/>
      <c r="X787"/>
      <c r="Y787"/>
      <c r="Z787"/>
      <c r="AA787"/>
    </row>
    <row r="788" spans="2:27" s="25" customFormat="1" ht="15.75" customHeight="1" x14ac:dyDescent="0.2">
      <c r="B788" s="89"/>
      <c r="C788"/>
      <c r="D788"/>
      <c r="E788" s="69"/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  <c r="V788"/>
      <c r="W788"/>
      <c r="X788"/>
      <c r="Y788"/>
      <c r="Z788"/>
      <c r="AA788"/>
    </row>
    <row r="789" spans="2:27" s="25" customFormat="1" ht="15.75" customHeight="1" x14ac:dyDescent="0.2">
      <c r="B789" s="89"/>
      <c r="C789"/>
      <c r="D789"/>
      <c r="E789" s="69"/>
      <c r="F789"/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  <c r="V789"/>
      <c r="W789"/>
      <c r="X789"/>
      <c r="Y789"/>
      <c r="Z789"/>
      <c r="AA789"/>
    </row>
    <row r="790" spans="2:27" s="25" customFormat="1" ht="15.75" customHeight="1" x14ac:dyDescent="0.2">
      <c r="B790" s="89"/>
      <c r="C790"/>
      <c r="D790"/>
      <c r="E790" s="69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  <c r="V790"/>
      <c r="W790"/>
      <c r="X790"/>
      <c r="Y790"/>
      <c r="Z790"/>
      <c r="AA790"/>
    </row>
    <row r="791" spans="2:27" s="25" customFormat="1" ht="15.75" customHeight="1" x14ac:dyDescent="0.2">
      <c r="B791" s="89"/>
      <c r="C791"/>
      <c r="D791"/>
      <c r="E791" s="69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  <c r="V791"/>
      <c r="W791"/>
      <c r="X791"/>
      <c r="Y791"/>
      <c r="Z791"/>
      <c r="AA791"/>
    </row>
    <row r="792" spans="2:27" s="25" customFormat="1" ht="15.75" customHeight="1" x14ac:dyDescent="0.2">
      <c r="B792" s="89"/>
      <c r="C792"/>
      <c r="D792"/>
      <c r="E792" s="69"/>
      <c r="F792"/>
      <c r="G792"/>
      <c r="H792"/>
      <c r="I792"/>
      <c r="J792"/>
      <c r="K792"/>
      <c r="L792"/>
      <c r="M792"/>
      <c r="N792"/>
      <c r="O792"/>
      <c r="P792"/>
      <c r="Q792"/>
      <c r="R792"/>
      <c r="S792"/>
      <c r="T792"/>
      <c r="U792"/>
      <c r="V792"/>
      <c r="W792"/>
      <c r="X792"/>
      <c r="Y792"/>
      <c r="Z792"/>
      <c r="AA792"/>
    </row>
    <row r="793" spans="2:27" s="25" customFormat="1" ht="15.75" customHeight="1" x14ac:dyDescent="0.2">
      <c r="B793" s="89"/>
      <c r="C793"/>
      <c r="D793"/>
      <c r="E793" s="69"/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  <c r="V793"/>
      <c r="W793"/>
      <c r="X793"/>
      <c r="Y793"/>
      <c r="Z793"/>
      <c r="AA793"/>
    </row>
    <row r="794" spans="2:27" s="25" customFormat="1" ht="15.75" customHeight="1" x14ac:dyDescent="0.2">
      <c r="B794" s="89"/>
      <c r="C794"/>
      <c r="D794"/>
      <c r="E794" s="69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  <c r="V794"/>
      <c r="W794"/>
      <c r="X794"/>
      <c r="Y794"/>
      <c r="Z794"/>
      <c r="AA794"/>
    </row>
    <row r="795" spans="2:27" s="25" customFormat="1" ht="15.75" customHeight="1" x14ac:dyDescent="0.2">
      <c r="B795" s="89"/>
      <c r="C795"/>
      <c r="D795"/>
      <c r="E795" s="69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  <c r="V795"/>
      <c r="W795"/>
      <c r="X795"/>
      <c r="Y795"/>
      <c r="Z795"/>
      <c r="AA795"/>
    </row>
    <row r="796" spans="2:27" s="25" customFormat="1" ht="15.75" customHeight="1" x14ac:dyDescent="0.2">
      <c r="B796" s="89"/>
      <c r="C796"/>
      <c r="D796"/>
      <c r="E796" s="69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  <c r="V796"/>
      <c r="W796"/>
      <c r="X796"/>
      <c r="Y796"/>
      <c r="Z796"/>
      <c r="AA796"/>
    </row>
    <row r="797" spans="2:27" s="25" customFormat="1" ht="15.75" customHeight="1" x14ac:dyDescent="0.2">
      <c r="B797" s="89"/>
      <c r="C797"/>
      <c r="D797"/>
      <c r="E797" s="69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  <c r="V797"/>
      <c r="W797"/>
      <c r="X797"/>
      <c r="Y797"/>
      <c r="Z797"/>
      <c r="AA797"/>
    </row>
    <row r="798" spans="2:27" s="25" customFormat="1" ht="15.75" customHeight="1" x14ac:dyDescent="0.2">
      <c r="B798" s="89"/>
      <c r="C798"/>
      <c r="D798"/>
      <c r="E798" s="69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  <c r="V798"/>
      <c r="W798"/>
      <c r="X798"/>
      <c r="Y798"/>
      <c r="Z798"/>
      <c r="AA798"/>
    </row>
    <row r="799" spans="2:27" s="25" customFormat="1" ht="15.75" customHeight="1" x14ac:dyDescent="0.2">
      <c r="B799" s="89"/>
      <c r="C799"/>
      <c r="D799"/>
      <c r="E799" s="6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  <c r="V799"/>
      <c r="W799"/>
      <c r="X799"/>
      <c r="Y799"/>
      <c r="Z799"/>
      <c r="AA799"/>
    </row>
    <row r="800" spans="2:27" s="25" customFormat="1" ht="15.75" customHeight="1" x14ac:dyDescent="0.2">
      <c r="B800" s="89"/>
      <c r="C800"/>
      <c r="D800"/>
      <c r="E800" s="69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  <c r="V800"/>
      <c r="W800"/>
      <c r="X800"/>
      <c r="Y800"/>
      <c r="Z800"/>
      <c r="AA800"/>
    </row>
    <row r="801" spans="2:27" s="25" customFormat="1" ht="15.75" customHeight="1" x14ac:dyDescent="0.2">
      <c r="B801" s="89"/>
      <c r="C801"/>
      <c r="D801"/>
      <c r="E801" s="69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  <c r="V801"/>
      <c r="W801"/>
      <c r="X801"/>
      <c r="Y801"/>
      <c r="Z801"/>
      <c r="AA801"/>
    </row>
    <row r="802" spans="2:27" s="25" customFormat="1" ht="15.75" customHeight="1" x14ac:dyDescent="0.2">
      <c r="B802" s="89"/>
      <c r="C802"/>
      <c r="D802"/>
      <c r="E802" s="69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  <c r="V802"/>
      <c r="W802"/>
      <c r="X802"/>
      <c r="Y802"/>
      <c r="Z802"/>
      <c r="AA802"/>
    </row>
    <row r="803" spans="2:27" s="25" customFormat="1" ht="15.75" customHeight="1" x14ac:dyDescent="0.2">
      <c r="B803" s="89"/>
      <c r="C803"/>
      <c r="D803"/>
      <c r="E803" s="69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  <c r="V803"/>
      <c r="W803"/>
      <c r="X803"/>
      <c r="Y803"/>
      <c r="Z803"/>
      <c r="AA803"/>
    </row>
    <row r="804" spans="2:27" s="25" customFormat="1" ht="15.75" customHeight="1" x14ac:dyDescent="0.2">
      <c r="B804" s="89"/>
      <c r="C804"/>
      <c r="D804"/>
      <c r="E804" s="69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  <c r="V804"/>
      <c r="W804"/>
      <c r="X804"/>
      <c r="Y804"/>
      <c r="Z804"/>
      <c r="AA804"/>
    </row>
    <row r="805" spans="2:27" s="25" customFormat="1" ht="15.75" customHeight="1" x14ac:dyDescent="0.2">
      <c r="B805" s="89"/>
      <c r="C805"/>
      <c r="D805"/>
      <c r="E805" s="69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  <c r="V805"/>
      <c r="W805"/>
      <c r="X805"/>
      <c r="Y805"/>
      <c r="Z805"/>
      <c r="AA805"/>
    </row>
    <row r="806" spans="2:27" s="25" customFormat="1" ht="15.75" customHeight="1" x14ac:dyDescent="0.2">
      <c r="B806" s="89"/>
      <c r="C806"/>
      <c r="D806"/>
      <c r="E806" s="69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  <c r="V806"/>
      <c r="W806"/>
      <c r="X806"/>
      <c r="Y806"/>
      <c r="Z806"/>
      <c r="AA806"/>
    </row>
    <row r="807" spans="2:27" s="25" customFormat="1" ht="15.75" customHeight="1" x14ac:dyDescent="0.2">
      <c r="B807" s="89"/>
      <c r="C807"/>
      <c r="D807"/>
      <c r="E807" s="69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  <c r="V807"/>
      <c r="W807"/>
      <c r="X807"/>
      <c r="Y807"/>
      <c r="Z807"/>
      <c r="AA807"/>
    </row>
    <row r="808" spans="2:27" s="25" customFormat="1" ht="15.75" customHeight="1" x14ac:dyDescent="0.2">
      <c r="B808" s="89"/>
      <c r="C808"/>
      <c r="D808"/>
      <c r="E808" s="69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  <c r="V808"/>
      <c r="W808"/>
      <c r="X808"/>
      <c r="Y808"/>
      <c r="Z808"/>
      <c r="AA808"/>
    </row>
    <row r="809" spans="2:27" s="25" customFormat="1" ht="15.75" customHeight="1" x14ac:dyDescent="0.2">
      <c r="B809" s="89"/>
      <c r="C809"/>
      <c r="D809"/>
      <c r="E809" s="6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  <c r="V809"/>
      <c r="W809"/>
      <c r="X809"/>
      <c r="Y809"/>
      <c r="Z809"/>
      <c r="AA809"/>
    </row>
    <row r="810" spans="2:27" s="25" customFormat="1" ht="15.75" customHeight="1" x14ac:dyDescent="0.2">
      <c r="B810" s="89"/>
      <c r="C810"/>
      <c r="D810"/>
      <c r="E810" s="69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  <c r="V810"/>
      <c r="W810"/>
      <c r="X810"/>
      <c r="Y810"/>
      <c r="Z810"/>
      <c r="AA810"/>
    </row>
    <row r="811" spans="2:27" s="25" customFormat="1" ht="15.75" customHeight="1" x14ac:dyDescent="0.2">
      <c r="B811" s="89"/>
      <c r="C811"/>
      <c r="D811"/>
      <c r="E811" s="69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  <c r="V811"/>
      <c r="W811"/>
      <c r="X811"/>
      <c r="Y811"/>
      <c r="Z811"/>
      <c r="AA811"/>
    </row>
    <row r="812" spans="2:27" s="25" customFormat="1" ht="15.75" customHeight="1" x14ac:dyDescent="0.2">
      <c r="B812" s="89"/>
      <c r="C812"/>
      <c r="D812"/>
      <c r="E812" s="69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  <c r="V812"/>
      <c r="W812"/>
      <c r="X812"/>
      <c r="Y812"/>
      <c r="Z812"/>
      <c r="AA812"/>
    </row>
    <row r="813" spans="2:27" s="25" customFormat="1" ht="15.75" customHeight="1" x14ac:dyDescent="0.2">
      <c r="B813" s="89"/>
      <c r="C813"/>
      <c r="D813"/>
      <c r="E813" s="69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  <c r="V813"/>
      <c r="W813"/>
      <c r="X813"/>
      <c r="Y813"/>
      <c r="Z813"/>
      <c r="AA813"/>
    </row>
    <row r="814" spans="2:27" s="25" customFormat="1" ht="15.75" customHeight="1" x14ac:dyDescent="0.2">
      <c r="B814" s="89"/>
      <c r="C814"/>
      <c r="D814"/>
      <c r="E814" s="69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  <c r="V814"/>
      <c r="W814"/>
      <c r="X814"/>
      <c r="Y814"/>
      <c r="Z814"/>
      <c r="AA814"/>
    </row>
    <row r="815" spans="2:27" s="25" customFormat="1" ht="15.75" customHeight="1" x14ac:dyDescent="0.2">
      <c r="B815" s="89"/>
      <c r="C815"/>
      <c r="D815"/>
      <c r="E815" s="69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  <c r="V815"/>
      <c r="W815"/>
      <c r="X815"/>
      <c r="Y815"/>
      <c r="Z815"/>
      <c r="AA815"/>
    </row>
    <row r="816" spans="2:27" s="25" customFormat="1" ht="15.75" customHeight="1" x14ac:dyDescent="0.2">
      <c r="B816" s="89"/>
      <c r="C816"/>
      <c r="D816"/>
      <c r="E816" s="69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  <c r="V816"/>
      <c r="W816"/>
      <c r="X816"/>
      <c r="Y816"/>
      <c r="Z816"/>
      <c r="AA816"/>
    </row>
    <row r="817" spans="2:27" s="25" customFormat="1" ht="15.75" customHeight="1" x14ac:dyDescent="0.2">
      <c r="B817" s="89"/>
      <c r="C817"/>
      <c r="D817"/>
      <c r="E817" s="69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  <c r="V817"/>
      <c r="W817"/>
      <c r="X817"/>
      <c r="Y817"/>
      <c r="Z817"/>
      <c r="AA817"/>
    </row>
    <row r="818" spans="2:27" s="25" customFormat="1" ht="15.75" customHeight="1" x14ac:dyDescent="0.2">
      <c r="B818" s="89"/>
      <c r="C818"/>
      <c r="D818"/>
      <c r="E818" s="69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  <c r="U818"/>
      <c r="V818"/>
      <c r="W818"/>
      <c r="X818"/>
      <c r="Y818"/>
      <c r="Z818"/>
      <c r="AA818"/>
    </row>
    <row r="819" spans="2:27" s="25" customFormat="1" ht="15.75" customHeight="1" x14ac:dyDescent="0.2">
      <c r="B819" s="89"/>
      <c r="C819"/>
      <c r="D819"/>
      <c r="E819" s="6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/>
      <c r="U819"/>
      <c r="V819"/>
      <c r="W819"/>
      <c r="X819"/>
      <c r="Y819"/>
      <c r="Z819"/>
      <c r="AA819"/>
    </row>
    <row r="820" spans="2:27" s="25" customFormat="1" ht="15.75" customHeight="1" x14ac:dyDescent="0.2">
      <c r="B820" s="89"/>
      <c r="C820"/>
      <c r="D820"/>
      <c r="E820" s="69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  <c r="U820"/>
      <c r="V820"/>
      <c r="W820"/>
      <c r="X820"/>
      <c r="Y820"/>
      <c r="Z820"/>
      <c r="AA820"/>
    </row>
    <row r="821" spans="2:27" s="25" customFormat="1" ht="15.75" customHeight="1" x14ac:dyDescent="0.2">
      <c r="B821" s="89"/>
      <c r="C821"/>
      <c r="D821"/>
      <c r="E821" s="69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  <c r="V821"/>
      <c r="W821"/>
      <c r="X821"/>
      <c r="Y821"/>
      <c r="Z821"/>
      <c r="AA821"/>
    </row>
    <row r="822" spans="2:27" s="25" customFormat="1" ht="15.75" customHeight="1" x14ac:dyDescent="0.2">
      <c r="B822" s="89"/>
      <c r="C822"/>
      <c r="D822"/>
      <c r="E822" s="69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  <c r="V822"/>
      <c r="W822"/>
      <c r="X822"/>
      <c r="Y822"/>
      <c r="Z822"/>
      <c r="AA822"/>
    </row>
    <row r="823" spans="2:27" s="25" customFormat="1" ht="15.75" customHeight="1" x14ac:dyDescent="0.2">
      <c r="B823" s="89"/>
      <c r="C823"/>
      <c r="D823"/>
      <c r="E823" s="69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  <c r="V823"/>
      <c r="W823"/>
      <c r="X823"/>
      <c r="Y823"/>
      <c r="Z823"/>
      <c r="AA823"/>
    </row>
    <row r="824" spans="2:27" s="25" customFormat="1" ht="15.75" customHeight="1" x14ac:dyDescent="0.2">
      <c r="B824" s="89"/>
      <c r="C824"/>
      <c r="D824"/>
      <c r="E824" s="69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  <c r="U824"/>
      <c r="V824"/>
      <c r="W824"/>
      <c r="X824"/>
      <c r="Y824"/>
      <c r="Z824"/>
      <c r="AA824"/>
    </row>
    <row r="825" spans="2:27" s="25" customFormat="1" ht="15.75" customHeight="1" x14ac:dyDescent="0.2">
      <c r="B825" s="89"/>
      <c r="C825"/>
      <c r="D825"/>
      <c r="E825" s="69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  <c r="V825"/>
      <c r="W825"/>
      <c r="X825"/>
      <c r="Y825"/>
      <c r="Z825"/>
      <c r="AA825"/>
    </row>
    <row r="826" spans="2:27" s="25" customFormat="1" ht="15.75" customHeight="1" x14ac:dyDescent="0.2">
      <c r="B826" s="89"/>
      <c r="C826"/>
      <c r="D826"/>
      <c r="E826" s="69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  <c r="U826"/>
      <c r="V826"/>
      <c r="W826"/>
      <c r="X826"/>
      <c r="Y826"/>
      <c r="Z826"/>
      <c r="AA826"/>
    </row>
    <row r="827" spans="2:27" s="25" customFormat="1" ht="15.75" customHeight="1" x14ac:dyDescent="0.2">
      <c r="B827" s="89"/>
      <c r="C827"/>
      <c r="D827"/>
      <c r="E827" s="69"/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  <c r="U827"/>
      <c r="V827"/>
      <c r="W827"/>
      <c r="X827"/>
      <c r="Y827"/>
      <c r="Z827"/>
      <c r="AA827"/>
    </row>
    <row r="828" spans="2:27" s="25" customFormat="1" ht="15.75" customHeight="1" x14ac:dyDescent="0.2">
      <c r="B828" s="89"/>
      <c r="C828"/>
      <c r="D828"/>
      <c r="E828" s="69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  <c r="V828"/>
      <c r="W828"/>
      <c r="X828"/>
      <c r="Y828"/>
      <c r="Z828"/>
      <c r="AA828"/>
    </row>
    <row r="829" spans="2:27" s="25" customFormat="1" ht="15.75" customHeight="1" x14ac:dyDescent="0.2">
      <c r="B829" s="89"/>
      <c r="C829"/>
      <c r="D829"/>
      <c r="E829" s="6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  <c r="V829"/>
      <c r="W829"/>
      <c r="X829"/>
      <c r="Y829"/>
      <c r="Z829"/>
      <c r="AA829"/>
    </row>
    <row r="830" spans="2:27" s="25" customFormat="1" ht="15.75" customHeight="1" x14ac:dyDescent="0.2">
      <c r="B830" s="89"/>
      <c r="C830"/>
      <c r="D830"/>
      <c r="E830" s="69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  <c r="V830"/>
      <c r="W830"/>
      <c r="X830"/>
      <c r="Y830"/>
      <c r="Z830"/>
      <c r="AA830"/>
    </row>
    <row r="831" spans="2:27" s="25" customFormat="1" ht="15.75" customHeight="1" x14ac:dyDescent="0.2">
      <c r="B831" s="89"/>
      <c r="C831"/>
      <c r="D831"/>
      <c r="E831" s="69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  <c r="V831"/>
      <c r="W831"/>
      <c r="X831"/>
      <c r="Y831"/>
      <c r="Z831"/>
      <c r="AA831"/>
    </row>
    <row r="832" spans="2:27" s="25" customFormat="1" ht="15.75" customHeight="1" x14ac:dyDescent="0.2">
      <c r="B832" s="89"/>
      <c r="C832"/>
      <c r="D832"/>
      <c r="E832" s="69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  <c r="V832"/>
      <c r="W832"/>
      <c r="X832"/>
      <c r="Y832"/>
      <c r="Z832"/>
      <c r="AA832"/>
    </row>
    <row r="833" spans="2:27" s="25" customFormat="1" ht="15.75" customHeight="1" x14ac:dyDescent="0.2">
      <c r="B833" s="89"/>
      <c r="C833"/>
      <c r="D833"/>
      <c r="E833" s="69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  <c r="V833"/>
      <c r="W833"/>
      <c r="X833"/>
      <c r="Y833"/>
      <c r="Z833"/>
      <c r="AA833"/>
    </row>
    <row r="834" spans="2:27" s="25" customFormat="1" ht="15.75" customHeight="1" x14ac:dyDescent="0.2">
      <c r="B834" s="89"/>
      <c r="C834"/>
      <c r="D834"/>
      <c r="E834" s="69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  <c r="V834"/>
      <c r="W834"/>
      <c r="X834"/>
      <c r="Y834"/>
      <c r="Z834"/>
      <c r="AA834"/>
    </row>
    <row r="835" spans="2:27" s="25" customFormat="1" ht="15.75" customHeight="1" x14ac:dyDescent="0.2">
      <c r="B835" s="89"/>
      <c r="C835"/>
      <c r="D835"/>
      <c r="E835" s="69"/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  <c r="U835"/>
      <c r="V835"/>
      <c r="W835"/>
      <c r="X835"/>
      <c r="Y835"/>
      <c r="Z835"/>
      <c r="AA835"/>
    </row>
    <row r="836" spans="2:27" s="25" customFormat="1" ht="15.75" customHeight="1" x14ac:dyDescent="0.2">
      <c r="B836" s="89"/>
      <c r="C836"/>
      <c r="D836"/>
      <c r="E836" s="69"/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  <c r="U836"/>
      <c r="V836"/>
      <c r="W836"/>
      <c r="X836"/>
      <c r="Y836"/>
      <c r="Z836"/>
      <c r="AA836"/>
    </row>
    <row r="837" spans="2:27" s="25" customFormat="1" ht="15.75" customHeight="1" x14ac:dyDescent="0.2">
      <c r="B837" s="89"/>
      <c r="C837"/>
      <c r="D837"/>
      <c r="E837" s="69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  <c r="U837"/>
      <c r="V837"/>
      <c r="W837"/>
      <c r="X837"/>
      <c r="Y837"/>
      <c r="Z837"/>
      <c r="AA837"/>
    </row>
    <row r="838" spans="2:27" s="25" customFormat="1" ht="15.75" customHeight="1" x14ac:dyDescent="0.2">
      <c r="B838" s="89"/>
      <c r="C838"/>
      <c r="D838"/>
      <c r="E838" s="69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  <c r="V838"/>
      <c r="W838"/>
      <c r="X838"/>
      <c r="Y838"/>
      <c r="Z838"/>
      <c r="AA838"/>
    </row>
    <row r="839" spans="2:27" s="25" customFormat="1" ht="15.75" customHeight="1" x14ac:dyDescent="0.2">
      <c r="B839" s="89"/>
      <c r="C839"/>
      <c r="D839"/>
      <c r="E839" s="6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  <c r="V839"/>
      <c r="W839"/>
      <c r="X839"/>
      <c r="Y839"/>
      <c r="Z839"/>
      <c r="AA839"/>
    </row>
    <row r="840" spans="2:27" s="25" customFormat="1" ht="15.75" customHeight="1" x14ac:dyDescent="0.2">
      <c r="B840" s="89"/>
      <c r="C840"/>
      <c r="D840"/>
      <c r="E840" s="69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  <c r="V840"/>
      <c r="W840"/>
      <c r="X840"/>
      <c r="Y840"/>
      <c r="Z840"/>
      <c r="AA840"/>
    </row>
    <row r="841" spans="2:27" s="25" customFormat="1" ht="15.75" customHeight="1" x14ac:dyDescent="0.2">
      <c r="B841" s="89"/>
      <c r="C841"/>
      <c r="D841"/>
      <c r="E841" s="69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  <c r="V841"/>
      <c r="W841"/>
      <c r="X841"/>
      <c r="Y841"/>
      <c r="Z841"/>
      <c r="AA841"/>
    </row>
    <row r="842" spans="2:27" s="25" customFormat="1" ht="15.75" customHeight="1" x14ac:dyDescent="0.2">
      <c r="B842" s="89"/>
      <c r="C842"/>
      <c r="D842"/>
      <c r="E842" s="69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  <c r="U842"/>
      <c r="V842"/>
      <c r="W842"/>
      <c r="X842"/>
      <c r="Y842"/>
      <c r="Z842"/>
      <c r="AA842"/>
    </row>
    <row r="843" spans="2:27" s="25" customFormat="1" ht="15.75" customHeight="1" x14ac:dyDescent="0.2">
      <c r="B843" s="89"/>
      <c r="C843"/>
      <c r="D843"/>
      <c r="E843" s="69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  <c r="V843"/>
      <c r="W843"/>
      <c r="X843"/>
      <c r="Y843"/>
      <c r="Z843"/>
      <c r="AA843"/>
    </row>
    <row r="844" spans="2:27" s="25" customFormat="1" ht="15.75" customHeight="1" x14ac:dyDescent="0.2">
      <c r="B844" s="89"/>
      <c r="C844"/>
      <c r="D844"/>
      <c r="E844" s="69"/>
      <c r="F844"/>
      <c r="G844"/>
      <c r="H844"/>
      <c r="I844"/>
      <c r="J844"/>
      <c r="K844"/>
      <c r="L844"/>
      <c r="M844"/>
      <c r="N844"/>
      <c r="O844"/>
      <c r="P844"/>
      <c r="Q844"/>
      <c r="R844"/>
      <c r="S844"/>
      <c r="T844"/>
      <c r="U844"/>
      <c r="V844"/>
      <c r="W844"/>
      <c r="X844"/>
      <c r="Y844"/>
      <c r="Z844"/>
      <c r="AA844"/>
    </row>
    <row r="845" spans="2:27" s="25" customFormat="1" ht="15.75" customHeight="1" x14ac:dyDescent="0.2">
      <c r="B845" s="89"/>
      <c r="C845"/>
      <c r="D845"/>
      <c r="E845" s="69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  <c r="U845"/>
      <c r="V845"/>
      <c r="W845"/>
      <c r="X845"/>
      <c r="Y845"/>
      <c r="Z845"/>
      <c r="AA845"/>
    </row>
    <row r="846" spans="2:27" s="25" customFormat="1" ht="15.75" customHeight="1" x14ac:dyDescent="0.2">
      <c r="B846" s="89"/>
      <c r="C846"/>
      <c r="D846"/>
      <c r="E846" s="69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  <c r="V846"/>
      <c r="W846"/>
      <c r="X846"/>
      <c r="Y846"/>
      <c r="Z846"/>
      <c r="AA846"/>
    </row>
    <row r="847" spans="2:27" s="25" customFormat="1" ht="15.75" customHeight="1" x14ac:dyDescent="0.2">
      <c r="B847" s="89"/>
      <c r="C847"/>
      <c r="D847"/>
      <c r="E847" s="69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  <c r="U847"/>
      <c r="V847"/>
      <c r="W847"/>
      <c r="X847"/>
      <c r="Y847"/>
      <c r="Z847"/>
      <c r="AA847"/>
    </row>
    <row r="848" spans="2:27" s="25" customFormat="1" ht="15.75" customHeight="1" x14ac:dyDescent="0.2">
      <c r="B848" s="89"/>
      <c r="C848"/>
      <c r="D848"/>
      <c r="E848" s="69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/>
      <c r="U848"/>
      <c r="V848"/>
      <c r="W848"/>
      <c r="X848"/>
      <c r="Y848"/>
      <c r="Z848"/>
      <c r="AA848"/>
    </row>
    <row r="849" spans="2:27" s="25" customFormat="1" ht="15.75" customHeight="1" x14ac:dyDescent="0.2">
      <c r="B849" s="89"/>
      <c r="C849"/>
      <c r="D849"/>
      <c r="E849" s="6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  <c r="V849"/>
      <c r="W849"/>
      <c r="X849"/>
      <c r="Y849"/>
      <c r="Z849"/>
      <c r="AA849"/>
    </row>
    <row r="850" spans="2:27" s="25" customFormat="1" ht="15.75" customHeight="1" x14ac:dyDescent="0.2">
      <c r="B850" s="89"/>
      <c r="C850"/>
      <c r="D850"/>
      <c r="E850" s="69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  <c r="V850"/>
      <c r="W850"/>
      <c r="X850"/>
      <c r="Y850"/>
      <c r="Z850"/>
      <c r="AA850"/>
    </row>
    <row r="851" spans="2:27" s="25" customFormat="1" ht="15.75" customHeight="1" x14ac:dyDescent="0.2">
      <c r="B851" s="89"/>
      <c r="C851"/>
      <c r="D851"/>
      <c r="E851" s="69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  <c r="U851"/>
      <c r="V851"/>
      <c r="W851"/>
      <c r="X851"/>
      <c r="Y851"/>
      <c r="Z851"/>
      <c r="AA851"/>
    </row>
    <row r="852" spans="2:27" s="25" customFormat="1" ht="15.75" customHeight="1" x14ac:dyDescent="0.2">
      <c r="B852" s="89"/>
      <c r="C852"/>
      <c r="D852"/>
      <c r="E852" s="69"/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  <c r="U852"/>
      <c r="V852"/>
      <c r="W852"/>
      <c r="X852"/>
      <c r="Y852"/>
      <c r="Z852"/>
      <c r="AA852"/>
    </row>
    <row r="853" spans="2:27" s="25" customFormat="1" ht="15.75" customHeight="1" x14ac:dyDescent="0.2">
      <c r="B853" s="89"/>
      <c r="C853"/>
      <c r="D853"/>
      <c r="E853" s="69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  <c r="V853"/>
      <c r="W853"/>
      <c r="X853"/>
      <c r="Y853"/>
      <c r="Z853"/>
      <c r="AA853"/>
    </row>
    <row r="854" spans="2:27" s="25" customFormat="1" ht="15.75" customHeight="1" x14ac:dyDescent="0.2">
      <c r="B854" s="89"/>
      <c r="C854"/>
      <c r="D854"/>
      <c r="E854" s="69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  <c r="V854"/>
      <c r="W854"/>
      <c r="X854"/>
      <c r="Y854"/>
      <c r="Z854"/>
      <c r="AA854"/>
    </row>
    <row r="855" spans="2:27" s="25" customFormat="1" ht="15.75" customHeight="1" x14ac:dyDescent="0.2">
      <c r="B855" s="89"/>
      <c r="C855"/>
      <c r="D855"/>
      <c r="E855" s="69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  <c r="U855"/>
      <c r="V855"/>
      <c r="W855"/>
      <c r="X855"/>
      <c r="Y855"/>
      <c r="Z855"/>
      <c r="AA855"/>
    </row>
    <row r="856" spans="2:27" s="25" customFormat="1" ht="15.75" customHeight="1" x14ac:dyDescent="0.2">
      <c r="B856" s="89"/>
      <c r="C856"/>
      <c r="D856"/>
      <c r="E856" s="69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  <c r="U856"/>
      <c r="V856"/>
      <c r="W856"/>
      <c r="X856"/>
      <c r="Y856"/>
      <c r="Z856"/>
      <c r="AA856"/>
    </row>
    <row r="857" spans="2:27" s="25" customFormat="1" ht="15.75" customHeight="1" x14ac:dyDescent="0.2">
      <c r="B857" s="89"/>
      <c r="C857"/>
      <c r="D857"/>
      <c r="E857" s="69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  <c r="U857"/>
      <c r="V857"/>
      <c r="W857"/>
      <c r="X857"/>
      <c r="Y857"/>
      <c r="Z857"/>
      <c r="AA857"/>
    </row>
    <row r="858" spans="2:27" s="25" customFormat="1" ht="15.75" customHeight="1" x14ac:dyDescent="0.2">
      <c r="B858" s="89"/>
      <c r="C858"/>
      <c r="D858"/>
      <c r="E858" s="69"/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  <c r="U858"/>
      <c r="V858"/>
      <c r="W858"/>
      <c r="X858"/>
      <c r="Y858"/>
      <c r="Z858"/>
      <c r="AA858"/>
    </row>
    <row r="859" spans="2:27" s="25" customFormat="1" ht="15.75" customHeight="1" x14ac:dyDescent="0.2">
      <c r="B859" s="89"/>
      <c r="C859"/>
      <c r="D859"/>
      <c r="E859" s="69"/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  <c r="U859"/>
      <c r="V859"/>
      <c r="W859"/>
      <c r="X859"/>
      <c r="Y859"/>
      <c r="Z859"/>
      <c r="AA859"/>
    </row>
    <row r="860" spans="2:27" s="25" customFormat="1" ht="15.75" customHeight="1" x14ac:dyDescent="0.2">
      <c r="B860" s="89"/>
      <c r="C860"/>
      <c r="D860"/>
      <c r="E860" s="69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  <c r="U860"/>
      <c r="V860"/>
      <c r="W860"/>
      <c r="X860"/>
      <c r="Y860"/>
      <c r="Z860"/>
      <c r="AA860"/>
    </row>
    <row r="861" spans="2:27" s="25" customFormat="1" ht="15.75" customHeight="1" x14ac:dyDescent="0.2">
      <c r="B861" s="89"/>
      <c r="C861"/>
      <c r="D861"/>
      <c r="E861" s="69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  <c r="V861"/>
      <c r="W861"/>
      <c r="X861"/>
      <c r="Y861"/>
      <c r="Z861"/>
      <c r="AA861"/>
    </row>
    <row r="862" spans="2:27" s="25" customFormat="1" ht="15.75" customHeight="1" x14ac:dyDescent="0.2">
      <c r="B862" s="89"/>
      <c r="C862"/>
      <c r="D862"/>
      <c r="E862" s="69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  <c r="V862"/>
      <c r="W862"/>
      <c r="X862"/>
      <c r="Y862"/>
      <c r="Z862"/>
      <c r="AA862"/>
    </row>
    <row r="863" spans="2:27" s="25" customFormat="1" ht="15.75" customHeight="1" x14ac:dyDescent="0.2">
      <c r="B863" s="89"/>
      <c r="C863"/>
      <c r="D863"/>
      <c r="E863" s="69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  <c r="V863"/>
      <c r="W863"/>
      <c r="X863"/>
      <c r="Y863"/>
      <c r="Z863"/>
      <c r="AA863"/>
    </row>
    <row r="864" spans="2:27" s="25" customFormat="1" ht="15.75" customHeight="1" x14ac:dyDescent="0.2">
      <c r="B864" s="89"/>
      <c r="C864"/>
      <c r="D864"/>
      <c r="E864" s="69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/>
      <c r="U864"/>
      <c r="V864"/>
      <c r="W864"/>
      <c r="X864"/>
      <c r="Y864"/>
      <c r="Z864"/>
      <c r="AA864"/>
    </row>
    <row r="865" spans="2:27" s="25" customFormat="1" ht="15.75" customHeight="1" x14ac:dyDescent="0.2">
      <c r="B865" s="89"/>
      <c r="C865"/>
      <c r="D865"/>
      <c r="E865" s="69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  <c r="V865"/>
      <c r="W865"/>
      <c r="X865"/>
      <c r="Y865"/>
      <c r="Z865"/>
      <c r="AA865"/>
    </row>
    <row r="866" spans="2:27" s="25" customFormat="1" ht="15.75" customHeight="1" x14ac:dyDescent="0.2">
      <c r="B866" s="89"/>
      <c r="C866"/>
      <c r="D866"/>
      <c r="E866" s="69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  <c r="U866"/>
      <c r="V866"/>
      <c r="W866"/>
      <c r="X866"/>
      <c r="Y866"/>
      <c r="Z866"/>
      <c r="AA866"/>
    </row>
    <row r="867" spans="2:27" s="25" customFormat="1" ht="15.75" customHeight="1" x14ac:dyDescent="0.2">
      <c r="B867" s="89"/>
      <c r="C867"/>
      <c r="D867"/>
      <c r="E867" s="69"/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  <c r="T867"/>
      <c r="U867"/>
      <c r="V867"/>
      <c r="W867"/>
      <c r="X867"/>
      <c r="Y867"/>
      <c r="Z867"/>
      <c r="AA867"/>
    </row>
    <row r="868" spans="2:27" s="25" customFormat="1" ht="15.75" customHeight="1" x14ac:dyDescent="0.2">
      <c r="B868" s="89"/>
      <c r="C868"/>
      <c r="D868"/>
      <c r="E868" s="69"/>
      <c r="F868"/>
      <c r="G868"/>
      <c r="H868"/>
      <c r="I868"/>
      <c r="J868"/>
      <c r="K868"/>
      <c r="L868"/>
      <c r="M868"/>
      <c r="N868"/>
      <c r="O868"/>
      <c r="P868"/>
      <c r="Q868"/>
      <c r="R868"/>
      <c r="S868"/>
      <c r="T868"/>
      <c r="U868"/>
      <c r="V868"/>
      <c r="W868"/>
      <c r="X868"/>
      <c r="Y868"/>
      <c r="Z868"/>
      <c r="AA868"/>
    </row>
    <row r="869" spans="2:27" s="25" customFormat="1" ht="15.75" customHeight="1" x14ac:dyDescent="0.2">
      <c r="B869" s="89"/>
      <c r="C869"/>
      <c r="D869"/>
      <c r="E869" s="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  <c r="V869"/>
      <c r="W869"/>
      <c r="X869"/>
      <c r="Y869"/>
      <c r="Z869"/>
      <c r="AA869"/>
    </row>
    <row r="870" spans="2:27" s="25" customFormat="1" ht="15.75" customHeight="1" x14ac:dyDescent="0.2">
      <c r="B870" s="89"/>
      <c r="C870"/>
      <c r="D870"/>
      <c r="E870" s="69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  <c r="V870"/>
      <c r="W870"/>
      <c r="X870"/>
      <c r="Y870"/>
      <c r="Z870"/>
      <c r="AA870"/>
    </row>
    <row r="871" spans="2:27" s="25" customFormat="1" ht="15.75" customHeight="1" x14ac:dyDescent="0.2">
      <c r="B871" s="89"/>
      <c r="C871"/>
      <c r="D871"/>
      <c r="E871" s="69"/>
      <c r="F871"/>
      <c r="G871"/>
      <c r="H871"/>
      <c r="I871"/>
      <c r="J871"/>
      <c r="K871"/>
      <c r="L871"/>
      <c r="M871"/>
      <c r="N871"/>
      <c r="O871"/>
      <c r="P871"/>
      <c r="Q871"/>
      <c r="R871"/>
      <c r="S871"/>
      <c r="T871"/>
      <c r="U871"/>
      <c r="V871"/>
      <c r="W871"/>
      <c r="X871"/>
      <c r="Y871"/>
      <c r="Z871"/>
      <c r="AA871"/>
    </row>
    <row r="872" spans="2:27" s="25" customFormat="1" ht="15.75" customHeight="1" x14ac:dyDescent="0.2">
      <c r="B872" s="89"/>
      <c r="C872"/>
      <c r="D872"/>
      <c r="E872" s="69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  <c r="U872"/>
      <c r="V872"/>
      <c r="W872"/>
      <c r="X872"/>
      <c r="Y872"/>
      <c r="Z872"/>
      <c r="AA872"/>
    </row>
    <row r="873" spans="2:27" s="25" customFormat="1" ht="15.75" customHeight="1" x14ac:dyDescent="0.2">
      <c r="B873" s="89"/>
      <c r="C873"/>
      <c r="D873"/>
      <c r="E873" s="69"/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  <c r="T873"/>
      <c r="U873"/>
      <c r="V873"/>
      <c r="W873"/>
      <c r="X873"/>
      <c r="Y873"/>
      <c r="Z873"/>
      <c r="AA873"/>
    </row>
    <row r="874" spans="2:27" s="25" customFormat="1" ht="15.75" customHeight="1" x14ac:dyDescent="0.2">
      <c r="B874" s="89"/>
      <c r="C874"/>
      <c r="D874"/>
      <c r="E874" s="69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  <c r="V874"/>
      <c r="W874"/>
      <c r="X874"/>
      <c r="Y874"/>
      <c r="Z874"/>
      <c r="AA874"/>
    </row>
    <row r="875" spans="2:27" s="25" customFormat="1" ht="15.75" customHeight="1" x14ac:dyDescent="0.2">
      <c r="B875" s="89"/>
      <c r="C875"/>
      <c r="D875"/>
      <c r="E875" s="69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  <c r="V875"/>
      <c r="W875"/>
      <c r="X875"/>
      <c r="Y875"/>
      <c r="Z875"/>
      <c r="AA875"/>
    </row>
    <row r="876" spans="2:27" s="25" customFormat="1" ht="15.75" customHeight="1" x14ac:dyDescent="0.2">
      <c r="B876" s="89"/>
      <c r="C876"/>
      <c r="D876"/>
      <c r="E876" s="69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  <c r="V876"/>
      <c r="W876"/>
      <c r="X876"/>
      <c r="Y876"/>
      <c r="Z876"/>
      <c r="AA876"/>
    </row>
    <row r="877" spans="2:27" s="25" customFormat="1" ht="15.75" customHeight="1" x14ac:dyDescent="0.2">
      <c r="B877" s="89"/>
      <c r="C877"/>
      <c r="D877"/>
      <c r="E877" s="69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  <c r="U877"/>
      <c r="V877"/>
      <c r="W877"/>
      <c r="X877"/>
      <c r="Y877"/>
      <c r="Z877"/>
      <c r="AA877"/>
    </row>
    <row r="878" spans="2:27" s="25" customFormat="1" ht="15.75" customHeight="1" x14ac:dyDescent="0.2">
      <c r="B878" s="89"/>
      <c r="C878"/>
      <c r="D878"/>
      <c r="E878" s="69"/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  <c r="T878"/>
      <c r="U878"/>
      <c r="V878"/>
      <c r="W878"/>
      <c r="X878"/>
      <c r="Y878"/>
      <c r="Z878"/>
      <c r="AA878"/>
    </row>
    <row r="879" spans="2:27" s="25" customFormat="1" ht="15.75" customHeight="1" x14ac:dyDescent="0.2">
      <c r="B879" s="89"/>
      <c r="C879"/>
      <c r="D879"/>
      <c r="E879" s="6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  <c r="U879"/>
      <c r="V879"/>
      <c r="W879"/>
      <c r="X879"/>
      <c r="Y879"/>
      <c r="Z879"/>
      <c r="AA879"/>
    </row>
    <row r="880" spans="2:27" s="25" customFormat="1" ht="15.75" customHeight="1" x14ac:dyDescent="0.2">
      <c r="B880" s="89"/>
      <c r="C880"/>
      <c r="D880"/>
      <c r="E880" s="69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  <c r="U880"/>
      <c r="V880"/>
      <c r="W880"/>
      <c r="X880"/>
      <c r="Y880"/>
      <c r="Z880"/>
      <c r="AA880"/>
    </row>
    <row r="881" spans="2:27" s="25" customFormat="1" ht="15.75" customHeight="1" x14ac:dyDescent="0.2">
      <c r="B881" s="89"/>
      <c r="C881"/>
      <c r="D881"/>
      <c r="E881" s="69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  <c r="U881"/>
      <c r="V881"/>
      <c r="W881"/>
      <c r="X881"/>
      <c r="Y881"/>
      <c r="Z881"/>
      <c r="AA881"/>
    </row>
    <row r="882" spans="2:27" s="25" customFormat="1" ht="15.75" customHeight="1" x14ac:dyDescent="0.2">
      <c r="B882" s="89"/>
      <c r="C882"/>
      <c r="D882"/>
      <c r="E882" s="69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  <c r="U882"/>
      <c r="V882"/>
      <c r="W882"/>
      <c r="X882"/>
      <c r="Y882"/>
      <c r="Z882"/>
      <c r="AA882"/>
    </row>
    <row r="883" spans="2:27" s="25" customFormat="1" ht="15.75" customHeight="1" x14ac:dyDescent="0.2">
      <c r="B883" s="89"/>
      <c r="C883"/>
      <c r="D883"/>
      <c r="E883" s="69"/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  <c r="T883"/>
      <c r="U883"/>
      <c r="V883"/>
      <c r="W883"/>
      <c r="X883"/>
      <c r="Y883"/>
      <c r="Z883"/>
      <c r="AA883"/>
    </row>
    <row r="884" spans="2:27" s="25" customFormat="1" ht="15.75" customHeight="1" x14ac:dyDescent="0.2">
      <c r="B884" s="89"/>
      <c r="C884"/>
      <c r="D884"/>
      <c r="E884" s="69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  <c r="V884"/>
      <c r="W884"/>
      <c r="X884"/>
      <c r="Y884"/>
      <c r="Z884"/>
      <c r="AA884"/>
    </row>
    <row r="885" spans="2:27" s="25" customFormat="1" ht="15.75" customHeight="1" x14ac:dyDescent="0.2">
      <c r="B885" s="89"/>
      <c r="C885"/>
      <c r="D885"/>
      <c r="E885" s="69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  <c r="V885"/>
      <c r="W885"/>
      <c r="X885"/>
      <c r="Y885"/>
      <c r="Z885"/>
      <c r="AA885"/>
    </row>
    <row r="886" spans="2:27" s="25" customFormat="1" ht="15.75" customHeight="1" x14ac:dyDescent="0.2">
      <c r="B886" s="89"/>
      <c r="C886"/>
      <c r="D886"/>
      <c r="E886" s="69"/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  <c r="T886"/>
      <c r="U886"/>
      <c r="V886"/>
      <c r="W886"/>
      <c r="X886"/>
      <c r="Y886"/>
      <c r="Z886"/>
      <c r="AA886"/>
    </row>
    <row r="887" spans="2:27" s="25" customFormat="1" ht="15.75" customHeight="1" x14ac:dyDescent="0.2">
      <c r="B887" s="89"/>
      <c r="C887"/>
      <c r="D887"/>
      <c r="E887" s="69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  <c r="V887"/>
      <c r="W887"/>
      <c r="X887"/>
      <c r="Y887"/>
      <c r="Z887"/>
      <c r="AA887"/>
    </row>
    <row r="888" spans="2:27" s="25" customFormat="1" ht="15.75" customHeight="1" x14ac:dyDescent="0.2">
      <c r="B888" s="89"/>
      <c r="C888"/>
      <c r="D888"/>
      <c r="E888" s="69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  <c r="U888"/>
      <c r="V888"/>
      <c r="W888"/>
      <c r="X888"/>
      <c r="Y888"/>
      <c r="Z888"/>
      <c r="AA888"/>
    </row>
    <row r="889" spans="2:27" s="25" customFormat="1" ht="15.75" customHeight="1" x14ac:dyDescent="0.2">
      <c r="B889" s="89"/>
      <c r="C889"/>
      <c r="D889"/>
      <c r="E889" s="6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  <c r="V889"/>
      <c r="W889"/>
      <c r="X889"/>
      <c r="Y889"/>
      <c r="Z889"/>
      <c r="AA889"/>
    </row>
    <row r="890" spans="2:27" s="25" customFormat="1" ht="15.75" customHeight="1" x14ac:dyDescent="0.2">
      <c r="B890" s="89"/>
      <c r="C890"/>
      <c r="D890"/>
      <c r="E890" s="69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  <c r="V890"/>
      <c r="W890"/>
      <c r="X890"/>
      <c r="Y890"/>
      <c r="Z890"/>
      <c r="AA890"/>
    </row>
    <row r="891" spans="2:27" s="25" customFormat="1" ht="15.75" customHeight="1" x14ac:dyDescent="0.2">
      <c r="B891" s="89"/>
      <c r="C891"/>
      <c r="D891"/>
      <c r="E891" s="69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  <c r="V891"/>
      <c r="W891"/>
      <c r="X891"/>
      <c r="Y891"/>
      <c r="Z891"/>
      <c r="AA891"/>
    </row>
    <row r="892" spans="2:27" s="25" customFormat="1" ht="15.75" customHeight="1" x14ac:dyDescent="0.2">
      <c r="B892" s="89"/>
      <c r="C892"/>
      <c r="D892"/>
      <c r="E892" s="69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  <c r="V892"/>
      <c r="W892"/>
      <c r="X892"/>
      <c r="Y892"/>
      <c r="Z892"/>
      <c r="AA892"/>
    </row>
    <row r="893" spans="2:27" s="25" customFormat="1" ht="15.75" customHeight="1" x14ac:dyDescent="0.2">
      <c r="B893" s="89"/>
      <c r="C893"/>
      <c r="D893"/>
      <c r="E893" s="69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  <c r="U893"/>
      <c r="V893"/>
      <c r="W893"/>
      <c r="X893"/>
      <c r="Y893"/>
      <c r="Z893"/>
      <c r="AA893"/>
    </row>
    <row r="894" spans="2:27" s="25" customFormat="1" ht="15.75" customHeight="1" x14ac:dyDescent="0.2">
      <c r="B894" s="89"/>
      <c r="C894"/>
      <c r="D894"/>
      <c r="E894" s="69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  <c r="V894"/>
      <c r="W894"/>
      <c r="X894"/>
      <c r="Y894"/>
      <c r="Z894"/>
      <c r="AA894"/>
    </row>
    <row r="895" spans="2:27" s="25" customFormat="1" ht="15.75" customHeight="1" x14ac:dyDescent="0.2">
      <c r="B895" s="89"/>
      <c r="C895"/>
      <c r="D895"/>
      <c r="E895" s="69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  <c r="V895"/>
      <c r="W895"/>
      <c r="X895"/>
      <c r="Y895"/>
      <c r="Z895"/>
      <c r="AA895"/>
    </row>
    <row r="896" spans="2:27" s="25" customFormat="1" ht="15.75" customHeight="1" x14ac:dyDescent="0.2">
      <c r="B896" s="89"/>
      <c r="C896"/>
      <c r="D896"/>
      <c r="E896" s="69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  <c r="V896"/>
      <c r="W896"/>
      <c r="X896"/>
      <c r="Y896"/>
      <c r="Z896"/>
      <c r="AA896"/>
    </row>
    <row r="897" spans="2:27" s="25" customFormat="1" ht="15.75" customHeight="1" x14ac:dyDescent="0.2">
      <c r="B897" s="89"/>
      <c r="C897"/>
      <c r="D897"/>
      <c r="E897" s="69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  <c r="V897"/>
      <c r="W897"/>
      <c r="X897"/>
      <c r="Y897"/>
      <c r="Z897"/>
      <c r="AA897"/>
    </row>
    <row r="898" spans="2:27" s="25" customFormat="1" ht="15.75" customHeight="1" x14ac:dyDescent="0.2">
      <c r="B898" s="89"/>
      <c r="C898"/>
      <c r="D898"/>
      <c r="E898" s="69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  <c r="V898"/>
      <c r="W898"/>
      <c r="X898"/>
      <c r="Y898"/>
      <c r="Z898"/>
      <c r="AA898"/>
    </row>
    <row r="899" spans="2:27" s="25" customFormat="1" ht="15.75" customHeight="1" x14ac:dyDescent="0.2">
      <c r="B899" s="89"/>
      <c r="C899"/>
      <c r="D899"/>
      <c r="E899" s="6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  <c r="V899"/>
      <c r="W899"/>
      <c r="X899"/>
      <c r="Y899"/>
      <c r="Z899"/>
      <c r="AA899"/>
    </row>
    <row r="900" spans="2:27" s="25" customFormat="1" ht="15.75" customHeight="1" x14ac:dyDescent="0.2">
      <c r="B900" s="89"/>
      <c r="C900"/>
      <c r="D900"/>
      <c r="E900" s="69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  <c r="V900"/>
      <c r="W900"/>
      <c r="X900"/>
      <c r="Y900"/>
      <c r="Z900"/>
      <c r="AA900"/>
    </row>
    <row r="901" spans="2:27" s="25" customFormat="1" ht="15.75" customHeight="1" x14ac:dyDescent="0.2">
      <c r="B901" s="89"/>
      <c r="C901"/>
      <c r="D901"/>
      <c r="E901" s="69"/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/>
      <c r="U901"/>
      <c r="V901"/>
      <c r="W901"/>
      <c r="X901"/>
      <c r="Y901"/>
      <c r="Z901"/>
      <c r="AA901"/>
    </row>
    <row r="902" spans="2:27" s="25" customFormat="1" ht="15.75" customHeight="1" x14ac:dyDescent="0.2">
      <c r="B902" s="89"/>
      <c r="C902"/>
      <c r="D902"/>
      <c r="E902" s="69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  <c r="V902"/>
      <c r="W902"/>
      <c r="X902"/>
      <c r="Y902"/>
      <c r="Z902"/>
      <c r="AA902"/>
    </row>
    <row r="903" spans="2:27" s="25" customFormat="1" ht="15.75" customHeight="1" x14ac:dyDescent="0.2">
      <c r="B903" s="89"/>
      <c r="C903"/>
      <c r="D903"/>
      <c r="E903" s="69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  <c r="V903"/>
      <c r="W903"/>
      <c r="X903"/>
      <c r="Y903"/>
      <c r="Z903"/>
      <c r="AA903"/>
    </row>
    <row r="904" spans="2:27" s="25" customFormat="1" ht="15.75" customHeight="1" x14ac:dyDescent="0.2">
      <c r="B904" s="89"/>
      <c r="C904"/>
      <c r="D904"/>
      <c r="E904" s="69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  <c r="V904"/>
      <c r="W904"/>
      <c r="X904"/>
      <c r="Y904"/>
      <c r="Z904"/>
      <c r="AA904"/>
    </row>
    <row r="905" spans="2:27" s="25" customFormat="1" ht="15.75" customHeight="1" x14ac:dyDescent="0.2">
      <c r="B905" s="89"/>
      <c r="C905"/>
      <c r="D905"/>
      <c r="E905" s="69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  <c r="V905"/>
      <c r="W905"/>
      <c r="X905"/>
      <c r="Y905"/>
      <c r="Z905"/>
      <c r="AA905"/>
    </row>
    <row r="906" spans="2:27" s="25" customFormat="1" ht="15.75" customHeight="1" x14ac:dyDescent="0.2">
      <c r="B906" s="89"/>
      <c r="C906"/>
      <c r="D906"/>
      <c r="E906" s="69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  <c r="V906"/>
      <c r="W906"/>
      <c r="X906"/>
      <c r="Y906"/>
      <c r="Z906"/>
      <c r="AA906"/>
    </row>
    <row r="907" spans="2:27" s="25" customFormat="1" ht="15.75" customHeight="1" x14ac:dyDescent="0.2">
      <c r="B907" s="89"/>
      <c r="C907"/>
      <c r="D907"/>
      <c r="E907" s="69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  <c r="V907"/>
      <c r="W907"/>
      <c r="X907"/>
      <c r="Y907"/>
      <c r="Z907"/>
      <c r="AA907"/>
    </row>
    <row r="908" spans="2:27" s="25" customFormat="1" ht="15.75" customHeight="1" x14ac:dyDescent="0.2">
      <c r="B908" s="89"/>
      <c r="C908"/>
      <c r="D908"/>
      <c r="E908" s="69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  <c r="V908"/>
      <c r="W908"/>
      <c r="X908"/>
      <c r="Y908"/>
      <c r="Z908"/>
      <c r="AA908"/>
    </row>
    <row r="909" spans="2:27" s="25" customFormat="1" ht="15.75" customHeight="1" x14ac:dyDescent="0.2">
      <c r="B909" s="89"/>
      <c r="C909"/>
      <c r="D909"/>
      <c r="E909" s="6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  <c r="V909"/>
      <c r="W909"/>
      <c r="X909"/>
      <c r="Y909"/>
      <c r="Z909"/>
      <c r="AA909"/>
    </row>
    <row r="910" spans="2:27" s="25" customFormat="1" ht="15.75" customHeight="1" x14ac:dyDescent="0.2">
      <c r="B910" s="89"/>
      <c r="C910"/>
      <c r="D910"/>
      <c r="E910" s="69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  <c r="V910"/>
      <c r="W910"/>
      <c r="X910"/>
      <c r="Y910"/>
      <c r="Z910"/>
      <c r="AA910"/>
    </row>
    <row r="911" spans="2:27" s="25" customFormat="1" ht="15.75" customHeight="1" x14ac:dyDescent="0.2">
      <c r="B911" s="89"/>
      <c r="C911"/>
      <c r="D911"/>
      <c r="E911" s="69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  <c r="V911"/>
      <c r="W911"/>
      <c r="X911"/>
      <c r="Y911"/>
      <c r="Z911"/>
      <c r="AA911"/>
    </row>
    <row r="912" spans="2:27" s="25" customFormat="1" ht="15.75" customHeight="1" x14ac:dyDescent="0.2">
      <c r="B912" s="89"/>
      <c r="C912"/>
      <c r="D912"/>
      <c r="E912" s="69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  <c r="V912"/>
      <c r="W912"/>
      <c r="X912"/>
      <c r="Y912"/>
      <c r="Z912"/>
      <c r="AA912"/>
    </row>
    <row r="913" spans="2:27" s="25" customFormat="1" ht="15.75" customHeight="1" x14ac:dyDescent="0.2">
      <c r="B913" s="89"/>
      <c r="C913"/>
      <c r="D913"/>
      <c r="E913" s="69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  <c r="V913"/>
      <c r="W913"/>
      <c r="X913"/>
      <c r="Y913"/>
      <c r="Z913"/>
      <c r="AA913"/>
    </row>
    <row r="914" spans="2:27" s="25" customFormat="1" ht="15.75" customHeight="1" x14ac:dyDescent="0.2">
      <c r="B914" s="89"/>
      <c r="C914"/>
      <c r="D914"/>
      <c r="E914" s="69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  <c r="V914"/>
      <c r="W914"/>
      <c r="X914"/>
      <c r="Y914"/>
      <c r="Z914"/>
      <c r="AA914"/>
    </row>
    <row r="915" spans="2:27" s="25" customFormat="1" ht="15.75" customHeight="1" x14ac:dyDescent="0.2">
      <c r="B915" s="89"/>
      <c r="C915"/>
      <c r="D915"/>
      <c r="E915" s="69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  <c r="V915"/>
      <c r="W915"/>
      <c r="X915"/>
      <c r="Y915"/>
      <c r="Z915"/>
      <c r="AA915"/>
    </row>
    <row r="916" spans="2:27" s="25" customFormat="1" ht="15.75" customHeight="1" x14ac:dyDescent="0.2">
      <c r="B916" s="89"/>
      <c r="C916"/>
      <c r="D916"/>
      <c r="E916" s="69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  <c r="V916"/>
      <c r="W916"/>
      <c r="X916"/>
      <c r="Y916"/>
      <c r="Z916"/>
      <c r="AA916"/>
    </row>
    <row r="917" spans="2:27" s="25" customFormat="1" ht="15.75" customHeight="1" x14ac:dyDescent="0.2">
      <c r="B917" s="89"/>
      <c r="C917"/>
      <c r="D917"/>
      <c r="E917" s="69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  <c r="V917"/>
      <c r="W917"/>
      <c r="X917"/>
      <c r="Y917"/>
      <c r="Z917"/>
      <c r="AA917"/>
    </row>
    <row r="918" spans="2:27" s="25" customFormat="1" ht="15.75" customHeight="1" x14ac:dyDescent="0.2">
      <c r="B918" s="89"/>
      <c r="C918"/>
      <c r="D918"/>
      <c r="E918" s="69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  <c r="V918"/>
      <c r="W918"/>
      <c r="X918"/>
      <c r="Y918"/>
      <c r="Z918"/>
      <c r="AA918"/>
    </row>
    <row r="919" spans="2:27" s="25" customFormat="1" ht="15.75" customHeight="1" x14ac:dyDescent="0.2">
      <c r="B919" s="89"/>
      <c r="C919"/>
      <c r="D919"/>
      <c r="E919" s="6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  <c r="V919"/>
      <c r="W919"/>
      <c r="X919"/>
      <c r="Y919"/>
      <c r="Z919"/>
      <c r="AA919"/>
    </row>
    <row r="920" spans="2:27" s="25" customFormat="1" ht="15.75" customHeight="1" x14ac:dyDescent="0.2">
      <c r="B920" s="89"/>
      <c r="C920"/>
      <c r="D920"/>
      <c r="E920" s="69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  <c r="V920"/>
      <c r="W920"/>
      <c r="X920"/>
      <c r="Y920"/>
      <c r="Z920"/>
      <c r="AA920"/>
    </row>
    <row r="921" spans="2:27" s="25" customFormat="1" ht="15.75" customHeight="1" x14ac:dyDescent="0.2">
      <c r="B921" s="89"/>
      <c r="C921"/>
      <c r="D921"/>
      <c r="E921" s="69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  <c r="V921"/>
      <c r="W921"/>
      <c r="X921"/>
      <c r="Y921"/>
      <c r="Z921"/>
      <c r="AA921"/>
    </row>
    <row r="922" spans="2:27" s="25" customFormat="1" ht="15.75" customHeight="1" x14ac:dyDescent="0.2">
      <c r="B922" s="89"/>
      <c r="C922"/>
      <c r="D922"/>
      <c r="E922" s="69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  <c r="V922"/>
      <c r="W922"/>
      <c r="X922"/>
      <c r="Y922"/>
      <c r="Z922"/>
      <c r="AA922"/>
    </row>
    <row r="923" spans="2:27" s="25" customFormat="1" ht="15.75" customHeight="1" x14ac:dyDescent="0.2">
      <c r="B923" s="89"/>
      <c r="C923"/>
      <c r="D923"/>
      <c r="E923" s="69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  <c r="V923"/>
      <c r="W923"/>
      <c r="X923"/>
      <c r="Y923"/>
      <c r="Z923"/>
      <c r="AA923"/>
    </row>
    <row r="924" spans="2:27" s="25" customFormat="1" ht="15.75" customHeight="1" x14ac:dyDescent="0.2">
      <c r="B924" s="89"/>
      <c r="C924"/>
      <c r="D924"/>
      <c r="E924" s="69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  <c r="V924"/>
      <c r="W924"/>
      <c r="X924"/>
      <c r="Y924"/>
      <c r="Z924"/>
      <c r="AA924"/>
    </row>
    <row r="925" spans="2:27" s="25" customFormat="1" ht="15.75" customHeight="1" x14ac:dyDescent="0.2">
      <c r="B925" s="89"/>
      <c r="C925"/>
      <c r="D925"/>
      <c r="E925" s="69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  <c r="V925"/>
      <c r="W925"/>
      <c r="X925"/>
      <c r="Y925"/>
      <c r="Z925"/>
      <c r="AA925"/>
    </row>
    <row r="926" spans="2:27" s="25" customFormat="1" ht="15.75" customHeight="1" x14ac:dyDescent="0.2">
      <c r="B926" s="89"/>
      <c r="C926"/>
      <c r="D926"/>
      <c r="E926" s="69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  <c r="V926"/>
      <c r="W926"/>
      <c r="X926"/>
      <c r="Y926"/>
      <c r="Z926"/>
      <c r="AA926"/>
    </row>
    <row r="927" spans="2:27" s="25" customFormat="1" ht="15.75" customHeight="1" x14ac:dyDescent="0.2">
      <c r="B927" s="89"/>
      <c r="C927"/>
      <c r="D927"/>
      <c r="E927" s="69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  <c r="V927"/>
      <c r="W927"/>
      <c r="X927"/>
      <c r="Y927"/>
      <c r="Z927"/>
      <c r="AA927"/>
    </row>
    <row r="928" spans="2:27" s="25" customFormat="1" ht="15.75" customHeight="1" x14ac:dyDescent="0.2">
      <c r="B928" s="89"/>
      <c r="C928"/>
      <c r="D928"/>
      <c r="E928" s="69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  <c r="V928"/>
      <c r="W928"/>
      <c r="X928"/>
      <c r="Y928"/>
      <c r="Z928"/>
      <c r="AA928"/>
    </row>
    <row r="929" spans="2:27" s="25" customFormat="1" ht="15.75" customHeight="1" x14ac:dyDescent="0.2">
      <c r="B929" s="89"/>
      <c r="C929"/>
      <c r="D929"/>
      <c r="E929" s="6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  <c r="V929"/>
      <c r="W929"/>
      <c r="X929"/>
      <c r="Y929"/>
      <c r="Z929"/>
      <c r="AA929"/>
    </row>
    <row r="930" spans="2:27" s="25" customFormat="1" ht="15.75" customHeight="1" x14ac:dyDescent="0.2">
      <c r="B930" s="89"/>
      <c r="C930"/>
      <c r="D930"/>
      <c r="E930" s="69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  <c r="V930"/>
      <c r="W930"/>
      <c r="X930"/>
      <c r="Y930"/>
      <c r="Z930"/>
      <c r="AA930"/>
    </row>
    <row r="931" spans="2:27" s="25" customFormat="1" ht="15.75" customHeight="1" x14ac:dyDescent="0.2">
      <c r="B931" s="89"/>
      <c r="C931"/>
      <c r="D931"/>
      <c r="E931" s="69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  <c r="V931"/>
      <c r="W931"/>
      <c r="X931"/>
      <c r="Y931"/>
      <c r="Z931"/>
      <c r="AA931"/>
    </row>
    <row r="932" spans="2:27" s="25" customFormat="1" ht="15.75" customHeight="1" x14ac:dyDescent="0.2">
      <c r="B932" s="89"/>
      <c r="C932"/>
      <c r="D932"/>
      <c r="E932" s="69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  <c r="V932"/>
      <c r="W932"/>
      <c r="X932"/>
      <c r="Y932"/>
      <c r="Z932"/>
      <c r="AA932"/>
    </row>
    <row r="933" spans="2:27" s="25" customFormat="1" ht="15.75" customHeight="1" x14ac:dyDescent="0.2">
      <c r="B933" s="89"/>
      <c r="C933"/>
      <c r="D933"/>
      <c r="E933" s="69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  <c r="V933"/>
      <c r="W933"/>
      <c r="X933"/>
      <c r="Y933"/>
      <c r="Z933"/>
      <c r="AA933"/>
    </row>
    <row r="934" spans="2:27" s="25" customFormat="1" ht="15.75" customHeight="1" x14ac:dyDescent="0.2">
      <c r="B934" s="89"/>
      <c r="C934"/>
      <c r="D934"/>
      <c r="E934" s="69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  <c r="V934"/>
      <c r="W934"/>
      <c r="X934"/>
      <c r="Y934"/>
      <c r="Z934"/>
      <c r="AA934"/>
    </row>
    <row r="935" spans="2:27" s="25" customFormat="1" ht="15.75" customHeight="1" x14ac:dyDescent="0.2">
      <c r="B935" s="89"/>
      <c r="C935"/>
      <c r="D935"/>
      <c r="E935" s="69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  <c r="V935"/>
      <c r="W935"/>
      <c r="X935"/>
      <c r="Y935"/>
      <c r="Z935"/>
      <c r="AA935"/>
    </row>
    <row r="936" spans="2:27" s="25" customFormat="1" ht="15.75" customHeight="1" x14ac:dyDescent="0.2">
      <c r="B936" s="89"/>
      <c r="C936"/>
      <c r="D936"/>
      <c r="E936" s="69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  <c r="V936"/>
      <c r="W936"/>
      <c r="X936"/>
      <c r="Y936"/>
      <c r="Z936"/>
      <c r="AA936"/>
    </row>
    <row r="937" spans="2:27" s="25" customFormat="1" ht="15.75" customHeight="1" x14ac:dyDescent="0.2">
      <c r="B937" s="89"/>
      <c r="C937"/>
      <c r="D937"/>
      <c r="E937" s="69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  <c r="V937"/>
      <c r="W937"/>
      <c r="X937"/>
      <c r="Y937"/>
      <c r="Z937"/>
      <c r="AA937"/>
    </row>
    <row r="938" spans="2:27" s="25" customFormat="1" ht="15.75" customHeight="1" x14ac:dyDescent="0.2">
      <c r="B938" s="89"/>
      <c r="C938"/>
      <c r="D938"/>
      <c r="E938" s="69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  <c r="V938"/>
      <c r="W938"/>
      <c r="X938"/>
      <c r="Y938"/>
      <c r="Z938"/>
      <c r="AA938"/>
    </row>
    <row r="939" spans="2:27" s="25" customFormat="1" ht="15.75" customHeight="1" x14ac:dyDescent="0.2">
      <c r="B939" s="89"/>
      <c r="C939"/>
      <c r="D939"/>
      <c r="E939" s="6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  <c r="V939"/>
      <c r="W939"/>
      <c r="X939"/>
      <c r="Y939"/>
      <c r="Z939"/>
      <c r="AA939"/>
    </row>
    <row r="940" spans="2:27" s="25" customFormat="1" ht="15.75" customHeight="1" x14ac:dyDescent="0.2">
      <c r="B940" s="89"/>
      <c r="C940"/>
      <c r="D940"/>
      <c r="E940" s="69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  <c r="V940"/>
      <c r="W940"/>
      <c r="X940"/>
      <c r="Y940"/>
      <c r="Z940"/>
      <c r="AA940"/>
    </row>
    <row r="941" spans="2:27" s="25" customFormat="1" ht="15.75" customHeight="1" x14ac:dyDescent="0.2">
      <c r="B941" s="89"/>
      <c r="C941"/>
      <c r="D941"/>
      <c r="E941" s="69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  <c r="V941"/>
      <c r="W941"/>
      <c r="X941"/>
      <c r="Y941"/>
      <c r="Z941"/>
      <c r="AA941"/>
    </row>
    <row r="942" spans="2:27" s="25" customFormat="1" ht="15.75" customHeight="1" x14ac:dyDescent="0.2">
      <c r="B942" s="89"/>
      <c r="C942"/>
      <c r="D942"/>
      <c r="E942" s="69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  <c r="V942"/>
      <c r="W942"/>
      <c r="X942"/>
      <c r="Y942"/>
      <c r="Z942"/>
      <c r="AA942"/>
    </row>
    <row r="943" spans="2:27" s="25" customFormat="1" ht="15.75" customHeight="1" x14ac:dyDescent="0.2">
      <c r="B943" s="89"/>
      <c r="C943"/>
      <c r="D943"/>
      <c r="E943" s="69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  <c r="V943"/>
      <c r="W943"/>
      <c r="X943"/>
      <c r="Y943"/>
      <c r="Z943"/>
      <c r="AA943"/>
    </row>
    <row r="944" spans="2:27" s="25" customFormat="1" ht="15.75" customHeight="1" x14ac:dyDescent="0.2">
      <c r="B944" s="89"/>
      <c r="C944"/>
      <c r="D944"/>
      <c r="E944" s="69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  <c r="V944"/>
      <c r="W944"/>
      <c r="X944"/>
      <c r="Y944"/>
      <c r="Z944"/>
      <c r="AA944"/>
    </row>
    <row r="945" spans="2:27" s="25" customFormat="1" ht="15.75" customHeight="1" x14ac:dyDescent="0.2">
      <c r="B945" s="89"/>
      <c r="C945"/>
      <c r="D945"/>
      <c r="E945" s="69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  <c r="U945"/>
      <c r="V945"/>
      <c r="W945"/>
      <c r="X945"/>
      <c r="Y945"/>
      <c r="Z945"/>
      <c r="AA945"/>
    </row>
    <row r="946" spans="2:27" s="25" customFormat="1" ht="15.75" customHeight="1" x14ac:dyDescent="0.2">
      <c r="B946" s="89"/>
      <c r="C946"/>
      <c r="D946"/>
      <c r="E946" s="69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  <c r="V946"/>
      <c r="W946"/>
      <c r="X946"/>
      <c r="Y946"/>
      <c r="Z946"/>
      <c r="AA946"/>
    </row>
    <row r="947" spans="2:27" s="25" customFormat="1" ht="15.75" customHeight="1" x14ac:dyDescent="0.2">
      <c r="B947" s="89"/>
      <c r="C947"/>
      <c r="D947"/>
      <c r="E947" s="69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  <c r="U947"/>
      <c r="V947"/>
      <c r="W947"/>
      <c r="X947"/>
      <c r="Y947"/>
      <c r="Z947"/>
      <c r="AA947"/>
    </row>
    <row r="948" spans="2:27" s="25" customFormat="1" ht="15.75" customHeight="1" x14ac:dyDescent="0.2">
      <c r="B948" s="89"/>
      <c r="C948"/>
      <c r="D948"/>
      <c r="E948" s="69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  <c r="U948"/>
      <c r="V948"/>
      <c r="W948"/>
      <c r="X948"/>
      <c r="Y948"/>
      <c r="Z948"/>
      <c r="AA948"/>
    </row>
    <row r="949" spans="2:27" s="25" customFormat="1" ht="15.75" customHeight="1" x14ac:dyDescent="0.2">
      <c r="B949" s="89"/>
      <c r="C949"/>
      <c r="D949"/>
      <c r="E949" s="6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  <c r="V949"/>
      <c r="W949"/>
      <c r="X949"/>
      <c r="Y949"/>
      <c r="Z949"/>
      <c r="AA949"/>
    </row>
    <row r="950" spans="2:27" s="25" customFormat="1" ht="15.75" customHeight="1" x14ac:dyDescent="0.2">
      <c r="B950" s="89"/>
      <c r="C950"/>
      <c r="D950"/>
      <c r="E950" s="69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  <c r="U950"/>
      <c r="V950"/>
      <c r="W950"/>
      <c r="X950"/>
      <c r="Y950"/>
      <c r="Z950"/>
      <c r="AA950"/>
    </row>
    <row r="951" spans="2:27" s="25" customFormat="1" ht="15.75" customHeight="1" x14ac:dyDescent="0.2">
      <c r="B951" s="89"/>
      <c r="C951"/>
      <c r="D951"/>
      <c r="E951" s="69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  <c r="V951"/>
      <c r="W951"/>
      <c r="X951"/>
      <c r="Y951"/>
      <c r="Z951"/>
      <c r="AA951"/>
    </row>
    <row r="952" spans="2:27" s="25" customFormat="1" ht="15.75" customHeight="1" x14ac:dyDescent="0.2">
      <c r="B952" s="89"/>
      <c r="C952"/>
      <c r="D952"/>
      <c r="E952" s="69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  <c r="U952"/>
      <c r="V952"/>
      <c r="W952"/>
      <c r="X952"/>
      <c r="Y952"/>
      <c r="Z952"/>
      <c r="AA952"/>
    </row>
    <row r="953" spans="2:27" s="25" customFormat="1" ht="15.75" customHeight="1" x14ac:dyDescent="0.2">
      <c r="B953" s="89"/>
      <c r="C953"/>
      <c r="D953"/>
      <c r="E953" s="69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  <c r="U953"/>
      <c r="V953"/>
      <c r="W953"/>
      <c r="X953"/>
      <c r="Y953"/>
      <c r="Z953"/>
      <c r="AA953"/>
    </row>
    <row r="954" spans="2:27" s="25" customFormat="1" ht="15.75" customHeight="1" x14ac:dyDescent="0.2">
      <c r="B954" s="89"/>
      <c r="C954"/>
      <c r="D954"/>
      <c r="E954" s="69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  <c r="V954"/>
      <c r="W954"/>
      <c r="X954"/>
      <c r="Y954"/>
      <c r="Z954"/>
      <c r="AA954"/>
    </row>
    <row r="955" spans="2:27" s="25" customFormat="1" ht="15.75" customHeight="1" x14ac:dyDescent="0.2">
      <c r="B955" s="89"/>
      <c r="C955"/>
      <c r="D955"/>
      <c r="E955" s="69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  <c r="V955"/>
      <c r="W955"/>
      <c r="X955"/>
      <c r="Y955"/>
      <c r="Z955"/>
      <c r="AA955"/>
    </row>
    <row r="956" spans="2:27" s="25" customFormat="1" ht="15.75" customHeight="1" x14ac:dyDescent="0.2">
      <c r="B956" s="89"/>
      <c r="C956"/>
      <c r="D956"/>
      <c r="E956" s="69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  <c r="U956"/>
      <c r="V956"/>
      <c r="W956"/>
      <c r="X956"/>
      <c r="Y956"/>
      <c r="Z956"/>
      <c r="AA956"/>
    </row>
    <row r="957" spans="2:27" s="25" customFormat="1" ht="15.75" customHeight="1" x14ac:dyDescent="0.2">
      <c r="B957" s="89"/>
      <c r="C957"/>
      <c r="D957"/>
      <c r="E957" s="69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  <c r="V957"/>
      <c r="W957"/>
      <c r="X957"/>
      <c r="Y957"/>
      <c r="Z957"/>
      <c r="AA957"/>
    </row>
    <row r="958" spans="2:27" s="25" customFormat="1" ht="15.75" customHeight="1" x14ac:dyDescent="0.2">
      <c r="B958" s="89"/>
      <c r="C958"/>
      <c r="D958"/>
      <c r="E958" s="69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  <c r="V958"/>
      <c r="W958"/>
      <c r="X958"/>
      <c r="Y958"/>
      <c r="Z958"/>
      <c r="AA958"/>
    </row>
    <row r="959" spans="2:27" s="25" customFormat="1" ht="15.75" customHeight="1" x14ac:dyDescent="0.2">
      <c r="B959" s="89"/>
      <c r="C959"/>
      <c r="D959"/>
      <c r="E959" s="6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  <c r="V959"/>
      <c r="W959"/>
      <c r="X959"/>
      <c r="Y959"/>
      <c r="Z959"/>
      <c r="AA959"/>
    </row>
    <row r="960" spans="2:27" s="25" customFormat="1" ht="15.75" customHeight="1" x14ac:dyDescent="0.2">
      <c r="B960" s="89"/>
      <c r="C960"/>
      <c r="D960"/>
      <c r="E960" s="69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  <c r="U960"/>
      <c r="V960"/>
      <c r="W960"/>
      <c r="X960"/>
      <c r="Y960"/>
      <c r="Z960"/>
      <c r="AA960"/>
    </row>
    <row r="961" spans="2:27" s="25" customFormat="1" ht="15.75" customHeight="1" x14ac:dyDescent="0.2">
      <c r="B961" s="89"/>
      <c r="C961"/>
      <c r="D961"/>
      <c r="E961" s="69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  <c r="V961"/>
      <c r="W961"/>
      <c r="X961"/>
      <c r="Y961"/>
      <c r="Z961"/>
      <c r="AA961"/>
    </row>
    <row r="962" spans="2:27" s="25" customFormat="1" ht="15.75" customHeight="1" x14ac:dyDescent="0.2">
      <c r="B962" s="89"/>
      <c r="C962"/>
      <c r="D962"/>
      <c r="E962" s="69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  <c r="V962"/>
      <c r="W962"/>
      <c r="X962"/>
      <c r="Y962"/>
      <c r="Z962"/>
      <c r="AA962"/>
    </row>
    <row r="963" spans="2:27" s="25" customFormat="1" ht="15.75" customHeight="1" x14ac:dyDescent="0.2">
      <c r="B963" s="89"/>
      <c r="C963"/>
      <c r="D963"/>
      <c r="E963" s="69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  <c r="V963"/>
      <c r="W963"/>
      <c r="X963"/>
      <c r="Y963"/>
      <c r="Z963"/>
      <c r="AA963"/>
    </row>
    <row r="964" spans="2:27" s="25" customFormat="1" ht="15.75" customHeight="1" x14ac:dyDescent="0.2">
      <c r="B964" s="89"/>
      <c r="C964"/>
      <c r="D964"/>
      <c r="E964" s="69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  <c r="V964"/>
      <c r="W964"/>
      <c r="X964"/>
      <c r="Y964"/>
      <c r="Z964"/>
      <c r="AA964"/>
    </row>
    <row r="965" spans="2:27" s="25" customFormat="1" ht="15.75" customHeight="1" x14ac:dyDescent="0.2">
      <c r="B965" s="89"/>
      <c r="C965"/>
      <c r="D965"/>
      <c r="E965" s="69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  <c r="T965"/>
      <c r="U965"/>
      <c r="V965"/>
      <c r="W965"/>
      <c r="X965"/>
      <c r="Y965"/>
      <c r="Z965"/>
      <c r="AA965"/>
    </row>
    <row r="966" spans="2:27" s="25" customFormat="1" ht="15.75" customHeight="1" x14ac:dyDescent="0.2">
      <c r="B966" s="89"/>
      <c r="C966"/>
      <c r="D966"/>
      <c r="E966" s="69"/>
      <c r="F966"/>
      <c r="G966"/>
      <c r="H966"/>
      <c r="I966"/>
      <c r="J966"/>
      <c r="K966"/>
      <c r="L966"/>
      <c r="M966"/>
      <c r="N966"/>
      <c r="O966"/>
      <c r="P966"/>
      <c r="Q966"/>
      <c r="R966"/>
      <c r="S966"/>
      <c r="T966"/>
      <c r="U966"/>
      <c r="V966"/>
      <c r="W966"/>
      <c r="X966"/>
      <c r="Y966"/>
      <c r="Z966"/>
      <c r="AA966"/>
    </row>
    <row r="967" spans="2:27" s="25" customFormat="1" ht="15.75" customHeight="1" x14ac:dyDescent="0.2">
      <c r="B967" s="89"/>
      <c r="C967"/>
      <c r="D967"/>
      <c r="E967" s="69"/>
      <c r="F967"/>
      <c r="G967"/>
      <c r="H967"/>
      <c r="I967"/>
      <c r="J967"/>
      <c r="K967"/>
      <c r="L967"/>
      <c r="M967"/>
      <c r="N967"/>
      <c r="O967"/>
      <c r="P967"/>
      <c r="Q967"/>
      <c r="R967"/>
      <c r="S967"/>
      <c r="T967"/>
      <c r="U967"/>
      <c r="V967"/>
      <c r="W967"/>
      <c r="X967"/>
      <c r="Y967"/>
      <c r="Z967"/>
      <c r="AA967"/>
    </row>
    <row r="968" spans="2:27" s="25" customFormat="1" ht="15.75" customHeight="1" x14ac:dyDescent="0.2">
      <c r="B968" s="89"/>
      <c r="C968"/>
      <c r="D968"/>
      <c r="E968" s="69"/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  <c r="U968"/>
      <c r="V968"/>
      <c r="W968"/>
      <c r="X968"/>
      <c r="Y968"/>
      <c r="Z968"/>
      <c r="AA968"/>
    </row>
    <row r="969" spans="2:27" s="25" customFormat="1" ht="15.75" customHeight="1" x14ac:dyDescent="0.2">
      <c r="B969" s="89"/>
      <c r="C969"/>
      <c r="D969"/>
      <c r="E969" s="69"/>
      <c r="F969"/>
      <c r="G969"/>
      <c r="H969"/>
      <c r="I969"/>
      <c r="J969"/>
      <c r="K969"/>
      <c r="L969"/>
      <c r="M969"/>
      <c r="N969"/>
      <c r="O969"/>
      <c r="P969"/>
      <c r="Q969"/>
      <c r="R969"/>
      <c r="S969"/>
      <c r="T969"/>
      <c r="U969"/>
      <c r="V969"/>
      <c r="W969"/>
      <c r="X969"/>
      <c r="Y969"/>
      <c r="Z969"/>
      <c r="AA969"/>
    </row>
    <row r="970" spans="2:27" s="25" customFormat="1" ht="15.75" customHeight="1" x14ac:dyDescent="0.2">
      <c r="B970" s="89"/>
      <c r="C970"/>
      <c r="D970"/>
      <c r="E970" s="69"/>
      <c r="F970"/>
      <c r="G970"/>
      <c r="H970"/>
      <c r="I970"/>
      <c r="J970"/>
      <c r="K970"/>
      <c r="L970"/>
      <c r="M970"/>
      <c r="N970"/>
      <c r="O970"/>
      <c r="P970"/>
      <c r="Q970"/>
      <c r="R970"/>
      <c r="S970"/>
      <c r="T970"/>
      <c r="U970"/>
      <c r="V970"/>
      <c r="W970"/>
      <c r="X970"/>
      <c r="Y970"/>
      <c r="Z970"/>
      <c r="AA970"/>
    </row>
    <row r="971" spans="2:27" s="25" customFormat="1" ht="15.75" customHeight="1" x14ac:dyDescent="0.2">
      <c r="B971" s="89"/>
      <c r="C971"/>
      <c r="D971"/>
      <c r="E971" s="69"/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  <c r="T971"/>
      <c r="U971"/>
      <c r="V971"/>
      <c r="W971"/>
      <c r="X971"/>
      <c r="Y971"/>
      <c r="Z971"/>
      <c r="AA971"/>
    </row>
    <row r="972" spans="2:27" s="25" customFormat="1" ht="15.75" customHeight="1" x14ac:dyDescent="0.2">
      <c r="B972" s="89"/>
      <c r="C972"/>
      <c r="D972"/>
      <c r="E972" s="69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  <c r="U972"/>
      <c r="V972"/>
      <c r="W972"/>
      <c r="X972"/>
      <c r="Y972"/>
      <c r="Z972"/>
      <c r="AA972"/>
    </row>
    <row r="973" spans="2:27" s="25" customFormat="1" ht="15.75" customHeight="1" x14ac:dyDescent="0.2">
      <c r="B973" s="89"/>
      <c r="C973"/>
      <c r="D973"/>
      <c r="E973" s="69"/>
      <c r="F973"/>
      <c r="G973"/>
      <c r="H973"/>
      <c r="I973"/>
      <c r="J973"/>
      <c r="K973"/>
      <c r="L973"/>
      <c r="M973"/>
      <c r="N973"/>
      <c r="O973"/>
      <c r="P973"/>
      <c r="Q973"/>
      <c r="R973"/>
      <c r="S973"/>
      <c r="T973"/>
      <c r="U973"/>
      <c r="V973"/>
      <c r="W973"/>
      <c r="X973"/>
      <c r="Y973"/>
      <c r="Z973"/>
      <c r="AA973"/>
    </row>
    <row r="974" spans="2:27" s="25" customFormat="1" ht="15.75" customHeight="1" x14ac:dyDescent="0.2">
      <c r="B974" s="89"/>
      <c r="C974"/>
      <c r="D974"/>
      <c r="E974" s="69"/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  <c r="T974"/>
      <c r="U974"/>
      <c r="V974"/>
      <c r="W974"/>
      <c r="X974"/>
      <c r="Y974"/>
      <c r="Z974"/>
      <c r="AA974"/>
    </row>
    <row r="975" spans="2:27" s="25" customFormat="1" ht="15.75" customHeight="1" x14ac:dyDescent="0.2">
      <c r="B975" s="89"/>
      <c r="C975"/>
      <c r="D975"/>
      <c r="E975" s="69"/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  <c r="U975"/>
      <c r="V975"/>
      <c r="W975"/>
      <c r="X975"/>
      <c r="Y975"/>
      <c r="Z975"/>
      <c r="AA975"/>
    </row>
    <row r="976" spans="2:27" s="25" customFormat="1" ht="15.75" customHeight="1" x14ac:dyDescent="0.2">
      <c r="B976" s="89"/>
      <c r="C976"/>
      <c r="D976"/>
      <c r="E976" s="69"/>
      <c r="F976"/>
      <c r="G976"/>
      <c r="H976"/>
      <c r="I976"/>
      <c r="J976"/>
      <c r="K976"/>
      <c r="L976"/>
      <c r="M976"/>
      <c r="N976"/>
      <c r="O976"/>
      <c r="P976"/>
      <c r="Q976"/>
      <c r="R976"/>
      <c r="S976"/>
      <c r="T976"/>
      <c r="U976"/>
      <c r="V976"/>
      <c r="W976"/>
      <c r="X976"/>
      <c r="Y976"/>
      <c r="Z976"/>
      <c r="AA976"/>
    </row>
    <row r="977" spans="2:27" s="25" customFormat="1" ht="15.75" customHeight="1" x14ac:dyDescent="0.2">
      <c r="B977" s="89"/>
      <c r="C977"/>
      <c r="D977"/>
      <c r="E977" s="69"/>
      <c r="F977"/>
      <c r="G977"/>
      <c r="H977"/>
      <c r="I977"/>
      <c r="J977"/>
      <c r="K977"/>
      <c r="L977"/>
      <c r="M977"/>
      <c r="N977"/>
      <c r="O977"/>
      <c r="P977"/>
      <c r="Q977"/>
      <c r="R977"/>
      <c r="S977"/>
      <c r="T977"/>
      <c r="U977"/>
      <c r="V977"/>
      <c r="W977"/>
      <c r="X977"/>
      <c r="Y977"/>
      <c r="Z977"/>
      <c r="AA977"/>
    </row>
    <row r="978" spans="2:27" s="25" customFormat="1" ht="15.75" customHeight="1" x14ac:dyDescent="0.2">
      <c r="B978" s="89"/>
      <c r="C978"/>
      <c r="D978"/>
      <c r="E978" s="69"/>
      <c r="F978"/>
      <c r="G978"/>
      <c r="H978"/>
      <c r="I978"/>
      <c r="J978"/>
      <c r="K978"/>
      <c r="L978"/>
      <c r="M978"/>
      <c r="N978"/>
      <c r="O978"/>
      <c r="P978"/>
      <c r="Q978"/>
      <c r="R978"/>
      <c r="S978"/>
      <c r="T978"/>
      <c r="U978"/>
      <c r="V978"/>
      <c r="W978"/>
      <c r="X978"/>
      <c r="Y978"/>
      <c r="Z978"/>
      <c r="AA978"/>
    </row>
    <row r="979" spans="2:27" s="25" customFormat="1" ht="15.75" customHeight="1" x14ac:dyDescent="0.2">
      <c r="B979" s="89"/>
      <c r="C979"/>
      <c r="D979"/>
      <c r="E979" s="69"/>
      <c r="F979"/>
      <c r="G979"/>
      <c r="H979"/>
      <c r="I979"/>
      <c r="J979"/>
      <c r="K979"/>
      <c r="L979"/>
      <c r="M979"/>
      <c r="N979"/>
      <c r="O979"/>
      <c r="P979"/>
      <c r="Q979"/>
      <c r="R979"/>
      <c r="S979"/>
      <c r="T979"/>
      <c r="U979"/>
      <c r="V979"/>
      <c r="W979"/>
      <c r="X979"/>
      <c r="Y979"/>
      <c r="Z979"/>
      <c r="AA979"/>
    </row>
    <row r="980" spans="2:27" s="25" customFormat="1" ht="15.75" customHeight="1" x14ac:dyDescent="0.2">
      <c r="B980" s="89"/>
      <c r="C980"/>
      <c r="D980"/>
      <c r="E980" s="69"/>
      <c r="F980"/>
      <c r="G980"/>
      <c r="H980"/>
      <c r="I980"/>
      <c r="J980"/>
      <c r="K980"/>
      <c r="L980"/>
      <c r="M980"/>
      <c r="N980"/>
      <c r="O980"/>
      <c r="P980"/>
      <c r="Q980"/>
      <c r="R980"/>
      <c r="S980"/>
      <c r="T980"/>
      <c r="U980"/>
      <c r="V980"/>
      <c r="W980"/>
      <c r="X980"/>
      <c r="Y980"/>
      <c r="Z980"/>
      <c r="AA980"/>
    </row>
    <row r="981" spans="2:27" s="25" customFormat="1" ht="15.75" customHeight="1" x14ac:dyDescent="0.2">
      <c r="B981" s="89"/>
      <c r="C981"/>
      <c r="D981"/>
      <c r="E981" s="69"/>
      <c r="F981"/>
      <c r="G981"/>
      <c r="H981"/>
      <c r="I981"/>
      <c r="J981"/>
      <c r="K981"/>
      <c r="L981"/>
      <c r="M981"/>
      <c r="N981"/>
      <c r="O981"/>
      <c r="P981"/>
      <c r="Q981"/>
      <c r="R981"/>
      <c r="S981"/>
      <c r="T981"/>
      <c r="U981"/>
      <c r="V981"/>
      <c r="W981"/>
      <c r="X981"/>
      <c r="Y981"/>
      <c r="Z981"/>
      <c r="AA981"/>
    </row>
    <row r="982" spans="2:27" s="25" customFormat="1" ht="15.75" customHeight="1" x14ac:dyDescent="0.2">
      <c r="B982" s="89"/>
      <c r="C982"/>
      <c r="D982"/>
      <c r="E982" s="69"/>
      <c r="F982"/>
      <c r="G982"/>
      <c r="H982"/>
      <c r="I982"/>
      <c r="J982"/>
      <c r="K982"/>
      <c r="L982"/>
      <c r="M982"/>
      <c r="N982"/>
      <c r="O982"/>
      <c r="P982"/>
      <c r="Q982"/>
      <c r="R982"/>
      <c r="S982"/>
      <c r="T982"/>
      <c r="U982"/>
      <c r="V982"/>
      <c r="W982"/>
      <c r="X982"/>
      <c r="Y982"/>
      <c r="Z982"/>
      <c r="AA982"/>
    </row>
    <row r="983" spans="2:27" s="25" customFormat="1" ht="15.75" customHeight="1" x14ac:dyDescent="0.2">
      <c r="B983" s="89"/>
      <c r="C983"/>
      <c r="D983"/>
      <c r="E983" s="69"/>
      <c r="F983"/>
      <c r="G983"/>
      <c r="H983"/>
      <c r="I983"/>
      <c r="J983"/>
      <c r="K983"/>
      <c r="L983"/>
      <c r="M983"/>
      <c r="N983"/>
      <c r="O983"/>
      <c r="P983"/>
      <c r="Q983"/>
      <c r="R983"/>
      <c r="S983"/>
      <c r="T983"/>
      <c r="U983"/>
      <c r="V983"/>
      <c r="W983"/>
      <c r="X983"/>
      <c r="Y983"/>
      <c r="Z983"/>
      <c r="AA983"/>
    </row>
    <row r="984" spans="2:27" s="25" customFormat="1" ht="15.75" customHeight="1" x14ac:dyDescent="0.2">
      <c r="B984" s="89"/>
      <c r="C984"/>
      <c r="D984"/>
      <c r="E984" s="69"/>
      <c r="F984"/>
      <c r="G984"/>
      <c r="H984"/>
      <c r="I984"/>
      <c r="J984"/>
      <c r="K984"/>
      <c r="L984"/>
      <c r="M984"/>
      <c r="N984"/>
      <c r="O984"/>
      <c r="P984"/>
      <c r="Q984"/>
      <c r="R984"/>
      <c r="S984"/>
      <c r="T984"/>
      <c r="U984"/>
      <c r="V984"/>
      <c r="W984"/>
      <c r="X984"/>
      <c r="Y984"/>
      <c r="Z984"/>
      <c r="AA984"/>
    </row>
    <row r="985" spans="2:27" s="25" customFormat="1" ht="15.75" customHeight="1" x14ac:dyDescent="0.2">
      <c r="B985" s="89"/>
      <c r="C985"/>
      <c r="D985"/>
      <c r="E985" s="69"/>
      <c r="F985"/>
      <c r="G985"/>
      <c r="H985"/>
      <c r="I985"/>
      <c r="J985"/>
      <c r="K985"/>
      <c r="L985"/>
      <c r="M985"/>
      <c r="N985"/>
      <c r="O985"/>
      <c r="P985"/>
      <c r="Q985"/>
      <c r="R985"/>
      <c r="S985"/>
      <c r="T985"/>
      <c r="U985"/>
      <c r="V985"/>
      <c r="W985"/>
      <c r="X985"/>
      <c r="Y985"/>
      <c r="Z985"/>
      <c r="AA985"/>
    </row>
    <row r="986" spans="2:27" s="25" customFormat="1" ht="15.75" customHeight="1" x14ac:dyDescent="0.2">
      <c r="B986" s="89"/>
      <c r="C986"/>
      <c r="D986"/>
      <c r="E986" s="69"/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  <c r="U986"/>
      <c r="V986"/>
      <c r="W986"/>
      <c r="X986"/>
      <c r="Y986"/>
      <c r="Z986"/>
      <c r="AA986"/>
    </row>
    <row r="987" spans="2:27" s="25" customFormat="1" ht="15.75" customHeight="1" x14ac:dyDescent="0.2">
      <c r="B987" s="89"/>
      <c r="C987"/>
      <c r="D987"/>
      <c r="E987" s="69"/>
      <c r="F987"/>
      <c r="G987"/>
      <c r="H987"/>
      <c r="I987"/>
      <c r="J987"/>
      <c r="K987"/>
      <c r="L987"/>
      <c r="M987"/>
      <c r="N987"/>
      <c r="O987"/>
      <c r="P987"/>
      <c r="Q987"/>
      <c r="R987"/>
      <c r="S987"/>
      <c r="T987"/>
      <c r="U987"/>
      <c r="V987"/>
      <c r="W987"/>
      <c r="X987"/>
      <c r="Y987"/>
      <c r="Z987"/>
      <c r="AA987"/>
    </row>
    <row r="988" spans="2:27" s="25" customFormat="1" ht="15.75" customHeight="1" x14ac:dyDescent="0.2">
      <c r="B988" s="89"/>
      <c r="C988"/>
      <c r="D988"/>
      <c r="E988" s="69"/>
      <c r="F988"/>
      <c r="G988"/>
      <c r="H988"/>
      <c r="I988"/>
      <c r="J988"/>
      <c r="K988"/>
      <c r="L988"/>
      <c r="M988"/>
      <c r="N988"/>
      <c r="O988"/>
      <c r="P988"/>
      <c r="Q988"/>
      <c r="R988"/>
      <c r="S988"/>
      <c r="T988"/>
      <c r="U988"/>
      <c r="V988"/>
      <c r="W988"/>
      <c r="X988"/>
      <c r="Y988"/>
      <c r="Z988"/>
      <c r="AA988"/>
    </row>
    <row r="989" spans="2:27" s="25" customFormat="1" ht="15.75" customHeight="1" x14ac:dyDescent="0.2">
      <c r="B989" s="89"/>
      <c r="C989"/>
      <c r="D989"/>
      <c r="E989" s="69"/>
      <c r="F989"/>
      <c r="G989"/>
      <c r="H989"/>
      <c r="I989"/>
      <c r="J989"/>
      <c r="K989"/>
      <c r="L989"/>
      <c r="M989"/>
      <c r="N989"/>
      <c r="O989"/>
      <c r="P989"/>
      <c r="Q989"/>
      <c r="R989"/>
      <c r="S989"/>
      <c r="T989"/>
      <c r="U989"/>
      <c r="V989"/>
      <c r="W989"/>
      <c r="X989"/>
      <c r="Y989"/>
      <c r="Z989"/>
      <c r="AA989"/>
    </row>
    <row r="990" spans="2:27" s="25" customFormat="1" ht="15.75" customHeight="1" x14ac:dyDescent="0.2">
      <c r="B990" s="89"/>
      <c r="C990"/>
      <c r="D990"/>
      <c r="E990" s="69"/>
      <c r="F990"/>
      <c r="G990"/>
      <c r="H990"/>
      <c r="I990"/>
      <c r="J990"/>
      <c r="K990"/>
      <c r="L990"/>
      <c r="M990"/>
      <c r="N990"/>
      <c r="O990"/>
      <c r="P990"/>
      <c r="Q990"/>
      <c r="R990"/>
      <c r="S990"/>
      <c r="T990"/>
      <c r="U990"/>
      <c r="V990"/>
      <c r="W990"/>
      <c r="X990"/>
      <c r="Y990"/>
      <c r="Z990"/>
      <c r="AA990"/>
    </row>
    <row r="991" spans="2:27" s="25" customFormat="1" ht="15.75" customHeight="1" x14ac:dyDescent="0.2">
      <c r="B991" s="89"/>
      <c r="C991"/>
      <c r="D991"/>
      <c r="E991" s="69"/>
      <c r="F991"/>
      <c r="G991"/>
      <c r="H991"/>
      <c r="I991"/>
      <c r="J991"/>
      <c r="K991"/>
      <c r="L991"/>
      <c r="M991"/>
      <c r="N991"/>
      <c r="O991"/>
      <c r="P991"/>
      <c r="Q991"/>
      <c r="R991"/>
      <c r="S991"/>
      <c r="T991"/>
      <c r="U991"/>
      <c r="V991"/>
      <c r="W991"/>
      <c r="X991"/>
      <c r="Y991"/>
      <c r="Z991"/>
      <c r="AA991"/>
    </row>
    <row r="992" spans="2:27" s="25" customFormat="1" ht="15.75" customHeight="1" x14ac:dyDescent="0.2">
      <c r="B992" s="89"/>
      <c r="C992"/>
      <c r="D992"/>
      <c r="E992" s="69"/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  <c r="T992"/>
      <c r="U992"/>
      <c r="V992"/>
      <c r="W992"/>
      <c r="X992"/>
      <c r="Y992"/>
      <c r="Z992"/>
      <c r="AA992"/>
    </row>
    <row r="993" spans="2:27" s="25" customFormat="1" ht="15.75" customHeight="1" x14ac:dyDescent="0.2">
      <c r="B993" s="89"/>
      <c r="C993"/>
      <c r="D993"/>
      <c r="E993" s="69"/>
      <c r="F993"/>
      <c r="G993"/>
      <c r="H993"/>
      <c r="I993"/>
      <c r="J993"/>
      <c r="K993"/>
      <c r="L993"/>
      <c r="M993"/>
      <c r="N993"/>
      <c r="O993"/>
      <c r="P993"/>
      <c r="Q993"/>
      <c r="R993"/>
      <c r="S993"/>
      <c r="T993"/>
      <c r="U993"/>
      <c r="V993"/>
      <c r="W993"/>
      <c r="X993"/>
      <c r="Y993"/>
      <c r="Z993"/>
      <c r="AA993"/>
    </row>
    <row r="994" spans="2:27" s="25" customFormat="1" ht="15.75" customHeight="1" x14ac:dyDescent="0.2">
      <c r="B994" s="89"/>
      <c r="C994"/>
      <c r="D994"/>
      <c r="E994" s="69"/>
      <c r="F994"/>
      <c r="G994"/>
      <c r="H994"/>
      <c r="I994"/>
      <c r="J994"/>
      <c r="K994"/>
      <c r="L994"/>
      <c r="M994"/>
      <c r="N994"/>
      <c r="O994"/>
      <c r="P994"/>
      <c r="Q994"/>
      <c r="R994"/>
      <c r="S994"/>
      <c r="T994"/>
      <c r="U994"/>
      <c r="V994"/>
      <c r="W994"/>
      <c r="X994"/>
      <c r="Y994"/>
      <c r="Z994"/>
      <c r="AA994"/>
    </row>
    <row r="995" spans="2:27" s="25" customFormat="1" ht="15.75" customHeight="1" x14ac:dyDescent="0.2">
      <c r="B995" s="89"/>
      <c r="C995"/>
      <c r="D995"/>
      <c r="E995" s="69"/>
      <c r="F995"/>
      <c r="G995"/>
      <c r="H995"/>
      <c r="I995"/>
      <c r="J995"/>
      <c r="K995"/>
      <c r="L995"/>
      <c r="M995"/>
      <c r="N995"/>
      <c r="O995"/>
      <c r="P995"/>
      <c r="Q995"/>
      <c r="R995"/>
      <c r="S995"/>
      <c r="T995"/>
      <c r="U995"/>
      <c r="V995"/>
      <c r="W995"/>
      <c r="X995"/>
      <c r="Y995"/>
      <c r="Z995"/>
      <c r="AA995"/>
    </row>
  </sheetData>
  <mergeCells count="11">
    <mergeCell ref="B7:E7"/>
    <mergeCell ref="F7:G7"/>
    <mergeCell ref="B8:E8"/>
    <mergeCell ref="F8:G8"/>
    <mergeCell ref="E1:E3"/>
    <mergeCell ref="B4:E4"/>
    <mergeCell ref="F4:G4"/>
    <mergeCell ref="B5:E5"/>
    <mergeCell ref="F5:G5"/>
    <mergeCell ref="B6:E6"/>
    <mergeCell ref="F6:G6"/>
  </mergeCells>
  <conditionalFormatting sqref="A4:B8 A9:H1048576">
    <cfRule type="expression" dxfId="41" priority="1">
      <formula>ISNUMBER(SEARCH("Holiday", $E4))</formula>
    </cfRule>
    <cfRule type="expression" dxfId="40" priority="2">
      <formula>AND(WEEKDAY($A4,2)&lt;6, $A4&lt;&gt;"")</formula>
    </cfRule>
  </conditionalFormatting>
  <conditionalFormatting sqref="A1:H3">
    <cfRule type="expression" dxfId="39" priority="9">
      <formula>ISNUMBER(SEARCH("Holiday", $E1))</formula>
    </cfRule>
    <cfRule type="expression" dxfId="38" priority="10">
      <formula>AND(WEEKDAY($A1,2)&lt;6, $A1&lt;&gt;"")</formula>
    </cfRule>
  </conditionalFormatting>
  <conditionalFormatting sqref="F4:H8">
    <cfRule type="expression" dxfId="37" priority="3">
      <formula>ISNUMBER(SEARCH("Holiday", $E4))</formula>
    </cfRule>
    <cfRule type="expression" dxfId="36" priority="4">
      <formula>AND(WEEKDAY($A4,2)&lt;6, $A4&lt;&gt;"")</formula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8BBDA-AB46-4F8E-B996-34120556C6FF}">
  <dimension ref="A1:AA996"/>
  <sheetViews>
    <sheetView workbookViewId="0">
      <selection activeCell="A48" sqref="A48:XFD48"/>
    </sheetView>
  </sheetViews>
  <sheetFormatPr defaultColWidth="12.5" defaultRowHeight="14.25" x14ac:dyDescent="0.2"/>
  <cols>
    <col min="1" max="1" width="20.25" style="25" bestFit="1" customWidth="1"/>
    <col min="2" max="2" width="7.375" style="89" bestFit="1" customWidth="1"/>
    <col min="3" max="3" width="11" customWidth="1"/>
    <col min="4" max="4" width="11.25" customWidth="1"/>
    <col min="5" max="5" width="28" style="69" customWidth="1"/>
    <col min="7" max="7" width="12" customWidth="1"/>
    <col min="8" max="8" width="19" customWidth="1"/>
    <col min="9" max="9" width="7.75" customWidth="1"/>
    <col min="10" max="10" width="94.25" bestFit="1" customWidth="1"/>
    <col min="11" max="13" width="7.75" customWidth="1"/>
    <col min="14" max="14" width="9" customWidth="1"/>
    <col min="15" max="27" width="7.75" customWidth="1"/>
  </cols>
  <sheetData>
    <row r="1" spans="1:27" ht="17.25" customHeight="1" x14ac:dyDescent="0.25">
      <c r="A1" s="48"/>
      <c r="B1" s="81"/>
      <c r="C1" s="49"/>
      <c r="D1" s="49"/>
      <c r="E1" s="97" t="s">
        <v>0</v>
      </c>
      <c r="F1" s="50"/>
      <c r="G1" s="51"/>
      <c r="H1" s="52"/>
      <c r="K1" s="28"/>
      <c r="L1" s="28"/>
      <c r="M1" s="28"/>
      <c r="N1" s="28"/>
      <c r="O1" s="28"/>
      <c r="P1" s="28"/>
    </row>
    <row r="2" spans="1:27" ht="17.25" customHeight="1" x14ac:dyDescent="0.25">
      <c r="A2" s="53"/>
      <c r="B2" s="82"/>
      <c r="C2" s="54"/>
      <c r="D2" s="54"/>
      <c r="E2" s="98"/>
      <c r="F2" s="55"/>
      <c r="G2" s="56"/>
      <c r="H2" s="57"/>
      <c r="J2" s="26" t="s">
        <v>17</v>
      </c>
      <c r="K2" s="29"/>
      <c r="L2" s="29"/>
      <c r="M2" s="30"/>
      <c r="N2" s="31"/>
      <c r="O2" s="28"/>
      <c r="P2" s="28"/>
    </row>
    <row r="3" spans="1:27" ht="15.75" x14ac:dyDescent="0.25">
      <c r="A3" s="58"/>
      <c r="B3" s="83"/>
      <c r="C3" s="59"/>
      <c r="D3" s="59"/>
      <c r="E3" s="99"/>
      <c r="F3" s="60"/>
      <c r="G3" s="61"/>
      <c r="H3" s="62"/>
      <c r="J3" s="27" t="s">
        <v>18</v>
      </c>
      <c r="K3" s="29"/>
      <c r="L3" s="29"/>
      <c r="M3" s="32"/>
      <c r="N3" s="33"/>
      <c r="O3" s="34"/>
      <c r="P3" s="35"/>
    </row>
    <row r="4" spans="1:27" ht="15" x14ac:dyDescent="0.25">
      <c r="A4" s="21" t="s">
        <v>1</v>
      </c>
      <c r="B4" s="94"/>
      <c r="C4" s="95"/>
      <c r="D4" s="95"/>
      <c r="E4" s="96"/>
      <c r="F4" s="91" t="s">
        <v>2</v>
      </c>
      <c r="G4" s="92"/>
      <c r="H4" s="1"/>
      <c r="J4" s="25"/>
      <c r="K4" s="20"/>
      <c r="L4" s="20"/>
      <c r="M4" s="14"/>
      <c r="N4" s="15"/>
    </row>
    <row r="5" spans="1:27" ht="15" x14ac:dyDescent="0.25">
      <c r="A5" s="21" t="s">
        <v>43</v>
      </c>
      <c r="B5" s="94"/>
      <c r="C5" s="95"/>
      <c r="D5" s="95"/>
      <c r="E5" s="96"/>
      <c r="F5" s="91" t="s">
        <v>3</v>
      </c>
      <c r="G5" s="92"/>
      <c r="H5" s="1"/>
      <c r="J5" s="26" t="s">
        <v>19</v>
      </c>
      <c r="K5" s="19"/>
      <c r="L5" s="19"/>
      <c r="M5" s="14"/>
      <c r="N5" s="15"/>
    </row>
    <row r="6" spans="1:27" ht="15" x14ac:dyDescent="0.25">
      <c r="A6" s="21" t="s">
        <v>4</v>
      </c>
      <c r="B6" s="94"/>
      <c r="C6" s="95"/>
      <c r="D6" s="95"/>
      <c r="E6" s="96"/>
      <c r="F6" s="91" t="s">
        <v>6</v>
      </c>
      <c r="G6" s="92"/>
      <c r="H6" s="1"/>
      <c r="J6" s="26" t="s">
        <v>30</v>
      </c>
      <c r="K6" s="19"/>
      <c r="L6" s="19"/>
      <c r="M6" s="14"/>
      <c r="N6" s="15"/>
    </row>
    <row r="7" spans="1:27" ht="15" x14ac:dyDescent="0.25">
      <c r="A7" s="21" t="s">
        <v>5</v>
      </c>
      <c r="B7" s="94"/>
      <c r="C7" s="95"/>
      <c r="D7" s="95"/>
      <c r="E7" s="96"/>
      <c r="F7" s="91" t="s">
        <v>8</v>
      </c>
      <c r="G7" s="92"/>
      <c r="H7" s="1"/>
    </row>
    <row r="8" spans="1:27" ht="15" x14ac:dyDescent="0.25">
      <c r="A8" s="21" t="s">
        <v>7</v>
      </c>
      <c r="B8" s="94"/>
      <c r="C8" s="95"/>
      <c r="D8" s="95"/>
      <c r="E8" s="96"/>
      <c r="F8" s="93"/>
      <c r="G8" s="92"/>
      <c r="H8" s="2"/>
    </row>
    <row r="9" spans="1:27" ht="15" x14ac:dyDescent="0.25">
      <c r="A9" s="78"/>
      <c r="B9" s="84"/>
      <c r="C9" s="77"/>
      <c r="D9" s="77"/>
      <c r="E9" s="77"/>
      <c r="F9" s="77"/>
      <c r="G9" s="77"/>
      <c r="H9" s="77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ht="15" x14ac:dyDescent="0.25">
      <c r="A10" s="40" t="s">
        <v>9</v>
      </c>
      <c r="B10" s="85" t="s">
        <v>31</v>
      </c>
      <c r="C10" s="41" t="s">
        <v>10</v>
      </c>
      <c r="D10" s="41" t="s">
        <v>11</v>
      </c>
      <c r="E10" s="42" t="s">
        <v>12</v>
      </c>
      <c r="F10" s="43" t="s">
        <v>13</v>
      </c>
      <c r="G10" s="42" t="s">
        <v>14</v>
      </c>
      <c r="H10" s="42" t="s">
        <v>15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1:27" s="37" customFormat="1" ht="15" x14ac:dyDescent="0.25">
      <c r="A11" s="75">
        <f>'June 2026'!A52+1</f>
        <v>46204</v>
      </c>
      <c r="B11" s="79">
        <f>WEEKNUM(A11, 2)</f>
        <v>27</v>
      </c>
      <c r="C11" s="71"/>
      <c r="D11" s="71"/>
      <c r="E11" s="76" t="s">
        <v>23</v>
      </c>
      <c r="F11" s="73"/>
      <c r="G11" s="73"/>
      <c r="H11" s="73">
        <f t="shared" ref="H11" si="0">SUM(F11:G11)</f>
        <v>0</v>
      </c>
    </row>
    <row r="12" spans="1:27" s="37" customFormat="1" ht="15" x14ac:dyDescent="0.25">
      <c r="A12" s="70">
        <f>A11+1</f>
        <v>46205</v>
      </c>
      <c r="B12" s="79">
        <f t="shared" ref="B12:B15" si="1">WEEKNUM(A12, 2)</f>
        <v>27</v>
      </c>
      <c r="C12" s="71"/>
      <c r="D12" s="71"/>
      <c r="E12" s="72"/>
      <c r="F12" s="73"/>
      <c r="G12" s="73"/>
      <c r="H12" s="73">
        <f>SUM(F12:G12)</f>
        <v>0</v>
      </c>
    </row>
    <row r="13" spans="1:27" s="37" customFormat="1" ht="15" x14ac:dyDescent="0.25">
      <c r="A13" s="70">
        <f>A12+1</f>
        <v>46206</v>
      </c>
      <c r="B13" s="79">
        <f t="shared" si="1"/>
        <v>27</v>
      </c>
      <c r="C13" s="71"/>
      <c r="D13" s="71"/>
      <c r="E13" s="72"/>
      <c r="F13" s="73"/>
      <c r="G13" s="73"/>
      <c r="H13" s="73">
        <f t="shared" ref="H13:H15" si="2">SUM(F13:G13)</f>
        <v>0</v>
      </c>
    </row>
    <row r="14" spans="1:27" s="37" customFormat="1" ht="15" x14ac:dyDescent="0.25">
      <c r="A14" s="70">
        <f t="shared" ref="A14" si="3">A13+1</f>
        <v>46207</v>
      </c>
      <c r="B14" s="79">
        <f t="shared" si="1"/>
        <v>27</v>
      </c>
      <c r="C14" s="71"/>
      <c r="D14" s="71"/>
      <c r="E14" s="72"/>
      <c r="F14" s="73"/>
      <c r="G14" s="73"/>
      <c r="H14" s="73">
        <f t="shared" si="2"/>
        <v>0</v>
      </c>
    </row>
    <row r="15" spans="1:27" ht="15.75" customHeight="1" x14ac:dyDescent="0.25">
      <c r="A15" s="70">
        <f>A14+1</f>
        <v>46208</v>
      </c>
      <c r="B15" s="79">
        <f t="shared" si="1"/>
        <v>27</v>
      </c>
      <c r="C15" s="71"/>
      <c r="D15" s="71"/>
      <c r="E15" s="72"/>
      <c r="F15" s="73"/>
      <c r="G15" s="73"/>
      <c r="H15" s="73">
        <f t="shared" si="2"/>
        <v>0</v>
      </c>
    </row>
    <row r="16" spans="1:27" s="28" customFormat="1" ht="15.75" customHeight="1" x14ac:dyDescent="0.2">
      <c r="A16" s="44" t="s">
        <v>37</v>
      </c>
      <c r="B16" s="80"/>
      <c r="C16" s="45"/>
      <c r="D16" s="45"/>
      <c r="E16" s="63"/>
      <c r="F16" s="46">
        <f ca="1">SUMIF($B:$E,RIGHT($A16,2),F:F)</f>
        <v>0</v>
      </c>
      <c r="G16" s="46">
        <f ca="1">SUMIF($B:$E,RIGHT($A16,2),G:G)</f>
        <v>0</v>
      </c>
      <c r="H16" s="47">
        <f ca="1">SUMIF($B:$E,RIGHT($A16,2),H:H)</f>
        <v>0</v>
      </c>
    </row>
    <row r="17" spans="1:27" s="28" customFormat="1" ht="15.75" customHeight="1" x14ac:dyDescent="0.2">
      <c r="A17" s="36"/>
      <c r="B17" s="86"/>
      <c r="C17" s="34"/>
      <c r="D17" s="34"/>
      <c r="E17" s="64"/>
      <c r="F17" s="38"/>
      <c r="G17" s="38"/>
      <c r="H17" s="39"/>
    </row>
    <row r="18" spans="1:27" ht="15" x14ac:dyDescent="0.25">
      <c r="A18" s="40" t="s">
        <v>9</v>
      </c>
      <c r="B18" s="85" t="s">
        <v>31</v>
      </c>
      <c r="C18" s="41" t="s">
        <v>10</v>
      </c>
      <c r="D18" s="41" t="s">
        <v>11</v>
      </c>
      <c r="E18" s="42" t="s">
        <v>12</v>
      </c>
      <c r="F18" s="43" t="s">
        <v>13</v>
      </c>
      <c r="G18" s="42" t="s">
        <v>14</v>
      </c>
      <c r="H18" s="42" t="s">
        <v>15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spans="1:27" ht="15.75" customHeight="1" x14ac:dyDescent="0.25">
      <c r="A19" s="70">
        <f>A15+1</f>
        <v>46209</v>
      </c>
      <c r="B19" s="79">
        <f>WEEKNUM(A19, 2)</f>
        <v>28</v>
      </c>
      <c r="C19" s="71"/>
      <c r="D19" s="71"/>
      <c r="E19" s="74"/>
      <c r="F19" s="73"/>
      <c r="G19" s="73"/>
      <c r="H19" s="73">
        <f>SUM(F19:G19)</f>
        <v>0</v>
      </c>
    </row>
    <row r="20" spans="1:27" ht="15.75" customHeight="1" x14ac:dyDescent="0.25">
      <c r="A20" s="70">
        <f>A19+1</f>
        <v>46210</v>
      </c>
      <c r="B20" s="79">
        <f t="shared" ref="B20:B25" si="4">WEEKNUM(A20, 2)</f>
        <v>28</v>
      </c>
      <c r="C20" s="71"/>
      <c r="D20" s="71"/>
      <c r="E20" s="72"/>
      <c r="F20" s="73"/>
      <c r="G20" s="73"/>
      <c r="H20" s="73">
        <f>SUM(F20:G20)</f>
        <v>0</v>
      </c>
    </row>
    <row r="21" spans="1:27" ht="15.75" customHeight="1" x14ac:dyDescent="0.25">
      <c r="A21" s="70">
        <f>A20+1</f>
        <v>46211</v>
      </c>
      <c r="B21" s="79">
        <f t="shared" si="4"/>
        <v>28</v>
      </c>
      <c r="C21" s="71"/>
      <c r="D21" s="71"/>
      <c r="E21" s="74"/>
      <c r="F21" s="73"/>
      <c r="G21" s="73"/>
      <c r="H21" s="73">
        <f t="shared" ref="H21:H25" si="5">SUM(F21:G21)</f>
        <v>0</v>
      </c>
    </row>
    <row r="22" spans="1:27" ht="15.75" customHeight="1" x14ac:dyDescent="0.25">
      <c r="A22" s="70">
        <f>A21+1</f>
        <v>46212</v>
      </c>
      <c r="B22" s="79">
        <f t="shared" si="4"/>
        <v>28</v>
      </c>
      <c r="C22" s="71"/>
      <c r="D22" s="71"/>
      <c r="E22" s="72"/>
      <c r="F22" s="73"/>
      <c r="G22" s="73"/>
      <c r="H22" s="73">
        <f t="shared" si="5"/>
        <v>0</v>
      </c>
    </row>
    <row r="23" spans="1:27" ht="15.75" customHeight="1" x14ac:dyDescent="0.25">
      <c r="A23" s="70">
        <f>A22+1</f>
        <v>46213</v>
      </c>
      <c r="B23" s="79">
        <f t="shared" si="4"/>
        <v>28</v>
      </c>
      <c r="C23" s="71"/>
      <c r="D23" s="71"/>
      <c r="E23" s="74"/>
      <c r="F23" s="73"/>
      <c r="G23" s="73"/>
      <c r="H23" s="73">
        <f t="shared" si="5"/>
        <v>0</v>
      </c>
    </row>
    <row r="24" spans="1:27" ht="15.75" customHeight="1" x14ac:dyDescent="0.25">
      <c r="A24" s="70">
        <f t="shared" ref="A24" si="6">A23+1</f>
        <v>46214</v>
      </c>
      <c r="B24" s="79">
        <f>WEEKNUM(A24, 2)</f>
        <v>28</v>
      </c>
      <c r="C24" s="71"/>
      <c r="D24" s="71"/>
      <c r="E24" s="72"/>
      <c r="F24" s="73"/>
      <c r="G24" s="73"/>
      <c r="H24" s="73">
        <f t="shared" si="5"/>
        <v>0</v>
      </c>
    </row>
    <row r="25" spans="1:27" ht="15.75" customHeight="1" x14ac:dyDescent="0.25">
      <c r="A25" s="70">
        <f>A24+1</f>
        <v>46215</v>
      </c>
      <c r="B25" s="79">
        <f t="shared" si="4"/>
        <v>28</v>
      </c>
      <c r="C25" s="71"/>
      <c r="D25" s="71"/>
      <c r="E25" s="72"/>
      <c r="F25" s="73"/>
      <c r="G25" s="73"/>
      <c r="H25" s="73">
        <f t="shared" si="5"/>
        <v>0</v>
      </c>
    </row>
    <row r="26" spans="1:27" s="28" customFormat="1" ht="15.75" customHeight="1" x14ac:dyDescent="0.2">
      <c r="A26" s="44" t="str">
        <f>"Total of Week "&amp;RIGHT(A16,2)+1</f>
        <v>Total of Week 28</v>
      </c>
      <c r="B26" s="80"/>
      <c r="C26" s="45"/>
      <c r="D26" s="45"/>
      <c r="E26" s="63"/>
      <c r="F26" s="46">
        <f ca="1">SUMIF($B:$E,RIGHT($A26,2),F:F)</f>
        <v>0</v>
      </c>
      <c r="G26" s="46">
        <f ca="1">SUMIF($B:$E,RIGHT($A26,2),G:G)</f>
        <v>0</v>
      </c>
      <c r="H26" s="47">
        <f ca="1">SUMIF($B:$E,RIGHT($A26,2),H:H)</f>
        <v>0</v>
      </c>
    </row>
    <row r="27" spans="1:27" ht="15.75" customHeight="1" x14ac:dyDescent="0.25">
      <c r="A27" s="22"/>
      <c r="B27" s="87"/>
      <c r="C27" s="5"/>
      <c r="D27" s="5"/>
      <c r="E27" s="65"/>
      <c r="F27" s="6"/>
      <c r="G27" s="5"/>
      <c r="H27" s="7"/>
    </row>
    <row r="28" spans="1:27" ht="15" x14ac:dyDescent="0.25">
      <c r="A28" s="40" t="s">
        <v>9</v>
      </c>
      <c r="B28" s="85" t="s">
        <v>31</v>
      </c>
      <c r="C28" s="41" t="s">
        <v>10</v>
      </c>
      <c r="D28" s="41" t="s">
        <v>11</v>
      </c>
      <c r="E28" s="42" t="s">
        <v>12</v>
      </c>
      <c r="F28" s="43" t="s">
        <v>13</v>
      </c>
      <c r="G28" s="42" t="s">
        <v>14</v>
      </c>
      <c r="H28" s="42" t="s">
        <v>15</v>
      </c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spans="1:27" ht="15.75" customHeight="1" x14ac:dyDescent="0.25">
      <c r="A29" s="70">
        <f>A25+1</f>
        <v>46216</v>
      </c>
      <c r="B29" s="79">
        <f>WEEKNUM(A29, 2)</f>
        <v>29</v>
      </c>
      <c r="C29" s="71"/>
      <c r="D29" s="71"/>
      <c r="E29" s="74"/>
      <c r="F29" s="73"/>
      <c r="G29" s="73"/>
      <c r="H29" s="73">
        <f>SUM(F29:G29)</f>
        <v>0</v>
      </c>
    </row>
    <row r="30" spans="1:27" ht="15.75" customHeight="1" x14ac:dyDescent="0.25">
      <c r="A30" s="70">
        <f>A29+1</f>
        <v>46217</v>
      </c>
      <c r="B30" s="79">
        <f t="shared" ref="B30:B35" si="7">WEEKNUM(A30, 2)</f>
        <v>29</v>
      </c>
      <c r="C30" s="71"/>
      <c r="D30" s="71"/>
      <c r="E30" s="72"/>
      <c r="F30" s="73"/>
      <c r="G30" s="73"/>
      <c r="H30" s="73">
        <f>SUM(F30:G30)</f>
        <v>0</v>
      </c>
    </row>
    <row r="31" spans="1:27" ht="15.75" customHeight="1" x14ac:dyDescent="0.25">
      <c r="A31" s="70">
        <f>A30+1</f>
        <v>46218</v>
      </c>
      <c r="B31" s="79">
        <f t="shared" si="7"/>
        <v>29</v>
      </c>
      <c r="C31" s="71"/>
      <c r="D31" s="71"/>
      <c r="E31" s="74"/>
      <c r="F31" s="73"/>
      <c r="G31" s="73"/>
      <c r="H31" s="73">
        <f t="shared" ref="H31:H35" si="8">SUM(F31:G31)</f>
        <v>0</v>
      </c>
    </row>
    <row r="32" spans="1:27" ht="15.75" customHeight="1" x14ac:dyDescent="0.25">
      <c r="A32" s="70">
        <f>A31+1</f>
        <v>46219</v>
      </c>
      <c r="B32" s="79">
        <f t="shared" si="7"/>
        <v>29</v>
      </c>
      <c r="C32" s="71"/>
      <c r="D32" s="71"/>
      <c r="E32" s="72"/>
      <c r="F32" s="73"/>
      <c r="G32" s="73"/>
      <c r="H32" s="73">
        <f t="shared" si="8"/>
        <v>0</v>
      </c>
    </row>
    <row r="33" spans="1:27" ht="15.75" customHeight="1" x14ac:dyDescent="0.25">
      <c r="A33" s="70">
        <f>A32+1</f>
        <v>46220</v>
      </c>
      <c r="B33" s="79">
        <f t="shared" si="7"/>
        <v>29</v>
      </c>
      <c r="C33" s="71"/>
      <c r="D33" s="71"/>
      <c r="E33" s="74"/>
      <c r="F33" s="73"/>
      <c r="G33" s="73"/>
      <c r="H33" s="73">
        <f t="shared" si="8"/>
        <v>0</v>
      </c>
    </row>
    <row r="34" spans="1:27" ht="15.75" customHeight="1" x14ac:dyDescent="0.25">
      <c r="A34" s="70">
        <f t="shared" ref="A34" si="9">A33+1</f>
        <v>46221</v>
      </c>
      <c r="B34" s="79">
        <f>WEEKNUM(A34, 2)</f>
        <v>29</v>
      </c>
      <c r="C34" s="71"/>
      <c r="D34" s="71"/>
      <c r="E34" s="72"/>
      <c r="F34" s="73"/>
      <c r="G34" s="73"/>
      <c r="H34" s="73">
        <f t="shared" si="8"/>
        <v>0</v>
      </c>
    </row>
    <row r="35" spans="1:27" ht="15.75" customHeight="1" x14ac:dyDescent="0.25">
      <c r="A35" s="70">
        <f>A34+1</f>
        <v>46222</v>
      </c>
      <c r="B35" s="79">
        <f t="shared" si="7"/>
        <v>29</v>
      </c>
      <c r="C35" s="71"/>
      <c r="D35" s="71"/>
      <c r="E35" s="72"/>
      <c r="F35" s="73"/>
      <c r="G35" s="73"/>
      <c r="H35" s="73">
        <f t="shared" si="8"/>
        <v>0</v>
      </c>
    </row>
    <row r="36" spans="1:27" s="28" customFormat="1" ht="15.75" customHeight="1" x14ac:dyDescent="0.2">
      <c r="A36" s="44" t="str">
        <f>"Total of Week "&amp;RIGHT(A26,2)+1</f>
        <v>Total of Week 29</v>
      </c>
      <c r="B36" s="80"/>
      <c r="C36" s="45"/>
      <c r="D36" s="45"/>
      <c r="E36" s="63"/>
      <c r="F36" s="46">
        <f ca="1">SUMIF($B:$E,RIGHT($A36,2),F:F)</f>
        <v>0</v>
      </c>
      <c r="G36" s="46">
        <f ca="1">SUMIF($B:$E,RIGHT($A36,2),G:G)</f>
        <v>0</v>
      </c>
      <c r="H36" s="47">
        <f ca="1">SUMIF($B:$E,RIGHT($A36,2),H:H)</f>
        <v>0</v>
      </c>
    </row>
    <row r="37" spans="1:27" ht="15.75" customHeight="1" x14ac:dyDescent="0.25">
      <c r="A37" s="22"/>
      <c r="B37" s="87"/>
      <c r="C37" s="5"/>
      <c r="D37" s="5"/>
      <c r="E37" s="65"/>
      <c r="F37" s="6"/>
      <c r="G37" s="5"/>
      <c r="H37" s="7"/>
    </row>
    <row r="38" spans="1:27" ht="15" x14ac:dyDescent="0.25">
      <c r="A38" s="40" t="s">
        <v>9</v>
      </c>
      <c r="B38" s="85" t="s">
        <v>31</v>
      </c>
      <c r="C38" s="41" t="s">
        <v>10</v>
      </c>
      <c r="D38" s="41" t="s">
        <v>11</v>
      </c>
      <c r="E38" s="42" t="s">
        <v>12</v>
      </c>
      <c r="F38" s="43" t="s">
        <v>13</v>
      </c>
      <c r="G38" s="42" t="s">
        <v>14</v>
      </c>
      <c r="H38" s="42" t="s">
        <v>15</v>
      </c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spans="1:27" ht="15.75" customHeight="1" x14ac:dyDescent="0.25">
      <c r="A39" s="70">
        <f>A35+1</f>
        <v>46223</v>
      </c>
      <c r="B39" s="79">
        <f>WEEKNUM(A39, 2)</f>
        <v>30</v>
      </c>
      <c r="C39" s="71"/>
      <c r="D39" s="71"/>
      <c r="E39" s="74"/>
      <c r="F39" s="73"/>
      <c r="G39" s="73"/>
      <c r="H39" s="73">
        <f>SUM(F39:G39)</f>
        <v>0</v>
      </c>
    </row>
    <row r="40" spans="1:27" ht="15.75" customHeight="1" x14ac:dyDescent="0.25">
      <c r="A40" s="70">
        <f>A39+1</f>
        <v>46224</v>
      </c>
      <c r="B40" s="79">
        <f t="shared" ref="B40:B43" si="10">WEEKNUM(A40, 2)</f>
        <v>30</v>
      </c>
      <c r="C40" s="71"/>
      <c r="D40" s="71"/>
      <c r="E40" s="72"/>
      <c r="F40" s="73"/>
      <c r="G40" s="73"/>
      <c r="H40" s="73">
        <f>SUM(F40:G40)</f>
        <v>0</v>
      </c>
    </row>
    <row r="41" spans="1:27" ht="15.75" customHeight="1" x14ac:dyDescent="0.25">
      <c r="A41" s="70">
        <f>A40+1</f>
        <v>46225</v>
      </c>
      <c r="B41" s="79">
        <f t="shared" si="10"/>
        <v>30</v>
      </c>
      <c r="C41" s="71"/>
      <c r="D41" s="71"/>
      <c r="E41" s="74"/>
      <c r="F41" s="73"/>
      <c r="G41" s="73"/>
      <c r="H41" s="73">
        <f t="shared" ref="H41:H44" si="11">SUM(F41:G41)</f>
        <v>0</v>
      </c>
    </row>
    <row r="42" spans="1:27" ht="15.75" customHeight="1" x14ac:dyDescent="0.25">
      <c r="A42" s="70">
        <f>A41+1</f>
        <v>46226</v>
      </c>
      <c r="B42" s="79">
        <f t="shared" si="10"/>
        <v>30</v>
      </c>
      <c r="C42" s="71"/>
      <c r="D42" s="71"/>
      <c r="E42" s="72"/>
      <c r="F42" s="73"/>
      <c r="G42" s="73"/>
      <c r="H42" s="73">
        <f t="shared" si="11"/>
        <v>0</v>
      </c>
    </row>
    <row r="43" spans="1:27" ht="15.75" customHeight="1" x14ac:dyDescent="0.25">
      <c r="A43" s="70">
        <f>A42+1</f>
        <v>46227</v>
      </c>
      <c r="B43" s="79">
        <f t="shared" si="10"/>
        <v>30</v>
      </c>
      <c r="C43" s="71"/>
      <c r="D43" s="71"/>
      <c r="E43" s="74"/>
      <c r="F43" s="73"/>
      <c r="G43" s="73"/>
      <c r="H43" s="73">
        <f t="shared" si="11"/>
        <v>0</v>
      </c>
    </row>
    <row r="44" spans="1:27" ht="15.75" customHeight="1" x14ac:dyDescent="0.25">
      <c r="A44" s="70">
        <f t="shared" ref="A44:A45" si="12">A43+1</f>
        <v>46228</v>
      </c>
      <c r="B44" s="79">
        <f>WEEKNUM(A44, 2)</f>
        <v>30</v>
      </c>
      <c r="C44" s="71"/>
      <c r="D44" s="71"/>
      <c r="E44" s="72"/>
      <c r="F44" s="73"/>
      <c r="G44" s="73"/>
      <c r="H44" s="73">
        <f t="shared" si="11"/>
        <v>0</v>
      </c>
    </row>
    <row r="45" spans="1:27" ht="15.75" customHeight="1" x14ac:dyDescent="0.25">
      <c r="A45" s="70">
        <f t="shared" si="12"/>
        <v>46229</v>
      </c>
      <c r="B45" s="79">
        <f>WEEKNUM(A45, 2)</f>
        <v>30</v>
      </c>
      <c r="C45" s="71"/>
      <c r="D45" s="71"/>
      <c r="E45" s="74"/>
      <c r="F45" s="73"/>
      <c r="G45" s="73"/>
      <c r="H45" s="73">
        <f>SUM(F45:G45)</f>
        <v>0</v>
      </c>
    </row>
    <row r="46" spans="1:27" s="28" customFormat="1" ht="15.75" customHeight="1" x14ac:dyDescent="0.2">
      <c r="A46" s="44" t="str">
        <f>"Total of Week "&amp;RIGHT(A36,2)+1</f>
        <v>Total of Week 30</v>
      </c>
      <c r="B46" s="80"/>
      <c r="C46" s="45"/>
      <c r="D46" s="45"/>
      <c r="E46" s="63"/>
      <c r="F46" s="46">
        <f ca="1">SUMIF($B:$E,RIGHT($A46,2),F:F)</f>
        <v>0</v>
      </c>
      <c r="G46" s="46">
        <f ca="1">SUMIF($B:$E,RIGHT($A46,2),G:G)</f>
        <v>0</v>
      </c>
      <c r="H46" s="47">
        <f ca="1">SUMIF($B:$E,RIGHT($A46,2),H:H)</f>
        <v>0</v>
      </c>
    </row>
    <row r="47" spans="1:27" ht="15.75" customHeight="1" x14ac:dyDescent="0.25">
      <c r="A47" s="22"/>
      <c r="B47" s="87"/>
      <c r="C47" s="5"/>
      <c r="D47" s="5"/>
      <c r="E47" s="65"/>
      <c r="F47" s="6"/>
      <c r="G47" s="5"/>
      <c r="H47" s="7"/>
    </row>
    <row r="48" spans="1:27" ht="15" x14ac:dyDescent="0.25">
      <c r="A48" s="40" t="s">
        <v>9</v>
      </c>
      <c r="B48" s="85" t="s">
        <v>31</v>
      </c>
      <c r="C48" s="41" t="s">
        <v>10</v>
      </c>
      <c r="D48" s="41" t="s">
        <v>11</v>
      </c>
      <c r="E48" s="42" t="s">
        <v>12</v>
      </c>
      <c r="F48" s="43" t="s">
        <v>13</v>
      </c>
      <c r="G48" s="42" t="s">
        <v>14</v>
      </c>
      <c r="H48" s="42" t="s">
        <v>15</v>
      </c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spans="1:27" ht="15.75" customHeight="1" x14ac:dyDescent="0.25">
      <c r="A49" s="70">
        <f>A45+1</f>
        <v>46230</v>
      </c>
      <c r="B49" s="79">
        <f t="shared" ref="B49:B52" si="13">WEEKNUM(A49, 2)</f>
        <v>31</v>
      </c>
      <c r="C49" s="71"/>
      <c r="D49" s="71"/>
      <c r="E49" s="72"/>
      <c r="F49" s="73"/>
      <c r="G49" s="73"/>
      <c r="H49" s="73">
        <f>SUM(F49:G49)</f>
        <v>0</v>
      </c>
    </row>
    <row r="50" spans="1:27" ht="15.75" customHeight="1" x14ac:dyDescent="0.25">
      <c r="A50" s="70">
        <f>A49+1</f>
        <v>46231</v>
      </c>
      <c r="B50" s="79">
        <f t="shared" si="13"/>
        <v>31</v>
      </c>
      <c r="C50" s="71"/>
      <c r="D50" s="71"/>
      <c r="E50" s="74"/>
      <c r="F50" s="73"/>
      <c r="G50" s="73"/>
      <c r="H50" s="73">
        <f t="shared" ref="H50" si="14">SUM(F50:G50)</f>
        <v>0</v>
      </c>
    </row>
    <row r="51" spans="1:27" ht="15.75" customHeight="1" x14ac:dyDescent="0.25">
      <c r="A51" s="70">
        <f>A50+1</f>
        <v>46232</v>
      </c>
      <c r="B51" s="79">
        <f>WEEKNUM(A51, 2)</f>
        <v>31</v>
      </c>
      <c r="C51" s="71"/>
      <c r="D51" s="71"/>
      <c r="E51" s="72"/>
      <c r="F51" s="73"/>
      <c r="G51" s="73"/>
      <c r="H51" s="73">
        <f>SUM(F51:G51)</f>
        <v>0</v>
      </c>
    </row>
    <row r="52" spans="1:27" ht="15.75" customHeight="1" x14ac:dyDescent="0.25">
      <c r="A52" s="70">
        <f t="shared" ref="A52:A53" si="15">A51+1</f>
        <v>46233</v>
      </c>
      <c r="B52" s="79">
        <f t="shared" si="13"/>
        <v>31</v>
      </c>
      <c r="C52" s="71"/>
      <c r="D52" s="71"/>
      <c r="E52" s="74"/>
      <c r="F52" s="73"/>
      <c r="G52" s="73"/>
      <c r="H52" s="73">
        <f t="shared" ref="H52" si="16">SUM(F52:G52)</f>
        <v>0</v>
      </c>
    </row>
    <row r="53" spans="1:27" ht="15.75" customHeight="1" x14ac:dyDescent="0.25">
      <c r="A53" s="70">
        <f t="shared" si="15"/>
        <v>46234</v>
      </c>
      <c r="B53" s="79">
        <f>WEEKNUM(A53, 2)</f>
        <v>31</v>
      </c>
      <c r="C53" s="71"/>
      <c r="D53" s="71"/>
      <c r="E53" s="72"/>
      <c r="F53" s="73"/>
      <c r="G53" s="73"/>
      <c r="H53" s="73">
        <f>SUM(F53:G53)</f>
        <v>0</v>
      </c>
    </row>
    <row r="54" spans="1:27" s="28" customFormat="1" ht="15.75" customHeight="1" x14ac:dyDescent="0.2">
      <c r="A54" s="44" t="str">
        <f>"Total of Week "&amp;RIGHT(A46,2)+1</f>
        <v>Total of Week 31</v>
      </c>
      <c r="B54" s="80"/>
      <c r="C54" s="45"/>
      <c r="D54" s="45"/>
      <c r="E54" s="63"/>
      <c r="F54" s="46">
        <f ca="1">SUMIF($B:$E,RIGHT($A54,2),F:F)</f>
        <v>0</v>
      </c>
      <c r="G54" s="46">
        <f ca="1">SUMIF($B:$E,RIGHT($A54,2),G:G)</f>
        <v>0</v>
      </c>
      <c r="H54" s="47">
        <f ca="1">SUMIF($B:$E,RIGHT($A54,2),H:H)</f>
        <v>0</v>
      </c>
    </row>
    <row r="55" spans="1:27" ht="12" customHeight="1" x14ac:dyDescent="0.25">
      <c r="A55" s="23"/>
      <c r="B55" s="84"/>
      <c r="C55" s="8"/>
      <c r="D55" s="8"/>
      <c r="E55" s="66"/>
      <c r="F55" s="9"/>
      <c r="G55" s="9"/>
      <c r="H55" s="10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 ht="15.75" customHeight="1" x14ac:dyDescent="0.25">
      <c r="A56" s="24" t="s">
        <v>16</v>
      </c>
      <c r="B56" s="88"/>
      <c r="C56" s="11"/>
      <c r="D56" s="11"/>
      <c r="E56" s="67"/>
      <c r="F56" s="12"/>
      <c r="G56" s="11"/>
      <c r="H56" s="13">
        <f ca="1">SUMIF(A7:A55,"*Total of week*",H7:H55)</f>
        <v>0</v>
      </c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1:27" ht="15.75" customHeight="1" x14ac:dyDescent="0.25">
      <c r="E57" s="4"/>
      <c r="F57" s="15"/>
      <c r="O57" s="3"/>
      <c r="P57" s="3"/>
      <c r="R57" s="3"/>
    </row>
    <row r="58" spans="1:27" ht="15.75" customHeight="1" x14ac:dyDescent="0.25">
      <c r="E58" s="4"/>
      <c r="F58" s="15"/>
      <c r="O58" s="3"/>
    </row>
    <row r="59" spans="1:27" ht="15.75" customHeight="1" x14ac:dyDescent="0.25">
      <c r="A59" s="26"/>
      <c r="B59" s="90"/>
      <c r="C59" s="17"/>
      <c r="D59" s="16"/>
      <c r="E59" s="4"/>
      <c r="F59" s="15"/>
    </row>
    <row r="60" spans="1:27" ht="15.75" customHeight="1" x14ac:dyDescent="0.25">
      <c r="A60" s="26"/>
      <c r="B60" s="90"/>
      <c r="C60" s="16"/>
      <c r="D60" s="16"/>
      <c r="E60" s="68"/>
      <c r="F60" s="18"/>
      <c r="G60" s="16"/>
      <c r="H60" s="3"/>
    </row>
    <row r="61" spans="1:27" ht="15.75" customHeight="1" x14ac:dyDescent="0.25">
      <c r="A61" s="26"/>
      <c r="B61" s="90"/>
      <c r="C61" s="19"/>
      <c r="D61" s="19"/>
      <c r="E61" s="4"/>
      <c r="F61" s="15"/>
    </row>
    <row r="62" spans="1:27" s="28" customFormat="1" ht="15.75" customHeight="1" x14ac:dyDescent="0.25">
      <c r="A62" s="36"/>
      <c r="B62" s="86"/>
      <c r="C62" s="29"/>
      <c r="D62" s="29"/>
      <c r="E62" s="64"/>
      <c r="F62" s="33"/>
      <c r="G62" s="34"/>
      <c r="H62" s="35"/>
    </row>
    <row r="63" spans="1:27" ht="15.75" customHeight="1" x14ac:dyDescent="0.25">
      <c r="C63" s="20"/>
      <c r="D63" s="20"/>
      <c r="E63" s="4"/>
      <c r="F63" s="15"/>
    </row>
    <row r="64" spans="1:27" ht="15.75" customHeight="1" x14ac:dyDescent="0.25">
      <c r="A64" s="26"/>
      <c r="B64" s="90"/>
      <c r="C64" s="19"/>
      <c r="D64" s="19"/>
      <c r="E64" s="4"/>
      <c r="F64" s="15"/>
    </row>
    <row r="65" spans="1:6" ht="15.75" customHeight="1" x14ac:dyDescent="0.25">
      <c r="A65" s="26"/>
      <c r="B65" s="90"/>
      <c r="C65" s="19"/>
      <c r="D65" s="19"/>
      <c r="E65" s="4"/>
      <c r="F65" s="15"/>
    </row>
    <row r="66" spans="1:6" ht="15.75" customHeight="1" x14ac:dyDescent="0.2"/>
    <row r="67" spans="1:6" ht="15.75" customHeight="1" x14ac:dyDescent="0.2"/>
    <row r="68" spans="1:6" ht="15.75" customHeight="1" x14ac:dyDescent="0.2"/>
    <row r="69" spans="1:6" ht="15.75" customHeight="1" x14ac:dyDescent="0.2"/>
    <row r="70" spans="1:6" ht="15.75" customHeight="1" x14ac:dyDescent="0.2"/>
    <row r="71" spans="1:6" ht="15.75" customHeight="1" x14ac:dyDescent="0.2"/>
    <row r="72" spans="1:6" ht="15.75" customHeight="1" x14ac:dyDescent="0.2"/>
    <row r="73" spans="1:6" ht="15.75" customHeight="1" x14ac:dyDescent="0.2"/>
    <row r="74" spans="1:6" ht="15.75" customHeight="1" x14ac:dyDescent="0.2"/>
    <row r="75" spans="1:6" ht="15.75" customHeight="1" x14ac:dyDescent="0.2"/>
    <row r="76" spans="1:6" ht="15.75" customHeight="1" x14ac:dyDescent="0.2"/>
    <row r="77" spans="1:6" ht="15.75" customHeight="1" x14ac:dyDescent="0.2"/>
    <row r="78" spans="1:6" ht="15.75" customHeight="1" x14ac:dyDescent="0.2"/>
    <row r="79" spans="1:6" ht="15.75" customHeight="1" x14ac:dyDescent="0.2"/>
    <row r="80" spans="1:6" ht="15.75" customHeight="1" x14ac:dyDescent="0.2"/>
    <row r="81" spans="2:27" s="25" customFormat="1" ht="15.75" customHeight="1" x14ac:dyDescent="0.2">
      <c r="B81" s="89"/>
      <c r="C81"/>
      <c r="D81"/>
      <c r="E81" s="69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</row>
    <row r="82" spans="2:27" s="25" customFormat="1" ht="15.75" customHeight="1" x14ac:dyDescent="0.2">
      <c r="B82" s="89"/>
      <c r="C82"/>
      <c r="D82"/>
      <c r="E82" s="69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2:27" s="25" customFormat="1" ht="15.75" customHeight="1" x14ac:dyDescent="0.2">
      <c r="B83" s="89"/>
      <c r="C83"/>
      <c r="D83"/>
      <c r="E83" s="69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</row>
    <row r="84" spans="2:27" s="25" customFormat="1" ht="15.75" customHeight="1" x14ac:dyDescent="0.2">
      <c r="B84" s="89"/>
      <c r="C84"/>
      <c r="D84"/>
      <c r="E84" s="69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</row>
    <row r="85" spans="2:27" s="25" customFormat="1" ht="15.75" customHeight="1" x14ac:dyDescent="0.2">
      <c r="B85" s="89"/>
      <c r="C85"/>
      <c r="D85"/>
      <c r="E85" s="69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</row>
    <row r="86" spans="2:27" s="25" customFormat="1" ht="15.75" customHeight="1" x14ac:dyDescent="0.2">
      <c r="B86" s="89"/>
      <c r="C86"/>
      <c r="D86"/>
      <c r="E86" s="69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</row>
    <row r="87" spans="2:27" s="25" customFormat="1" ht="15.75" customHeight="1" x14ac:dyDescent="0.2">
      <c r="B87" s="89"/>
      <c r="C87"/>
      <c r="D87"/>
      <c r="E87" s="69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</row>
    <row r="88" spans="2:27" s="25" customFormat="1" ht="15.75" customHeight="1" x14ac:dyDescent="0.2">
      <c r="B88" s="89"/>
      <c r="C88"/>
      <c r="D88"/>
      <c r="E88" s="69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</row>
    <row r="89" spans="2:27" s="25" customFormat="1" ht="15.75" customHeight="1" x14ac:dyDescent="0.2">
      <c r="B89" s="89"/>
      <c r="C89"/>
      <c r="D89"/>
      <c r="E89" s="6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</row>
    <row r="90" spans="2:27" s="25" customFormat="1" ht="15.75" customHeight="1" x14ac:dyDescent="0.2">
      <c r="B90" s="89"/>
      <c r="C90"/>
      <c r="D90"/>
      <c r="E90" s="69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2:27" s="25" customFormat="1" ht="15.75" customHeight="1" x14ac:dyDescent="0.2">
      <c r="B91" s="89"/>
      <c r="C91"/>
      <c r="D91"/>
      <c r="E91" s="69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</row>
    <row r="92" spans="2:27" s="25" customFormat="1" ht="15.75" customHeight="1" x14ac:dyDescent="0.2">
      <c r="B92" s="89"/>
      <c r="C92"/>
      <c r="D92"/>
      <c r="E92" s="69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2:27" s="25" customFormat="1" ht="15.75" customHeight="1" x14ac:dyDescent="0.2">
      <c r="B93" s="89"/>
      <c r="C93"/>
      <c r="D93"/>
      <c r="E93" s="69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</row>
    <row r="94" spans="2:27" s="25" customFormat="1" ht="15.75" customHeight="1" x14ac:dyDescent="0.2">
      <c r="B94" s="89"/>
      <c r="C94"/>
      <c r="D94"/>
      <c r="E94" s="69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</row>
    <row r="95" spans="2:27" s="25" customFormat="1" ht="15.75" customHeight="1" x14ac:dyDescent="0.2">
      <c r="B95" s="89"/>
      <c r="C95"/>
      <c r="D95"/>
      <c r="E95" s="69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</row>
    <row r="96" spans="2:27" s="25" customFormat="1" ht="15.75" customHeight="1" x14ac:dyDescent="0.2">
      <c r="B96" s="89"/>
      <c r="C96"/>
      <c r="D96"/>
      <c r="E96" s="69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</row>
    <row r="97" spans="2:27" s="25" customFormat="1" ht="15.75" customHeight="1" x14ac:dyDescent="0.2">
      <c r="B97" s="89"/>
      <c r="C97"/>
      <c r="D97"/>
      <c r="E97" s="69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</row>
    <row r="98" spans="2:27" s="25" customFormat="1" ht="15.75" customHeight="1" x14ac:dyDescent="0.2">
      <c r="B98" s="89"/>
      <c r="C98"/>
      <c r="D98"/>
      <c r="E98" s="69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</row>
    <row r="99" spans="2:27" s="25" customFormat="1" ht="15.75" customHeight="1" x14ac:dyDescent="0.2">
      <c r="B99" s="89"/>
      <c r="C99"/>
      <c r="D99"/>
      <c r="E99" s="6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</row>
    <row r="100" spans="2:27" s="25" customFormat="1" ht="15.75" customHeight="1" x14ac:dyDescent="0.2">
      <c r="B100" s="89"/>
      <c r="C100"/>
      <c r="D100"/>
      <c r="E100" s="69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</row>
    <row r="101" spans="2:27" s="25" customFormat="1" ht="15.75" customHeight="1" x14ac:dyDescent="0.2">
      <c r="B101" s="89"/>
      <c r="C101"/>
      <c r="D101"/>
      <c r="E101" s="69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</row>
    <row r="102" spans="2:27" s="25" customFormat="1" ht="15.75" customHeight="1" x14ac:dyDescent="0.2">
      <c r="B102" s="89"/>
      <c r="C102"/>
      <c r="D102"/>
      <c r="E102" s="69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2:27" s="25" customFormat="1" ht="15.75" customHeight="1" x14ac:dyDescent="0.2">
      <c r="B103" s="89"/>
      <c r="C103"/>
      <c r="D103"/>
      <c r="E103" s="69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</row>
    <row r="104" spans="2:27" s="25" customFormat="1" ht="15.75" customHeight="1" x14ac:dyDescent="0.2">
      <c r="B104" s="89"/>
      <c r="C104"/>
      <c r="D104"/>
      <c r="E104" s="69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</row>
    <row r="105" spans="2:27" s="25" customFormat="1" ht="15.75" customHeight="1" x14ac:dyDescent="0.2">
      <c r="B105" s="89"/>
      <c r="C105"/>
      <c r="D105"/>
      <c r="E105" s="69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</row>
    <row r="106" spans="2:27" s="25" customFormat="1" ht="15.75" customHeight="1" x14ac:dyDescent="0.2">
      <c r="B106" s="89"/>
      <c r="C106"/>
      <c r="D106"/>
      <c r="E106" s="69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</row>
    <row r="107" spans="2:27" s="25" customFormat="1" ht="15.75" customHeight="1" x14ac:dyDescent="0.2">
      <c r="B107" s="89"/>
      <c r="C107"/>
      <c r="D107"/>
      <c r="E107" s="69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</row>
    <row r="108" spans="2:27" s="25" customFormat="1" ht="15.75" customHeight="1" x14ac:dyDescent="0.2">
      <c r="B108" s="89"/>
      <c r="C108"/>
      <c r="D108"/>
      <c r="E108" s="69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</row>
    <row r="109" spans="2:27" s="25" customFormat="1" ht="15.75" customHeight="1" x14ac:dyDescent="0.2">
      <c r="B109" s="89"/>
      <c r="C109"/>
      <c r="D109"/>
      <c r="E109" s="6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</row>
    <row r="110" spans="2:27" s="25" customFormat="1" ht="15.75" customHeight="1" x14ac:dyDescent="0.2">
      <c r="B110" s="89"/>
      <c r="C110"/>
      <c r="D110"/>
      <c r="E110" s="69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</row>
    <row r="111" spans="2:27" s="25" customFormat="1" ht="15.75" customHeight="1" x14ac:dyDescent="0.2">
      <c r="B111" s="89"/>
      <c r="C111"/>
      <c r="D111"/>
      <c r="E111" s="69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2:27" s="25" customFormat="1" ht="15.75" customHeight="1" x14ac:dyDescent="0.2">
      <c r="B112" s="89"/>
      <c r="C112"/>
      <c r="D112"/>
      <c r="E112" s="69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</row>
    <row r="113" spans="2:27" s="25" customFormat="1" ht="15.75" customHeight="1" x14ac:dyDescent="0.2">
      <c r="B113" s="89"/>
      <c r="C113"/>
      <c r="D113"/>
      <c r="E113" s="69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</row>
    <row r="114" spans="2:27" s="25" customFormat="1" ht="15.75" customHeight="1" x14ac:dyDescent="0.2">
      <c r="B114" s="89"/>
      <c r="C114"/>
      <c r="D114"/>
      <c r="E114" s="69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2:27" s="25" customFormat="1" ht="15.75" customHeight="1" x14ac:dyDescent="0.2">
      <c r="B115" s="89"/>
      <c r="C115"/>
      <c r="D115"/>
      <c r="E115" s="69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</row>
    <row r="116" spans="2:27" s="25" customFormat="1" ht="15.75" customHeight="1" x14ac:dyDescent="0.2">
      <c r="B116" s="89"/>
      <c r="C116"/>
      <c r="D116"/>
      <c r="E116" s="69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</row>
    <row r="117" spans="2:27" s="25" customFormat="1" ht="15.75" customHeight="1" x14ac:dyDescent="0.2">
      <c r="B117" s="89"/>
      <c r="C117"/>
      <c r="D117"/>
      <c r="E117" s="69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</row>
    <row r="118" spans="2:27" s="25" customFormat="1" ht="15.75" customHeight="1" x14ac:dyDescent="0.2">
      <c r="B118" s="89"/>
      <c r="C118"/>
      <c r="D118"/>
      <c r="E118" s="69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</row>
    <row r="119" spans="2:27" s="25" customFormat="1" ht="15.75" customHeight="1" x14ac:dyDescent="0.2">
      <c r="B119" s="89"/>
      <c r="C119"/>
      <c r="D119"/>
      <c r="E119" s="6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</row>
    <row r="120" spans="2:27" s="25" customFormat="1" ht="15.75" customHeight="1" x14ac:dyDescent="0.2">
      <c r="B120" s="89"/>
      <c r="C120"/>
      <c r="D120"/>
      <c r="E120" s="69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</row>
    <row r="121" spans="2:27" s="25" customFormat="1" ht="15.75" customHeight="1" x14ac:dyDescent="0.2">
      <c r="B121" s="89"/>
      <c r="C121"/>
      <c r="D121"/>
      <c r="E121" s="69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</row>
    <row r="122" spans="2:27" s="25" customFormat="1" ht="15.75" customHeight="1" x14ac:dyDescent="0.2">
      <c r="B122" s="89"/>
      <c r="C122"/>
      <c r="D122"/>
      <c r="E122" s="69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</row>
    <row r="123" spans="2:27" s="25" customFormat="1" ht="15.75" customHeight="1" x14ac:dyDescent="0.2">
      <c r="B123" s="89"/>
      <c r="C123"/>
      <c r="D123"/>
      <c r="E123" s="69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2:27" s="25" customFormat="1" ht="15.75" customHeight="1" x14ac:dyDescent="0.2">
      <c r="B124" s="89"/>
      <c r="C124"/>
      <c r="D124"/>
      <c r="E124" s="69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</row>
    <row r="125" spans="2:27" s="25" customFormat="1" ht="15.75" customHeight="1" x14ac:dyDescent="0.2">
      <c r="B125" s="89"/>
      <c r="C125"/>
      <c r="D125"/>
      <c r="E125" s="69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</row>
    <row r="126" spans="2:27" s="25" customFormat="1" ht="15.75" customHeight="1" x14ac:dyDescent="0.2">
      <c r="B126" s="89"/>
      <c r="C126"/>
      <c r="D126"/>
      <c r="E126" s="69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</row>
    <row r="127" spans="2:27" s="25" customFormat="1" ht="15.75" customHeight="1" x14ac:dyDescent="0.2">
      <c r="B127" s="89"/>
      <c r="C127"/>
      <c r="D127"/>
      <c r="E127" s="69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</row>
    <row r="128" spans="2:27" s="25" customFormat="1" ht="15.75" customHeight="1" x14ac:dyDescent="0.2">
      <c r="B128" s="89"/>
      <c r="C128"/>
      <c r="D128"/>
      <c r="E128" s="69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</row>
    <row r="129" spans="2:27" s="25" customFormat="1" ht="15.75" customHeight="1" x14ac:dyDescent="0.2">
      <c r="B129" s="89"/>
      <c r="C129"/>
      <c r="D129"/>
      <c r="E129" s="6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</row>
    <row r="130" spans="2:27" s="25" customFormat="1" ht="15.75" customHeight="1" x14ac:dyDescent="0.2">
      <c r="B130" s="89"/>
      <c r="C130"/>
      <c r="D130"/>
      <c r="E130" s="69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</row>
    <row r="131" spans="2:27" s="25" customFormat="1" ht="15.75" customHeight="1" x14ac:dyDescent="0.2">
      <c r="B131" s="89"/>
      <c r="C131"/>
      <c r="D131"/>
      <c r="E131" s="69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</row>
    <row r="132" spans="2:27" s="25" customFormat="1" ht="15.75" customHeight="1" x14ac:dyDescent="0.2">
      <c r="B132" s="89"/>
      <c r="C132"/>
      <c r="D132"/>
      <c r="E132" s="69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</row>
    <row r="133" spans="2:27" s="25" customFormat="1" ht="15.75" customHeight="1" x14ac:dyDescent="0.2">
      <c r="B133" s="89"/>
      <c r="C133"/>
      <c r="D133"/>
      <c r="E133" s="69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</row>
    <row r="134" spans="2:27" s="25" customFormat="1" ht="15.75" customHeight="1" x14ac:dyDescent="0.2">
      <c r="B134" s="89"/>
      <c r="C134"/>
      <c r="D134"/>
      <c r="E134" s="69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</row>
    <row r="135" spans="2:27" s="25" customFormat="1" ht="15.75" customHeight="1" x14ac:dyDescent="0.2">
      <c r="B135" s="89"/>
      <c r="C135"/>
      <c r="D135"/>
      <c r="E135" s="69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</row>
    <row r="136" spans="2:27" s="25" customFormat="1" ht="15.75" customHeight="1" x14ac:dyDescent="0.2">
      <c r="B136" s="89"/>
      <c r="C136"/>
      <c r="D136"/>
      <c r="E136" s="69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</row>
    <row r="137" spans="2:27" s="25" customFormat="1" ht="15.75" customHeight="1" x14ac:dyDescent="0.2">
      <c r="B137" s="89"/>
      <c r="C137"/>
      <c r="D137"/>
      <c r="E137" s="69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</row>
    <row r="138" spans="2:27" s="25" customFormat="1" ht="15.75" customHeight="1" x14ac:dyDescent="0.2">
      <c r="B138" s="89"/>
      <c r="C138"/>
      <c r="D138"/>
      <c r="E138" s="69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</row>
    <row r="139" spans="2:27" s="25" customFormat="1" ht="15.75" customHeight="1" x14ac:dyDescent="0.2">
      <c r="B139" s="89"/>
      <c r="C139"/>
      <c r="D139"/>
      <c r="E139" s="6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</row>
    <row r="140" spans="2:27" s="25" customFormat="1" ht="15.75" customHeight="1" x14ac:dyDescent="0.2">
      <c r="B140" s="89"/>
      <c r="C140"/>
      <c r="D140"/>
      <c r="E140" s="69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</row>
    <row r="141" spans="2:27" s="25" customFormat="1" ht="15.75" customHeight="1" x14ac:dyDescent="0.2">
      <c r="B141" s="89"/>
      <c r="C141"/>
      <c r="D141"/>
      <c r="E141" s="69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</row>
    <row r="142" spans="2:27" s="25" customFormat="1" ht="15.75" customHeight="1" x14ac:dyDescent="0.2">
      <c r="B142" s="89"/>
      <c r="C142"/>
      <c r="D142"/>
      <c r="E142" s="69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</row>
    <row r="143" spans="2:27" s="25" customFormat="1" ht="15.75" customHeight="1" x14ac:dyDescent="0.2">
      <c r="B143" s="89"/>
      <c r="C143"/>
      <c r="D143"/>
      <c r="E143" s="69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</row>
    <row r="144" spans="2:27" s="25" customFormat="1" ht="15.75" customHeight="1" x14ac:dyDescent="0.2">
      <c r="B144" s="89"/>
      <c r="C144"/>
      <c r="D144"/>
      <c r="E144" s="69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</row>
    <row r="145" spans="2:27" s="25" customFormat="1" ht="15.75" customHeight="1" x14ac:dyDescent="0.2">
      <c r="B145" s="89"/>
      <c r="C145"/>
      <c r="D145"/>
      <c r="E145" s="69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</row>
    <row r="146" spans="2:27" s="25" customFormat="1" ht="15.75" customHeight="1" x14ac:dyDescent="0.2">
      <c r="B146" s="89"/>
      <c r="C146"/>
      <c r="D146"/>
      <c r="E146" s="69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</row>
    <row r="147" spans="2:27" s="25" customFormat="1" ht="15.75" customHeight="1" x14ac:dyDescent="0.2">
      <c r="B147" s="89"/>
      <c r="C147"/>
      <c r="D147"/>
      <c r="E147" s="69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</row>
    <row r="148" spans="2:27" s="25" customFormat="1" ht="15.75" customHeight="1" x14ac:dyDescent="0.2">
      <c r="B148" s="89"/>
      <c r="C148"/>
      <c r="D148"/>
      <c r="E148" s="69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</row>
    <row r="149" spans="2:27" s="25" customFormat="1" ht="15.75" customHeight="1" x14ac:dyDescent="0.2">
      <c r="B149" s="89"/>
      <c r="C149"/>
      <c r="D149"/>
      <c r="E149" s="6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</row>
    <row r="150" spans="2:27" s="25" customFormat="1" ht="15.75" customHeight="1" x14ac:dyDescent="0.2">
      <c r="B150" s="89"/>
      <c r="C150"/>
      <c r="D150"/>
      <c r="E150" s="69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</row>
    <row r="151" spans="2:27" s="25" customFormat="1" ht="15.75" customHeight="1" x14ac:dyDescent="0.2">
      <c r="B151" s="89"/>
      <c r="C151"/>
      <c r="D151"/>
      <c r="E151" s="69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</row>
    <row r="152" spans="2:27" s="25" customFormat="1" ht="15.75" customHeight="1" x14ac:dyDescent="0.2">
      <c r="B152" s="89"/>
      <c r="C152"/>
      <c r="D152"/>
      <c r="E152" s="69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</row>
    <row r="153" spans="2:27" s="25" customFormat="1" ht="15.75" customHeight="1" x14ac:dyDescent="0.2">
      <c r="B153" s="89"/>
      <c r="C153"/>
      <c r="D153"/>
      <c r="E153" s="69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</row>
    <row r="154" spans="2:27" s="25" customFormat="1" ht="15.75" customHeight="1" x14ac:dyDescent="0.2">
      <c r="B154" s="89"/>
      <c r="C154"/>
      <c r="D154"/>
      <c r="E154" s="69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</row>
    <row r="155" spans="2:27" s="25" customFormat="1" ht="15.75" customHeight="1" x14ac:dyDescent="0.2">
      <c r="B155" s="89"/>
      <c r="C155"/>
      <c r="D155"/>
      <c r="E155" s="69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</row>
    <row r="156" spans="2:27" s="25" customFormat="1" ht="15.75" customHeight="1" x14ac:dyDescent="0.2">
      <c r="B156" s="89"/>
      <c r="C156"/>
      <c r="D156"/>
      <c r="E156" s="69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</row>
    <row r="157" spans="2:27" s="25" customFormat="1" ht="15.75" customHeight="1" x14ac:dyDescent="0.2">
      <c r="B157" s="89"/>
      <c r="C157"/>
      <c r="D157"/>
      <c r="E157" s="69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</row>
    <row r="158" spans="2:27" s="25" customFormat="1" ht="15.75" customHeight="1" x14ac:dyDescent="0.2">
      <c r="B158" s="89"/>
      <c r="C158"/>
      <c r="D158"/>
      <c r="E158" s="69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</row>
    <row r="159" spans="2:27" s="25" customFormat="1" ht="15.75" customHeight="1" x14ac:dyDescent="0.2">
      <c r="B159" s="89"/>
      <c r="C159"/>
      <c r="D159"/>
      <c r="E159" s="6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</row>
    <row r="160" spans="2:27" s="25" customFormat="1" ht="15.75" customHeight="1" x14ac:dyDescent="0.2">
      <c r="B160" s="89"/>
      <c r="C160"/>
      <c r="D160"/>
      <c r="E160" s="69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</row>
    <row r="161" spans="2:27" s="25" customFormat="1" ht="15.75" customHeight="1" x14ac:dyDescent="0.2">
      <c r="B161" s="89"/>
      <c r="C161"/>
      <c r="D161"/>
      <c r="E161" s="69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</row>
    <row r="162" spans="2:27" s="25" customFormat="1" ht="15.75" customHeight="1" x14ac:dyDescent="0.2">
      <c r="B162" s="89"/>
      <c r="C162"/>
      <c r="D162"/>
      <c r="E162" s="69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</row>
    <row r="163" spans="2:27" s="25" customFormat="1" ht="15.75" customHeight="1" x14ac:dyDescent="0.2">
      <c r="B163" s="89"/>
      <c r="C163"/>
      <c r="D163"/>
      <c r="E163" s="69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</row>
    <row r="164" spans="2:27" s="25" customFormat="1" ht="15.75" customHeight="1" x14ac:dyDescent="0.2">
      <c r="B164" s="89"/>
      <c r="C164"/>
      <c r="D164"/>
      <c r="E164" s="69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</row>
    <row r="165" spans="2:27" s="25" customFormat="1" ht="15.75" customHeight="1" x14ac:dyDescent="0.2">
      <c r="B165" s="89"/>
      <c r="C165"/>
      <c r="D165"/>
      <c r="E165" s="69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</row>
    <row r="166" spans="2:27" s="25" customFormat="1" ht="15.75" customHeight="1" x14ac:dyDescent="0.2">
      <c r="B166" s="89"/>
      <c r="C166"/>
      <c r="D166"/>
      <c r="E166" s="69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</row>
    <row r="167" spans="2:27" s="25" customFormat="1" ht="15.75" customHeight="1" x14ac:dyDescent="0.2">
      <c r="B167" s="89"/>
      <c r="C167"/>
      <c r="D167"/>
      <c r="E167" s="69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</row>
    <row r="168" spans="2:27" s="25" customFormat="1" ht="15.75" customHeight="1" x14ac:dyDescent="0.2">
      <c r="B168" s="89"/>
      <c r="C168"/>
      <c r="D168"/>
      <c r="E168" s="69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</row>
    <row r="169" spans="2:27" s="25" customFormat="1" ht="15.75" customHeight="1" x14ac:dyDescent="0.2">
      <c r="B169" s="89"/>
      <c r="C169"/>
      <c r="D169"/>
      <c r="E169" s="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</row>
    <row r="170" spans="2:27" s="25" customFormat="1" ht="15.75" customHeight="1" x14ac:dyDescent="0.2">
      <c r="B170" s="89"/>
      <c r="C170"/>
      <c r="D170"/>
      <c r="E170" s="69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</row>
    <row r="171" spans="2:27" s="25" customFormat="1" ht="15.75" customHeight="1" x14ac:dyDescent="0.2">
      <c r="B171" s="89"/>
      <c r="C171"/>
      <c r="D171"/>
      <c r="E171" s="69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</row>
    <row r="172" spans="2:27" s="25" customFormat="1" ht="15.75" customHeight="1" x14ac:dyDescent="0.2">
      <c r="B172" s="89"/>
      <c r="C172"/>
      <c r="D172"/>
      <c r="E172" s="69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</row>
    <row r="173" spans="2:27" s="25" customFormat="1" ht="15.75" customHeight="1" x14ac:dyDescent="0.2">
      <c r="B173" s="89"/>
      <c r="C173"/>
      <c r="D173"/>
      <c r="E173" s="69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</row>
    <row r="174" spans="2:27" s="25" customFormat="1" ht="15.75" customHeight="1" x14ac:dyDescent="0.2">
      <c r="B174" s="89"/>
      <c r="C174"/>
      <c r="D174"/>
      <c r="E174" s="69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</row>
    <row r="175" spans="2:27" s="25" customFormat="1" ht="15.75" customHeight="1" x14ac:dyDescent="0.2">
      <c r="B175" s="89"/>
      <c r="C175"/>
      <c r="D175"/>
      <c r="E175" s="69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</row>
    <row r="176" spans="2:27" s="25" customFormat="1" ht="15.75" customHeight="1" x14ac:dyDescent="0.2">
      <c r="B176" s="89"/>
      <c r="C176"/>
      <c r="D176"/>
      <c r="E176" s="69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</row>
    <row r="177" spans="2:27" s="25" customFormat="1" ht="15.75" customHeight="1" x14ac:dyDescent="0.2">
      <c r="B177" s="89"/>
      <c r="C177"/>
      <c r="D177"/>
      <c r="E177" s="69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</row>
    <row r="178" spans="2:27" s="25" customFormat="1" ht="15.75" customHeight="1" x14ac:dyDescent="0.2">
      <c r="B178" s="89"/>
      <c r="C178"/>
      <c r="D178"/>
      <c r="E178" s="69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</row>
    <row r="179" spans="2:27" s="25" customFormat="1" ht="15.75" customHeight="1" x14ac:dyDescent="0.2">
      <c r="B179" s="89"/>
      <c r="C179"/>
      <c r="D179"/>
      <c r="E179" s="6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</row>
    <row r="180" spans="2:27" s="25" customFormat="1" ht="15.75" customHeight="1" x14ac:dyDescent="0.2">
      <c r="B180" s="89"/>
      <c r="C180"/>
      <c r="D180"/>
      <c r="E180" s="69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</row>
    <row r="181" spans="2:27" s="25" customFormat="1" ht="15.75" customHeight="1" x14ac:dyDescent="0.2">
      <c r="B181" s="89"/>
      <c r="C181"/>
      <c r="D181"/>
      <c r="E181" s="69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</row>
    <row r="182" spans="2:27" s="25" customFormat="1" ht="15.75" customHeight="1" x14ac:dyDescent="0.2">
      <c r="B182" s="89"/>
      <c r="C182"/>
      <c r="D182"/>
      <c r="E182" s="69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</row>
    <row r="183" spans="2:27" s="25" customFormat="1" ht="15.75" customHeight="1" x14ac:dyDescent="0.2">
      <c r="B183" s="89"/>
      <c r="C183"/>
      <c r="D183"/>
      <c r="E183" s="69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</row>
    <row r="184" spans="2:27" s="25" customFormat="1" ht="15.75" customHeight="1" x14ac:dyDescent="0.2">
      <c r="B184" s="89"/>
      <c r="C184"/>
      <c r="D184"/>
      <c r="E184" s="69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</row>
    <row r="185" spans="2:27" s="25" customFormat="1" ht="15.75" customHeight="1" x14ac:dyDescent="0.2">
      <c r="B185" s="89"/>
      <c r="C185"/>
      <c r="D185"/>
      <c r="E185" s="69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</row>
    <row r="186" spans="2:27" s="25" customFormat="1" ht="15.75" customHeight="1" x14ac:dyDescent="0.2">
      <c r="B186" s="89"/>
      <c r="C186"/>
      <c r="D186"/>
      <c r="E186" s="69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</row>
    <row r="187" spans="2:27" s="25" customFormat="1" ht="15.75" customHeight="1" x14ac:dyDescent="0.2">
      <c r="B187" s="89"/>
      <c r="C187"/>
      <c r="D187"/>
      <c r="E187" s="69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</row>
    <row r="188" spans="2:27" s="25" customFormat="1" ht="15.75" customHeight="1" x14ac:dyDescent="0.2">
      <c r="B188" s="89"/>
      <c r="C188"/>
      <c r="D188"/>
      <c r="E188" s="69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</row>
    <row r="189" spans="2:27" s="25" customFormat="1" ht="15.75" customHeight="1" x14ac:dyDescent="0.2">
      <c r="B189" s="89"/>
      <c r="C189"/>
      <c r="D189"/>
      <c r="E189" s="6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</row>
    <row r="190" spans="2:27" s="25" customFormat="1" ht="15.75" customHeight="1" x14ac:dyDescent="0.2">
      <c r="B190" s="89"/>
      <c r="C190"/>
      <c r="D190"/>
      <c r="E190" s="69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</row>
    <row r="191" spans="2:27" s="25" customFormat="1" ht="15.75" customHeight="1" x14ac:dyDescent="0.2">
      <c r="B191" s="89"/>
      <c r="C191"/>
      <c r="D191"/>
      <c r="E191" s="69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</row>
    <row r="192" spans="2:27" s="25" customFormat="1" ht="15.75" customHeight="1" x14ac:dyDescent="0.2">
      <c r="B192" s="89"/>
      <c r="C192"/>
      <c r="D192"/>
      <c r="E192" s="69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</row>
    <row r="193" spans="2:27" s="25" customFormat="1" ht="15.75" customHeight="1" x14ac:dyDescent="0.2">
      <c r="B193" s="89"/>
      <c r="C193"/>
      <c r="D193"/>
      <c r="E193" s="69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</row>
    <row r="194" spans="2:27" s="25" customFormat="1" ht="15.75" customHeight="1" x14ac:dyDescent="0.2">
      <c r="B194" s="89"/>
      <c r="C194"/>
      <c r="D194"/>
      <c r="E194" s="69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</row>
    <row r="195" spans="2:27" s="25" customFormat="1" ht="15.75" customHeight="1" x14ac:dyDescent="0.2">
      <c r="B195" s="89"/>
      <c r="C195"/>
      <c r="D195"/>
      <c r="E195" s="69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</row>
    <row r="196" spans="2:27" s="25" customFormat="1" ht="15.75" customHeight="1" x14ac:dyDescent="0.2">
      <c r="B196" s="89"/>
      <c r="C196"/>
      <c r="D196"/>
      <c r="E196" s="69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</row>
    <row r="197" spans="2:27" s="25" customFormat="1" ht="15.75" customHeight="1" x14ac:dyDescent="0.2">
      <c r="B197" s="89"/>
      <c r="C197"/>
      <c r="D197"/>
      <c r="E197" s="69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</row>
    <row r="198" spans="2:27" s="25" customFormat="1" ht="15.75" customHeight="1" x14ac:dyDescent="0.2">
      <c r="B198" s="89"/>
      <c r="C198"/>
      <c r="D198"/>
      <c r="E198" s="69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</row>
    <row r="199" spans="2:27" s="25" customFormat="1" ht="15.75" customHeight="1" x14ac:dyDescent="0.2">
      <c r="B199" s="89"/>
      <c r="C199"/>
      <c r="D199"/>
      <c r="E199" s="6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</row>
    <row r="200" spans="2:27" s="25" customFormat="1" ht="15.75" customHeight="1" x14ac:dyDescent="0.2">
      <c r="B200" s="89"/>
      <c r="C200"/>
      <c r="D200"/>
      <c r="E200" s="69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</row>
    <row r="201" spans="2:27" s="25" customFormat="1" ht="15.75" customHeight="1" x14ac:dyDescent="0.2">
      <c r="B201" s="89"/>
      <c r="C201"/>
      <c r="D201"/>
      <c r="E201" s="69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</row>
    <row r="202" spans="2:27" s="25" customFormat="1" ht="15.75" customHeight="1" x14ac:dyDescent="0.2">
      <c r="B202" s="89"/>
      <c r="C202"/>
      <c r="D202"/>
      <c r="E202" s="69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</row>
    <row r="203" spans="2:27" s="25" customFormat="1" ht="15.75" customHeight="1" x14ac:dyDescent="0.2">
      <c r="B203" s="89"/>
      <c r="C203"/>
      <c r="D203"/>
      <c r="E203" s="69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</row>
    <row r="204" spans="2:27" s="25" customFormat="1" ht="15.75" customHeight="1" x14ac:dyDescent="0.2">
      <c r="B204" s="89"/>
      <c r="C204"/>
      <c r="D204"/>
      <c r="E204" s="69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</row>
    <row r="205" spans="2:27" s="25" customFormat="1" ht="15.75" customHeight="1" x14ac:dyDescent="0.2">
      <c r="B205" s="89"/>
      <c r="C205"/>
      <c r="D205"/>
      <c r="E205" s="69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</row>
    <row r="206" spans="2:27" s="25" customFormat="1" ht="15.75" customHeight="1" x14ac:dyDescent="0.2">
      <c r="B206" s="89"/>
      <c r="C206"/>
      <c r="D206"/>
      <c r="E206" s="69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</row>
    <row r="207" spans="2:27" s="25" customFormat="1" ht="15.75" customHeight="1" x14ac:dyDescent="0.2">
      <c r="B207" s="89"/>
      <c r="C207"/>
      <c r="D207"/>
      <c r="E207" s="69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</row>
    <row r="208" spans="2:27" s="25" customFormat="1" ht="15.75" customHeight="1" x14ac:dyDescent="0.2">
      <c r="B208" s="89"/>
      <c r="C208"/>
      <c r="D208"/>
      <c r="E208" s="69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</row>
    <row r="209" spans="2:27" s="25" customFormat="1" ht="15.75" customHeight="1" x14ac:dyDescent="0.2">
      <c r="B209" s="89"/>
      <c r="C209"/>
      <c r="D209"/>
      <c r="E209" s="6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</row>
    <row r="210" spans="2:27" s="25" customFormat="1" ht="15.75" customHeight="1" x14ac:dyDescent="0.2">
      <c r="B210" s="89"/>
      <c r="C210"/>
      <c r="D210"/>
      <c r="E210" s="69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</row>
    <row r="211" spans="2:27" s="25" customFormat="1" ht="15.75" customHeight="1" x14ac:dyDescent="0.2">
      <c r="B211" s="89"/>
      <c r="C211"/>
      <c r="D211"/>
      <c r="E211" s="69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</row>
    <row r="212" spans="2:27" s="25" customFormat="1" ht="15.75" customHeight="1" x14ac:dyDescent="0.2">
      <c r="B212" s="89"/>
      <c r="C212"/>
      <c r="D212"/>
      <c r="E212" s="69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</row>
    <row r="213" spans="2:27" s="25" customFormat="1" ht="15.75" customHeight="1" x14ac:dyDescent="0.2">
      <c r="B213" s="89"/>
      <c r="C213"/>
      <c r="D213"/>
      <c r="E213" s="69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</row>
    <row r="214" spans="2:27" s="25" customFormat="1" ht="15.75" customHeight="1" x14ac:dyDescent="0.2">
      <c r="B214" s="89"/>
      <c r="C214"/>
      <c r="D214"/>
      <c r="E214" s="69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</row>
    <row r="215" spans="2:27" s="25" customFormat="1" ht="15.75" customHeight="1" x14ac:dyDescent="0.2">
      <c r="B215" s="89"/>
      <c r="C215"/>
      <c r="D215"/>
      <c r="E215" s="69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</row>
    <row r="216" spans="2:27" s="25" customFormat="1" ht="15.75" customHeight="1" x14ac:dyDescent="0.2">
      <c r="B216" s="89"/>
      <c r="C216"/>
      <c r="D216"/>
      <c r="E216" s="69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</row>
    <row r="217" spans="2:27" s="25" customFormat="1" ht="15.75" customHeight="1" x14ac:dyDescent="0.2">
      <c r="B217" s="89"/>
      <c r="C217"/>
      <c r="D217"/>
      <c r="E217" s="69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</row>
    <row r="218" spans="2:27" s="25" customFormat="1" ht="15.75" customHeight="1" x14ac:dyDescent="0.2">
      <c r="B218" s="89"/>
      <c r="C218"/>
      <c r="D218"/>
      <c r="E218" s="69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</row>
    <row r="219" spans="2:27" s="25" customFormat="1" ht="15.75" customHeight="1" x14ac:dyDescent="0.2">
      <c r="B219" s="89"/>
      <c r="C219"/>
      <c r="D219"/>
      <c r="E219" s="6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</row>
    <row r="220" spans="2:27" s="25" customFormat="1" ht="15.75" customHeight="1" x14ac:dyDescent="0.2">
      <c r="B220" s="89"/>
      <c r="C220"/>
      <c r="D220"/>
      <c r="E220" s="69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</row>
    <row r="221" spans="2:27" s="25" customFormat="1" ht="15.75" customHeight="1" x14ac:dyDescent="0.2">
      <c r="B221" s="89"/>
      <c r="C221"/>
      <c r="D221"/>
      <c r="E221" s="69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</row>
    <row r="222" spans="2:27" s="25" customFormat="1" ht="15.75" customHeight="1" x14ac:dyDescent="0.2">
      <c r="B222" s="89"/>
      <c r="C222"/>
      <c r="D222"/>
      <c r="E222" s="69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</row>
    <row r="223" spans="2:27" s="25" customFormat="1" ht="15.75" customHeight="1" x14ac:dyDescent="0.2">
      <c r="B223" s="89"/>
      <c r="C223"/>
      <c r="D223"/>
      <c r="E223" s="69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</row>
    <row r="224" spans="2:27" s="25" customFormat="1" ht="15.75" customHeight="1" x14ac:dyDescent="0.2">
      <c r="B224" s="89"/>
      <c r="C224"/>
      <c r="D224"/>
      <c r="E224" s="69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</row>
    <row r="225" spans="2:27" s="25" customFormat="1" ht="15.75" customHeight="1" x14ac:dyDescent="0.2">
      <c r="B225" s="89"/>
      <c r="C225"/>
      <c r="D225"/>
      <c r="E225" s="69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</row>
    <row r="226" spans="2:27" s="25" customFormat="1" ht="15.75" customHeight="1" x14ac:dyDescent="0.2">
      <c r="B226" s="89"/>
      <c r="C226"/>
      <c r="D226"/>
      <c r="E226" s="69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</row>
    <row r="227" spans="2:27" s="25" customFormat="1" ht="15.75" customHeight="1" x14ac:dyDescent="0.2">
      <c r="B227" s="89"/>
      <c r="C227"/>
      <c r="D227"/>
      <c r="E227" s="69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</row>
    <row r="228" spans="2:27" s="25" customFormat="1" ht="15.75" customHeight="1" x14ac:dyDescent="0.2">
      <c r="B228" s="89"/>
      <c r="C228"/>
      <c r="D228"/>
      <c r="E228" s="69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</row>
    <row r="229" spans="2:27" s="25" customFormat="1" ht="15.75" customHeight="1" x14ac:dyDescent="0.2">
      <c r="B229" s="89"/>
      <c r="C229"/>
      <c r="D229"/>
      <c r="E229" s="6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</row>
    <row r="230" spans="2:27" s="25" customFormat="1" ht="15.75" customHeight="1" x14ac:dyDescent="0.2">
      <c r="B230" s="89"/>
      <c r="C230"/>
      <c r="D230"/>
      <c r="E230" s="69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</row>
    <row r="231" spans="2:27" s="25" customFormat="1" ht="15.75" customHeight="1" x14ac:dyDescent="0.2">
      <c r="B231" s="89"/>
      <c r="C231"/>
      <c r="D231"/>
      <c r="E231" s="69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</row>
    <row r="232" spans="2:27" s="25" customFormat="1" ht="15.75" customHeight="1" x14ac:dyDescent="0.2">
      <c r="B232" s="89"/>
      <c r="C232"/>
      <c r="D232"/>
      <c r="E232" s="69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</row>
    <row r="233" spans="2:27" s="25" customFormat="1" ht="15.75" customHeight="1" x14ac:dyDescent="0.2">
      <c r="B233" s="89"/>
      <c r="C233"/>
      <c r="D233"/>
      <c r="E233" s="69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</row>
    <row r="234" spans="2:27" s="25" customFormat="1" ht="15.75" customHeight="1" x14ac:dyDescent="0.2">
      <c r="B234" s="89"/>
      <c r="C234"/>
      <c r="D234"/>
      <c r="E234" s="69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</row>
    <row r="235" spans="2:27" s="25" customFormat="1" ht="15.75" customHeight="1" x14ac:dyDescent="0.2">
      <c r="B235" s="89"/>
      <c r="C235"/>
      <c r="D235"/>
      <c r="E235" s="69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</row>
    <row r="236" spans="2:27" s="25" customFormat="1" ht="15.75" customHeight="1" x14ac:dyDescent="0.2">
      <c r="B236" s="89"/>
      <c r="C236"/>
      <c r="D236"/>
      <c r="E236" s="69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</row>
    <row r="237" spans="2:27" s="25" customFormat="1" ht="15.75" customHeight="1" x14ac:dyDescent="0.2">
      <c r="B237" s="89"/>
      <c r="C237"/>
      <c r="D237"/>
      <c r="E237" s="69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</row>
    <row r="238" spans="2:27" s="25" customFormat="1" ht="15.75" customHeight="1" x14ac:dyDescent="0.2">
      <c r="B238" s="89"/>
      <c r="C238"/>
      <c r="D238"/>
      <c r="E238" s="69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</row>
    <row r="239" spans="2:27" s="25" customFormat="1" ht="15.75" customHeight="1" x14ac:dyDescent="0.2">
      <c r="B239" s="89"/>
      <c r="C239"/>
      <c r="D239"/>
      <c r="E239" s="6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</row>
    <row r="240" spans="2:27" s="25" customFormat="1" ht="15.75" customHeight="1" x14ac:dyDescent="0.2">
      <c r="B240" s="89"/>
      <c r="C240"/>
      <c r="D240"/>
      <c r="E240" s="69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</row>
    <row r="241" spans="2:27" s="25" customFormat="1" ht="15.75" customHeight="1" x14ac:dyDescent="0.2">
      <c r="B241" s="89"/>
      <c r="C241"/>
      <c r="D241"/>
      <c r="E241" s="69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</row>
    <row r="242" spans="2:27" s="25" customFormat="1" ht="15.75" customHeight="1" x14ac:dyDescent="0.2">
      <c r="B242" s="89"/>
      <c r="C242"/>
      <c r="D242"/>
      <c r="E242" s="69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</row>
    <row r="243" spans="2:27" s="25" customFormat="1" ht="15.75" customHeight="1" x14ac:dyDescent="0.2">
      <c r="B243" s="89"/>
      <c r="C243"/>
      <c r="D243"/>
      <c r="E243" s="69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</row>
    <row r="244" spans="2:27" s="25" customFormat="1" ht="15.75" customHeight="1" x14ac:dyDescent="0.2">
      <c r="B244" s="89"/>
      <c r="C244"/>
      <c r="D244"/>
      <c r="E244" s="69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</row>
    <row r="245" spans="2:27" s="25" customFormat="1" ht="15.75" customHeight="1" x14ac:dyDescent="0.2">
      <c r="B245" s="89"/>
      <c r="C245"/>
      <c r="D245"/>
      <c r="E245" s="69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</row>
    <row r="246" spans="2:27" s="25" customFormat="1" ht="15.75" customHeight="1" x14ac:dyDescent="0.2">
      <c r="B246" s="89"/>
      <c r="C246"/>
      <c r="D246"/>
      <c r="E246" s="69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</row>
    <row r="247" spans="2:27" s="25" customFormat="1" ht="15.75" customHeight="1" x14ac:dyDescent="0.2">
      <c r="B247" s="89"/>
      <c r="C247"/>
      <c r="D247"/>
      <c r="E247" s="69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</row>
    <row r="248" spans="2:27" s="25" customFormat="1" ht="15.75" customHeight="1" x14ac:dyDescent="0.2">
      <c r="B248" s="89"/>
      <c r="C248"/>
      <c r="D248"/>
      <c r="E248" s="69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</row>
    <row r="249" spans="2:27" s="25" customFormat="1" ht="15.75" customHeight="1" x14ac:dyDescent="0.2">
      <c r="B249" s="89"/>
      <c r="C249"/>
      <c r="D249"/>
      <c r="E249" s="6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</row>
    <row r="250" spans="2:27" s="25" customFormat="1" ht="15.75" customHeight="1" x14ac:dyDescent="0.2">
      <c r="B250" s="89"/>
      <c r="C250"/>
      <c r="D250"/>
      <c r="E250" s="69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</row>
    <row r="251" spans="2:27" s="25" customFormat="1" ht="15.75" customHeight="1" x14ac:dyDescent="0.2">
      <c r="B251" s="89"/>
      <c r="C251"/>
      <c r="D251"/>
      <c r="E251" s="69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</row>
    <row r="252" spans="2:27" s="25" customFormat="1" ht="15.75" customHeight="1" x14ac:dyDescent="0.2">
      <c r="B252" s="89"/>
      <c r="C252"/>
      <c r="D252"/>
      <c r="E252" s="69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</row>
    <row r="253" spans="2:27" s="25" customFormat="1" ht="15.75" customHeight="1" x14ac:dyDescent="0.2">
      <c r="B253" s="89"/>
      <c r="C253"/>
      <c r="D253"/>
      <c r="E253" s="69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</row>
    <row r="254" spans="2:27" s="25" customFormat="1" ht="15.75" customHeight="1" x14ac:dyDescent="0.2">
      <c r="B254" s="89"/>
      <c r="C254"/>
      <c r="D254"/>
      <c r="E254" s="69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</row>
    <row r="255" spans="2:27" s="25" customFormat="1" ht="15.75" customHeight="1" x14ac:dyDescent="0.2">
      <c r="B255" s="89"/>
      <c r="C255"/>
      <c r="D255"/>
      <c r="E255" s="69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</row>
    <row r="256" spans="2:27" s="25" customFormat="1" ht="15.75" customHeight="1" x14ac:dyDescent="0.2">
      <c r="B256" s="89"/>
      <c r="C256"/>
      <c r="D256"/>
      <c r="E256" s="69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</row>
    <row r="257" spans="2:27" s="25" customFormat="1" ht="15.75" customHeight="1" x14ac:dyDescent="0.2">
      <c r="B257" s="89"/>
      <c r="C257"/>
      <c r="D257"/>
      <c r="E257" s="69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</row>
    <row r="258" spans="2:27" s="25" customFormat="1" ht="15.75" customHeight="1" x14ac:dyDescent="0.2">
      <c r="B258" s="89"/>
      <c r="C258"/>
      <c r="D258"/>
      <c r="E258" s="69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</row>
    <row r="259" spans="2:27" s="25" customFormat="1" ht="15.75" customHeight="1" x14ac:dyDescent="0.2">
      <c r="B259" s="89"/>
      <c r="C259"/>
      <c r="D259"/>
      <c r="E259" s="6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</row>
    <row r="260" spans="2:27" s="25" customFormat="1" ht="15.75" customHeight="1" x14ac:dyDescent="0.2">
      <c r="B260" s="89"/>
      <c r="C260"/>
      <c r="D260"/>
      <c r="E260" s="69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</row>
    <row r="261" spans="2:27" s="25" customFormat="1" ht="15.75" customHeight="1" x14ac:dyDescent="0.2">
      <c r="B261" s="89"/>
      <c r="C261"/>
      <c r="D261"/>
      <c r="E261" s="69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</row>
    <row r="262" spans="2:27" s="25" customFormat="1" ht="15.75" customHeight="1" x14ac:dyDescent="0.2">
      <c r="B262" s="89"/>
      <c r="C262"/>
      <c r="D262"/>
      <c r="E262" s="69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</row>
    <row r="263" spans="2:27" s="25" customFormat="1" ht="15.75" customHeight="1" x14ac:dyDescent="0.2">
      <c r="B263" s="89"/>
      <c r="C263"/>
      <c r="D263"/>
      <c r="E263" s="69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</row>
    <row r="264" spans="2:27" s="25" customFormat="1" ht="15.75" customHeight="1" x14ac:dyDescent="0.2">
      <c r="B264" s="89"/>
      <c r="C264"/>
      <c r="D264"/>
      <c r="E264" s="69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</row>
    <row r="265" spans="2:27" s="25" customFormat="1" ht="15.75" customHeight="1" x14ac:dyDescent="0.2">
      <c r="B265" s="89"/>
      <c r="C265"/>
      <c r="D265"/>
      <c r="E265" s="69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</row>
    <row r="266" spans="2:27" s="25" customFormat="1" ht="15.75" customHeight="1" x14ac:dyDescent="0.2">
      <c r="B266" s="89"/>
      <c r="C266"/>
      <c r="D266"/>
      <c r="E266" s="69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</row>
    <row r="267" spans="2:27" s="25" customFormat="1" ht="15.75" customHeight="1" x14ac:dyDescent="0.2">
      <c r="B267" s="89"/>
      <c r="C267"/>
      <c r="D267"/>
      <c r="E267" s="69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</row>
    <row r="268" spans="2:27" s="25" customFormat="1" ht="15.75" customHeight="1" x14ac:dyDescent="0.2">
      <c r="B268" s="89"/>
      <c r="C268"/>
      <c r="D268"/>
      <c r="E268" s="69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</row>
    <row r="269" spans="2:27" s="25" customFormat="1" ht="15.75" customHeight="1" x14ac:dyDescent="0.2">
      <c r="B269" s="89"/>
      <c r="C269"/>
      <c r="D269"/>
      <c r="E269" s="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</row>
    <row r="270" spans="2:27" s="25" customFormat="1" ht="15.75" customHeight="1" x14ac:dyDescent="0.2">
      <c r="B270" s="89"/>
      <c r="C270"/>
      <c r="D270"/>
      <c r="E270" s="69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</row>
    <row r="271" spans="2:27" s="25" customFormat="1" ht="15.75" customHeight="1" x14ac:dyDescent="0.2">
      <c r="B271" s="89"/>
      <c r="C271"/>
      <c r="D271"/>
      <c r="E271" s="69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</row>
    <row r="272" spans="2:27" s="25" customFormat="1" ht="15.75" customHeight="1" x14ac:dyDescent="0.2">
      <c r="B272" s="89"/>
      <c r="C272"/>
      <c r="D272"/>
      <c r="E272" s="69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</row>
    <row r="273" spans="2:27" s="25" customFormat="1" ht="15.75" customHeight="1" x14ac:dyDescent="0.2">
      <c r="B273" s="89"/>
      <c r="C273"/>
      <c r="D273"/>
      <c r="E273" s="69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</row>
    <row r="274" spans="2:27" s="25" customFormat="1" ht="15.75" customHeight="1" x14ac:dyDescent="0.2">
      <c r="B274" s="89"/>
      <c r="C274"/>
      <c r="D274"/>
      <c r="E274" s="69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</row>
    <row r="275" spans="2:27" s="25" customFormat="1" ht="15.75" customHeight="1" x14ac:dyDescent="0.2">
      <c r="B275" s="89"/>
      <c r="C275"/>
      <c r="D275"/>
      <c r="E275" s="69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</row>
    <row r="276" spans="2:27" s="25" customFormat="1" ht="15.75" customHeight="1" x14ac:dyDescent="0.2">
      <c r="B276" s="89"/>
      <c r="C276"/>
      <c r="D276"/>
      <c r="E276" s="69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</row>
    <row r="277" spans="2:27" s="25" customFormat="1" ht="15.75" customHeight="1" x14ac:dyDescent="0.2">
      <c r="B277" s="89"/>
      <c r="C277"/>
      <c r="D277"/>
      <c r="E277" s="69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</row>
    <row r="278" spans="2:27" s="25" customFormat="1" ht="15.75" customHeight="1" x14ac:dyDescent="0.2">
      <c r="B278" s="89"/>
      <c r="C278"/>
      <c r="D278"/>
      <c r="E278" s="69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</row>
    <row r="279" spans="2:27" s="25" customFormat="1" ht="15.75" customHeight="1" x14ac:dyDescent="0.2">
      <c r="B279" s="89"/>
      <c r="C279"/>
      <c r="D279"/>
      <c r="E279" s="6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</row>
    <row r="280" spans="2:27" s="25" customFormat="1" ht="15.75" customHeight="1" x14ac:dyDescent="0.2">
      <c r="B280" s="89"/>
      <c r="C280"/>
      <c r="D280"/>
      <c r="E280" s="69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</row>
    <row r="281" spans="2:27" s="25" customFormat="1" ht="15.75" customHeight="1" x14ac:dyDescent="0.2">
      <c r="B281" s="89"/>
      <c r="C281"/>
      <c r="D281"/>
      <c r="E281" s="69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</row>
    <row r="282" spans="2:27" s="25" customFormat="1" ht="15.75" customHeight="1" x14ac:dyDescent="0.2">
      <c r="B282" s="89"/>
      <c r="C282"/>
      <c r="D282"/>
      <c r="E282" s="69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</row>
    <row r="283" spans="2:27" s="25" customFormat="1" ht="15.75" customHeight="1" x14ac:dyDescent="0.2">
      <c r="B283" s="89"/>
      <c r="C283"/>
      <c r="D283"/>
      <c r="E283" s="69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</row>
    <row r="284" spans="2:27" s="25" customFormat="1" ht="15.75" customHeight="1" x14ac:dyDescent="0.2">
      <c r="B284" s="89"/>
      <c r="C284"/>
      <c r="D284"/>
      <c r="E284" s="69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</row>
    <row r="285" spans="2:27" s="25" customFormat="1" ht="15.75" customHeight="1" x14ac:dyDescent="0.2">
      <c r="B285" s="89"/>
      <c r="C285"/>
      <c r="D285"/>
      <c r="E285" s="69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</row>
    <row r="286" spans="2:27" s="25" customFormat="1" ht="15.75" customHeight="1" x14ac:dyDescent="0.2">
      <c r="B286" s="89"/>
      <c r="C286"/>
      <c r="D286"/>
      <c r="E286" s="69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</row>
    <row r="287" spans="2:27" s="25" customFormat="1" ht="15.75" customHeight="1" x14ac:dyDescent="0.2">
      <c r="B287" s="89"/>
      <c r="C287"/>
      <c r="D287"/>
      <c r="E287" s="69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</row>
    <row r="288" spans="2:27" s="25" customFormat="1" ht="15.75" customHeight="1" x14ac:dyDescent="0.2">
      <c r="B288" s="89"/>
      <c r="C288"/>
      <c r="D288"/>
      <c r="E288" s="69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</row>
    <row r="289" spans="2:27" s="25" customFormat="1" ht="15.75" customHeight="1" x14ac:dyDescent="0.2">
      <c r="B289" s="89"/>
      <c r="C289"/>
      <c r="D289"/>
      <c r="E289" s="6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</row>
    <row r="290" spans="2:27" s="25" customFormat="1" ht="15.75" customHeight="1" x14ac:dyDescent="0.2">
      <c r="B290" s="89"/>
      <c r="C290"/>
      <c r="D290"/>
      <c r="E290" s="69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</row>
    <row r="291" spans="2:27" s="25" customFormat="1" ht="15.75" customHeight="1" x14ac:dyDescent="0.2">
      <c r="B291" s="89"/>
      <c r="C291"/>
      <c r="D291"/>
      <c r="E291" s="69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</row>
    <row r="292" spans="2:27" s="25" customFormat="1" ht="15.75" customHeight="1" x14ac:dyDescent="0.2">
      <c r="B292" s="89"/>
      <c r="C292"/>
      <c r="D292"/>
      <c r="E292" s="69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</row>
    <row r="293" spans="2:27" s="25" customFormat="1" ht="15.75" customHeight="1" x14ac:dyDescent="0.2">
      <c r="B293" s="89"/>
      <c r="C293"/>
      <c r="D293"/>
      <c r="E293" s="69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</row>
    <row r="294" spans="2:27" s="25" customFormat="1" ht="15.75" customHeight="1" x14ac:dyDescent="0.2">
      <c r="B294" s="89"/>
      <c r="C294"/>
      <c r="D294"/>
      <c r="E294" s="69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</row>
    <row r="295" spans="2:27" s="25" customFormat="1" ht="15.75" customHeight="1" x14ac:dyDescent="0.2">
      <c r="B295" s="89"/>
      <c r="C295"/>
      <c r="D295"/>
      <c r="E295" s="69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</row>
    <row r="296" spans="2:27" s="25" customFormat="1" ht="15.75" customHeight="1" x14ac:dyDescent="0.2">
      <c r="B296" s="89"/>
      <c r="C296"/>
      <c r="D296"/>
      <c r="E296" s="69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</row>
    <row r="297" spans="2:27" s="25" customFormat="1" ht="15.75" customHeight="1" x14ac:dyDescent="0.2">
      <c r="B297" s="89"/>
      <c r="C297"/>
      <c r="D297"/>
      <c r="E297" s="69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</row>
    <row r="298" spans="2:27" s="25" customFormat="1" ht="15.75" customHeight="1" x14ac:dyDescent="0.2">
      <c r="B298" s="89"/>
      <c r="C298"/>
      <c r="D298"/>
      <c r="E298" s="69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</row>
    <row r="299" spans="2:27" s="25" customFormat="1" ht="15.75" customHeight="1" x14ac:dyDescent="0.2">
      <c r="B299" s="89"/>
      <c r="C299"/>
      <c r="D299"/>
      <c r="E299" s="6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</row>
    <row r="300" spans="2:27" s="25" customFormat="1" ht="15.75" customHeight="1" x14ac:dyDescent="0.2">
      <c r="B300" s="89"/>
      <c r="C300"/>
      <c r="D300"/>
      <c r="E300" s="69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</row>
    <row r="301" spans="2:27" s="25" customFormat="1" ht="15.75" customHeight="1" x14ac:dyDescent="0.2">
      <c r="B301" s="89"/>
      <c r="C301"/>
      <c r="D301"/>
      <c r="E301" s="69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</row>
    <row r="302" spans="2:27" s="25" customFormat="1" ht="15.75" customHeight="1" x14ac:dyDescent="0.2">
      <c r="B302" s="89"/>
      <c r="C302"/>
      <c r="D302"/>
      <c r="E302" s="69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</row>
    <row r="303" spans="2:27" s="25" customFormat="1" ht="15.75" customHeight="1" x14ac:dyDescent="0.2">
      <c r="B303" s="89"/>
      <c r="C303"/>
      <c r="D303"/>
      <c r="E303" s="69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</row>
    <row r="304" spans="2:27" s="25" customFormat="1" ht="15.75" customHeight="1" x14ac:dyDescent="0.2">
      <c r="B304" s="89"/>
      <c r="C304"/>
      <c r="D304"/>
      <c r="E304" s="69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</row>
    <row r="305" spans="2:27" s="25" customFormat="1" ht="15.75" customHeight="1" x14ac:dyDescent="0.2">
      <c r="B305" s="89"/>
      <c r="C305"/>
      <c r="D305"/>
      <c r="E305" s="69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</row>
    <row r="306" spans="2:27" s="25" customFormat="1" ht="15.75" customHeight="1" x14ac:dyDescent="0.2">
      <c r="B306" s="89"/>
      <c r="C306"/>
      <c r="D306"/>
      <c r="E306" s="69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</row>
    <row r="307" spans="2:27" s="25" customFormat="1" ht="15.75" customHeight="1" x14ac:dyDescent="0.2">
      <c r="B307" s="89"/>
      <c r="C307"/>
      <c r="D307"/>
      <c r="E307" s="69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</row>
    <row r="308" spans="2:27" s="25" customFormat="1" ht="15.75" customHeight="1" x14ac:dyDescent="0.2">
      <c r="B308" s="89"/>
      <c r="C308"/>
      <c r="D308"/>
      <c r="E308" s="69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</row>
    <row r="309" spans="2:27" s="25" customFormat="1" ht="15.75" customHeight="1" x14ac:dyDescent="0.2">
      <c r="B309" s="89"/>
      <c r="C309"/>
      <c r="D309"/>
      <c r="E309" s="6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</row>
    <row r="310" spans="2:27" s="25" customFormat="1" ht="15.75" customHeight="1" x14ac:dyDescent="0.2">
      <c r="B310" s="89"/>
      <c r="C310"/>
      <c r="D310"/>
      <c r="E310" s="69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</row>
    <row r="311" spans="2:27" s="25" customFormat="1" ht="15.75" customHeight="1" x14ac:dyDescent="0.2">
      <c r="B311" s="89"/>
      <c r="C311"/>
      <c r="D311"/>
      <c r="E311" s="69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</row>
    <row r="312" spans="2:27" s="25" customFormat="1" ht="15.75" customHeight="1" x14ac:dyDescent="0.2">
      <c r="B312" s="89"/>
      <c r="C312"/>
      <c r="D312"/>
      <c r="E312" s="69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</row>
    <row r="313" spans="2:27" s="25" customFormat="1" ht="15.75" customHeight="1" x14ac:dyDescent="0.2">
      <c r="B313" s="89"/>
      <c r="C313"/>
      <c r="D313"/>
      <c r="E313" s="69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</row>
    <row r="314" spans="2:27" s="25" customFormat="1" ht="15.75" customHeight="1" x14ac:dyDescent="0.2">
      <c r="B314" s="89"/>
      <c r="C314"/>
      <c r="D314"/>
      <c r="E314" s="69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</row>
    <row r="315" spans="2:27" s="25" customFormat="1" ht="15.75" customHeight="1" x14ac:dyDescent="0.2">
      <c r="B315" s="89"/>
      <c r="C315"/>
      <c r="D315"/>
      <c r="E315" s="69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</row>
    <row r="316" spans="2:27" s="25" customFormat="1" ht="15.75" customHeight="1" x14ac:dyDescent="0.2">
      <c r="B316" s="89"/>
      <c r="C316"/>
      <c r="D316"/>
      <c r="E316" s="69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</row>
    <row r="317" spans="2:27" s="25" customFormat="1" ht="15.75" customHeight="1" x14ac:dyDescent="0.2">
      <c r="B317" s="89"/>
      <c r="C317"/>
      <c r="D317"/>
      <c r="E317" s="69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</row>
    <row r="318" spans="2:27" s="25" customFormat="1" ht="15.75" customHeight="1" x14ac:dyDescent="0.2">
      <c r="B318" s="89"/>
      <c r="C318"/>
      <c r="D318"/>
      <c r="E318" s="69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</row>
    <row r="319" spans="2:27" s="25" customFormat="1" ht="15.75" customHeight="1" x14ac:dyDescent="0.2">
      <c r="B319" s="89"/>
      <c r="C319"/>
      <c r="D319"/>
      <c r="E319" s="6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</row>
    <row r="320" spans="2:27" s="25" customFormat="1" ht="15.75" customHeight="1" x14ac:dyDescent="0.2">
      <c r="B320" s="89"/>
      <c r="C320"/>
      <c r="D320"/>
      <c r="E320" s="69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</row>
    <row r="321" spans="2:27" s="25" customFormat="1" ht="15.75" customHeight="1" x14ac:dyDescent="0.2">
      <c r="B321" s="89"/>
      <c r="C321"/>
      <c r="D321"/>
      <c r="E321" s="69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</row>
    <row r="322" spans="2:27" s="25" customFormat="1" ht="15.75" customHeight="1" x14ac:dyDescent="0.2">
      <c r="B322" s="89"/>
      <c r="C322"/>
      <c r="D322"/>
      <c r="E322" s="69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</row>
    <row r="323" spans="2:27" s="25" customFormat="1" ht="15.75" customHeight="1" x14ac:dyDescent="0.2">
      <c r="B323" s="89"/>
      <c r="C323"/>
      <c r="D323"/>
      <c r="E323" s="69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</row>
    <row r="324" spans="2:27" s="25" customFormat="1" ht="15.75" customHeight="1" x14ac:dyDescent="0.2">
      <c r="B324" s="89"/>
      <c r="C324"/>
      <c r="D324"/>
      <c r="E324" s="69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</row>
    <row r="325" spans="2:27" s="25" customFormat="1" ht="15.75" customHeight="1" x14ac:dyDescent="0.2">
      <c r="B325" s="89"/>
      <c r="C325"/>
      <c r="D325"/>
      <c r="E325" s="69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</row>
    <row r="326" spans="2:27" s="25" customFormat="1" ht="15.75" customHeight="1" x14ac:dyDescent="0.2">
      <c r="B326" s="89"/>
      <c r="C326"/>
      <c r="D326"/>
      <c r="E326" s="69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</row>
    <row r="327" spans="2:27" s="25" customFormat="1" ht="15.75" customHeight="1" x14ac:dyDescent="0.2">
      <c r="B327" s="89"/>
      <c r="C327"/>
      <c r="D327"/>
      <c r="E327" s="69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</row>
    <row r="328" spans="2:27" s="25" customFormat="1" ht="15.75" customHeight="1" x14ac:dyDescent="0.2">
      <c r="B328" s="89"/>
      <c r="C328"/>
      <c r="D328"/>
      <c r="E328" s="69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</row>
    <row r="329" spans="2:27" s="25" customFormat="1" ht="15.75" customHeight="1" x14ac:dyDescent="0.2">
      <c r="B329" s="89"/>
      <c r="C329"/>
      <c r="D329"/>
      <c r="E329" s="6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</row>
    <row r="330" spans="2:27" s="25" customFormat="1" ht="15.75" customHeight="1" x14ac:dyDescent="0.2">
      <c r="B330" s="89"/>
      <c r="C330"/>
      <c r="D330"/>
      <c r="E330" s="69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</row>
    <row r="331" spans="2:27" s="25" customFormat="1" ht="15.75" customHeight="1" x14ac:dyDescent="0.2">
      <c r="B331" s="89"/>
      <c r="C331"/>
      <c r="D331"/>
      <c r="E331" s="69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</row>
    <row r="332" spans="2:27" s="25" customFormat="1" ht="15.75" customHeight="1" x14ac:dyDescent="0.2">
      <c r="B332" s="89"/>
      <c r="C332"/>
      <c r="D332"/>
      <c r="E332" s="69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</row>
    <row r="333" spans="2:27" s="25" customFormat="1" ht="15.75" customHeight="1" x14ac:dyDescent="0.2">
      <c r="B333" s="89"/>
      <c r="C333"/>
      <c r="D333"/>
      <c r="E333" s="69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</row>
    <row r="334" spans="2:27" s="25" customFormat="1" ht="15.75" customHeight="1" x14ac:dyDescent="0.2">
      <c r="B334" s="89"/>
      <c r="C334"/>
      <c r="D334"/>
      <c r="E334" s="69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</row>
    <row r="335" spans="2:27" s="25" customFormat="1" ht="15.75" customHeight="1" x14ac:dyDescent="0.2">
      <c r="B335" s="89"/>
      <c r="C335"/>
      <c r="D335"/>
      <c r="E335" s="69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</row>
    <row r="336" spans="2:27" s="25" customFormat="1" ht="15.75" customHeight="1" x14ac:dyDescent="0.2">
      <c r="B336" s="89"/>
      <c r="C336"/>
      <c r="D336"/>
      <c r="E336" s="69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</row>
    <row r="337" spans="2:27" s="25" customFormat="1" ht="15.75" customHeight="1" x14ac:dyDescent="0.2">
      <c r="B337" s="89"/>
      <c r="C337"/>
      <c r="D337"/>
      <c r="E337" s="69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</row>
    <row r="338" spans="2:27" s="25" customFormat="1" ht="15.75" customHeight="1" x14ac:dyDescent="0.2">
      <c r="B338" s="89"/>
      <c r="C338"/>
      <c r="D338"/>
      <c r="E338" s="69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</row>
    <row r="339" spans="2:27" s="25" customFormat="1" ht="15.75" customHeight="1" x14ac:dyDescent="0.2">
      <c r="B339" s="89"/>
      <c r="C339"/>
      <c r="D339"/>
      <c r="E339" s="6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</row>
    <row r="340" spans="2:27" s="25" customFormat="1" ht="15.75" customHeight="1" x14ac:dyDescent="0.2">
      <c r="B340" s="89"/>
      <c r="C340"/>
      <c r="D340"/>
      <c r="E340" s="69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</row>
    <row r="341" spans="2:27" s="25" customFormat="1" ht="15.75" customHeight="1" x14ac:dyDescent="0.2">
      <c r="B341" s="89"/>
      <c r="C341"/>
      <c r="D341"/>
      <c r="E341" s="69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</row>
    <row r="342" spans="2:27" s="25" customFormat="1" ht="15.75" customHeight="1" x14ac:dyDescent="0.2">
      <c r="B342" s="89"/>
      <c r="C342"/>
      <c r="D342"/>
      <c r="E342" s="69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</row>
    <row r="343" spans="2:27" s="25" customFormat="1" ht="15.75" customHeight="1" x14ac:dyDescent="0.2">
      <c r="B343" s="89"/>
      <c r="C343"/>
      <c r="D343"/>
      <c r="E343" s="69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</row>
    <row r="344" spans="2:27" s="25" customFormat="1" ht="15.75" customHeight="1" x14ac:dyDescent="0.2">
      <c r="B344" s="89"/>
      <c r="C344"/>
      <c r="D344"/>
      <c r="E344" s="69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</row>
    <row r="345" spans="2:27" s="25" customFormat="1" ht="15.75" customHeight="1" x14ac:dyDescent="0.2">
      <c r="B345" s="89"/>
      <c r="C345"/>
      <c r="D345"/>
      <c r="E345" s="69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</row>
    <row r="346" spans="2:27" s="25" customFormat="1" ht="15.75" customHeight="1" x14ac:dyDescent="0.2">
      <c r="B346" s="89"/>
      <c r="C346"/>
      <c r="D346"/>
      <c r="E346" s="69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</row>
    <row r="347" spans="2:27" s="25" customFormat="1" ht="15.75" customHeight="1" x14ac:dyDescent="0.2">
      <c r="B347" s="89"/>
      <c r="C347"/>
      <c r="D347"/>
      <c r="E347" s="69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</row>
    <row r="348" spans="2:27" s="25" customFormat="1" ht="15.75" customHeight="1" x14ac:dyDescent="0.2">
      <c r="B348" s="89"/>
      <c r="C348"/>
      <c r="D348"/>
      <c r="E348" s="69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</row>
    <row r="349" spans="2:27" s="25" customFormat="1" ht="15.75" customHeight="1" x14ac:dyDescent="0.2">
      <c r="B349" s="89"/>
      <c r="C349"/>
      <c r="D349"/>
      <c r="E349" s="6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</row>
    <row r="350" spans="2:27" s="25" customFormat="1" ht="15.75" customHeight="1" x14ac:dyDescent="0.2">
      <c r="B350" s="89"/>
      <c r="C350"/>
      <c r="D350"/>
      <c r="E350" s="69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</row>
    <row r="351" spans="2:27" s="25" customFormat="1" ht="15.75" customHeight="1" x14ac:dyDescent="0.2">
      <c r="B351" s="89"/>
      <c r="C351"/>
      <c r="D351"/>
      <c r="E351" s="69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</row>
    <row r="352" spans="2:27" s="25" customFormat="1" ht="15.75" customHeight="1" x14ac:dyDescent="0.2">
      <c r="B352" s="89"/>
      <c r="C352"/>
      <c r="D352"/>
      <c r="E352" s="69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</row>
    <row r="353" spans="2:27" s="25" customFormat="1" ht="15.75" customHeight="1" x14ac:dyDescent="0.2">
      <c r="B353" s="89"/>
      <c r="C353"/>
      <c r="D353"/>
      <c r="E353" s="69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</row>
    <row r="354" spans="2:27" s="25" customFormat="1" ht="15.75" customHeight="1" x14ac:dyDescent="0.2">
      <c r="B354" s="89"/>
      <c r="C354"/>
      <c r="D354"/>
      <c r="E354" s="69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  <c r="AA354"/>
    </row>
    <row r="355" spans="2:27" s="25" customFormat="1" ht="15.75" customHeight="1" x14ac:dyDescent="0.2">
      <c r="B355" s="89"/>
      <c r="C355"/>
      <c r="D355"/>
      <c r="E355" s="69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</row>
    <row r="356" spans="2:27" s="25" customFormat="1" ht="15.75" customHeight="1" x14ac:dyDescent="0.2">
      <c r="B356" s="89"/>
      <c r="C356"/>
      <c r="D356"/>
      <c r="E356" s="69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</row>
    <row r="357" spans="2:27" s="25" customFormat="1" ht="15.75" customHeight="1" x14ac:dyDescent="0.2">
      <c r="B357" s="89"/>
      <c r="C357"/>
      <c r="D357"/>
      <c r="E357" s="69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</row>
    <row r="358" spans="2:27" s="25" customFormat="1" ht="15.75" customHeight="1" x14ac:dyDescent="0.2">
      <c r="B358" s="89"/>
      <c r="C358"/>
      <c r="D358"/>
      <c r="E358" s="69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</row>
    <row r="359" spans="2:27" s="25" customFormat="1" ht="15.75" customHeight="1" x14ac:dyDescent="0.2">
      <c r="B359" s="89"/>
      <c r="C359"/>
      <c r="D359"/>
      <c r="E359" s="6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</row>
    <row r="360" spans="2:27" s="25" customFormat="1" ht="15.75" customHeight="1" x14ac:dyDescent="0.2">
      <c r="B360" s="89"/>
      <c r="C360"/>
      <c r="D360"/>
      <c r="E360" s="69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</row>
    <row r="361" spans="2:27" s="25" customFormat="1" ht="15.75" customHeight="1" x14ac:dyDescent="0.2">
      <c r="B361" s="89"/>
      <c r="C361"/>
      <c r="D361"/>
      <c r="E361" s="69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</row>
    <row r="362" spans="2:27" s="25" customFormat="1" ht="15.75" customHeight="1" x14ac:dyDescent="0.2">
      <c r="B362" s="89"/>
      <c r="C362"/>
      <c r="D362"/>
      <c r="E362" s="69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</row>
    <row r="363" spans="2:27" s="25" customFormat="1" ht="15.75" customHeight="1" x14ac:dyDescent="0.2">
      <c r="B363" s="89"/>
      <c r="C363"/>
      <c r="D363"/>
      <c r="E363" s="69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</row>
    <row r="364" spans="2:27" s="25" customFormat="1" ht="15.75" customHeight="1" x14ac:dyDescent="0.2">
      <c r="B364" s="89"/>
      <c r="C364"/>
      <c r="D364"/>
      <c r="E364" s="69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</row>
    <row r="365" spans="2:27" s="25" customFormat="1" ht="15.75" customHeight="1" x14ac:dyDescent="0.2">
      <c r="B365" s="89"/>
      <c r="C365"/>
      <c r="D365"/>
      <c r="E365" s="69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</row>
    <row r="366" spans="2:27" s="25" customFormat="1" ht="15.75" customHeight="1" x14ac:dyDescent="0.2">
      <c r="B366" s="89"/>
      <c r="C366"/>
      <c r="D366"/>
      <c r="E366" s="69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</row>
    <row r="367" spans="2:27" s="25" customFormat="1" ht="15.75" customHeight="1" x14ac:dyDescent="0.2">
      <c r="B367" s="89"/>
      <c r="C367"/>
      <c r="D367"/>
      <c r="E367" s="69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</row>
    <row r="368" spans="2:27" s="25" customFormat="1" ht="15.75" customHeight="1" x14ac:dyDescent="0.2">
      <c r="B368" s="89"/>
      <c r="C368"/>
      <c r="D368"/>
      <c r="E368" s="69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</row>
    <row r="369" spans="2:27" s="25" customFormat="1" ht="15.75" customHeight="1" x14ac:dyDescent="0.2">
      <c r="B369" s="89"/>
      <c r="C369"/>
      <c r="D369"/>
      <c r="E369" s="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</row>
    <row r="370" spans="2:27" s="25" customFormat="1" ht="15.75" customHeight="1" x14ac:dyDescent="0.2">
      <c r="B370" s="89"/>
      <c r="C370"/>
      <c r="D370"/>
      <c r="E370" s="69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</row>
    <row r="371" spans="2:27" s="25" customFormat="1" ht="15.75" customHeight="1" x14ac:dyDescent="0.2">
      <c r="B371" s="89"/>
      <c r="C371"/>
      <c r="D371"/>
      <c r="E371" s="69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</row>
    <row r="372" spans="2:27" s="25" customFormat="1" ht="15.75" customHeight="1" x14ac:dyDescent="0.2">
      <c r="B372" s="89"/>
      <c r="C372"/>
      <c r="D372"/>
      <c r="E372" s="69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</row>
    <row r="373" spans="2:27" s="25" customFormat="1" ht="15.75" customHeight="1" x14ac:dyDescent="0.2">
      <c r="B373" s="89"/>
      <c r="C373"/>
      <c r="D373"/>
      <c r="E373" s="69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</row>
    <row r="374" spans="2:27" s="25" customFormat="1" ht="15.75" customHeight="1" x14ac:dyDescent="0.2">
      <c r="B374" s="89"/>
      <c r="C374"/>
      <c r="D374"/>
      <c r="E374" s="69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</row>
    <row r="375" spans="2:27" s="25" customFormat="1" ht="15.75" customHeight="1" x14ac:dyDescent="0.2">
      <c r="B375" s="89"/>
      <c r="C375"/>
      <c r="D375"/>
      <c r="E375" s="69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</row>
    <row r="376" spans="2:27" s="25" customFormat="1" ht="15.75" customHeight="1" x14ac:dyDescent="0.2">
      <c r="B376" s="89"/>
      <c r="C376"/>
      <c r="D376"/>
      <c r="E376" s="69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</row>
    <row r="377" spans="2:27" s="25" customFormat="1" ht="15.75" customHeight="1" x14ac:dyDescent="0.2">
      <c r="B377" s="89"/>
      <c r="C377"/>
      <c r="D377"/>
      <c r="E377" s="69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</row>
    <row r="378" spans="2:27" s="25" customFormat="1" ht="15.75" customHeight="1" x14ac:dyDescent="0.2">
      <c r="B378" s="89"/>
      <c r="C378"/>
      <c r="D378"/>
      <c r="E378" s="69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</row>
    <row r="379" spans="2:27" s="25" customFormat="1" ht="15.75" customHeight="1" x14ac:dyDescent="0.2">
      <c r="B379" s="89"/>
      <c r="C379"/>
      <c r="D379"/>
      <c r="E379" s="6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</row>
    <row r="380" spans="2:27" s="25" customFormat="1" ht="15.75" customHeight="1" x14ac:dyDescent="0.2">
      <c r="B380" s="89"/>
      <c r="C380"/>
      <c r="D380"/>
      <c r="E380" s="69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</row>
    <row r="381" spans="2:27" s="25" customFormat="1" ht="15.75" customHeight="1" x14ac:dyDescent="0.2">
      <c r="B381" s="89"/>
      <c r="C381"/>
      <c r="D381"/>
      <c r="E381" s="69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  <c r="AA381"/>
    </row>
    <row r="382" spans="2:27" s="25" customFormat="1" ht="15.75" customHeight="1" x14ac:dyDescent="0.2">
      <c r="B382" s="89"/>
      <c r="C382"/>
      <c r="D382"/>
      <c r="E382" s="69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  <c r="AA382"/>
    </row>
    <row r="383" spans="2:27" s="25" customFormat="1" ht="15.75" customHeight="1" x14ac:dyDescent="0.2">
      <c r="B383" s="89"/>
      <c r="C383"/>
      <c r="D383"/>
      <c r="E383" s="69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  <c r="AA383"/>
    </row>
    <row r="384" spans="2:27" s="25" customFormat="1" ht="15.75" customHeight="1" x14ac:dyDescent="0.2">
      <c r="B384" s="89"/>
      <c r="C384"/>
      <c r="D384"/>
      <c r="E384" s="69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</row>
    <row r="385" spans="2:27" s="25" customFormat="1" ht="15.75" customHeight="1" x14ac:dyDescent="0.2">
      <c r="B385" s="89"/>
      <c r="C385"/>
      <c r="D385"/>
      <c r="E385" s="69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  <c r="AA385"/>
    </row>
    <row r="386" spans="2:27" s="25" customFormat="1" ht="15.75" customHeight="1" x14ac:dyDescent="0.2">
      <c r="B386" s="89"/>
      <c r="C386"/>
      <c r="D386"/>
      <c r="E386" s="69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</row>
    <row r="387" spans="2:27" s="25" customFormat="1" ht="15.75" customHeight="1" x14ac:dyDescent="0.2">
      <c r="B387" s="89"/>
      <c r="C387"/>
      <c r="D387"/>
      <c r="E387" s="69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/>
    </row>
    <row r="388" spans="2:27" s="25" customFormat="1" ht="15.75" customHeight="1" x14ac:dyDescent="0.2">
      <c r="B388" s="89"/>
      <c r="C388"/>
      <c r="D388"/>
      <c r="E388" s="69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</row>
    <row r="389" spans="2:27" s="25" customFormat="1" ht="15.75" customHeight="1" x14ac:dyDescent="0.2">
      <c r="B389" s="89"/>
      <c r="C389"/>
      <c r="D389"/>
      <c r="E389" s="6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</row>
    <row r="390" spans="2:27" s="25" customFormat="1" ht="15.75" customHeight="1" x14ac:dyDescent="0.2">
      <c r="B390" s="89"/>
      <c r="C390"/>
      <c r="D390"/>
      <c r="E390" s="69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</row>
    <row r="391" spans="2:27" s="25" customFormat="1" ht="15.75" customHeight="1" x14ac:dyDescent="0.2">
      <c r="B391" s="89"/>
      <c r="C391"/>
      <c r="D391"/>
      <c r="E391" s="69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  <c r="AA391"/>
    </row>
    <row r="392" spans="2:27" s="25" customFormat="1" ht="15.75" customHeight="1" x14ac:dyDescent="0.2">
      <c r="B392" s="89"/>
      <c r="C392"/>
      <c r="D392"/>
      <c r="E392" s="69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</row>
    <row r="393" spans="2:27" s="25" customFormat="1" ht="15.75" customHeight="1" x14ac:dyDescent="0.2">
      <c r="B393" s="89"/>
      <c r="C393"/>
      <c r="D393"/>
      <c r="E393" s="69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  <c r="AA393"/>
    </row>
    <row r="394" spans="2:27" s="25" customFormat="1" ht="15.75" customHeight="1" x14ac:dyDescent="0.2">
      <c r="B394" s="89"/>
      <c r="C394"/>
      <c r="D394"/>
      <c r="E394" s="69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  <c r="AA394"/>
    </row>
    <row r="395" spans="2:27" s="25" customFormat="1" ht="15.75" customHeight="1" x14ac:dyDescent="0.2">
      <c r="B395" s="89"/>
      <c r="C395"/>
      <c r="D395"/>
      <c r="E395" s="69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  <c r="AA395"/>
    </row>
    <row r="396" spans="2:27" s="25" customFormat="1" ht="15.75" customHeight="1" x14ac:dyDescent="0.2">
      <c r="B396" s="89"/>
      <c r="C396"/>
      <c r="D396"/>
      <c r="E396" s="69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</row>
    <row r="397" spans="2:27" s="25" customFormat="1" ht="15.75" customHeight="1" x14ac:dyDescent="0.2">
      <c r="B397" s="89"/>
      <c r="C397"/>
      <c r="D397"/>
      <c r="E397" s="69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</row>
    <row r="398" spans="2:27" s="25" customFormat="1" ht="15.75" customHeight="1" x14ac:dyDescent="0.2">
      <c r="B398" s="89"/>
      <c r="C398"/>
      <c r="D398"/>
      <c r="E398" s="69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</row>
    <row r="399" spans="2:27" s="25" customFormat="1" ht="15.75" customHeight="1" x14ac:dyDescent="0.2">
      <c r="B399" s="89"/>
      <c r="C399"/>
      <c r="D399"/>
      <c r="E399" s="6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</row>
    <row r="400" spans="2:27" s="25" customFormat="1" ht="15.75" customHeight="1" x14ac:dyDescent="0.2">
      <c r="B400" s="89"/>
      <c r="C400"/>
      <c r="D400"/>
      <c r="E400" s="69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</row>
    <row r="401" spans="2:27" s="25" customFormat="1" ht="15.75" customHeight="1" x14ac:dyDescent="0.2">
      <c r="B401" s="89"/>
      <c r="C401"/>
      <c r="D401"/>
      <c r="E401" s="69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</row>
    <row r="402" spans="2:27" s="25" customFormat="1" ht="15.75" customHeight="1" x14ac:dyDescent="0.2">
      <c r="B402" s="89"/>
      <c r="C402"/>
      <c r="D402"/>
      <c r="E402" s="69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</row>
    <row r="403" spans="2:27" s="25" customFormat="1" ht="15.75" customHeight="1" x14ac:dyDescent="0.2">
      <c r="B403" s="89"/>
      <c r="C403"/>
      <c r="D403"/>
      <c r="E403" s="69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</row>
    <row r="404" spans="2:27" s="25" customFormat="1" ht="15.75" customHeight="1" x14ac:dyDescent="0.2">
      <c r="B404" s="89"/>
      <c r="C404"/>
      <c r="D404"/>
      <c r="E404" s="69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</row>
    <row r="405" spans="2:27" s="25" customFormat="1" ht="15.75" customHeight="1" x14ac:dyDescent="0.2">
      <c r="B405" s="89"/>
      <c r="C405"/>
      <c r="D405"/>
      <c r="E405" s="69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</row>
    <row r="406" spans="2:27" s="25" customFormat="1" ht="15.75" customHeight="1" x14ac:dyDescent="0.2">
      <c r="B406" s="89"/>
      <c r="C406"/>
      <c r="D406"/>
      <c r="E406" s="69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  <c r="AA406"/>
    </row>
    <row r="407" spans="2:27" s="25" customFormat="1" ht="15.75" customHeight="1" x14ac:dyDescent="0.2">
      <c r="B407" s="89"/>
      <c r="C407"/>
      <c r="D407"/>
      <c r="E407" s="69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  <c r="AA407"/>
    </row>
    <row r="408" spans="2:27" s="25" customFormat="1" ht="15.75" customHeight="1" x14ac:dyDescent="0.2">
      <c r="B408" s="89"/>
      <c r="C408"/>
      <c r="D408"/>
      <c r="E408" s="69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</row>
    <row r="409" spans="2:27" s="25" customFormat="1" ht="15.75" customHeight="1" x14ac:dyDescent="0.2">
      <c r="B409" s="89"/>
      <c r="C409"/>
      <c r="D409"/>
      <c r="E409" s="6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</row>
    <row r="410" spans="2:27" s="25" customFormat="1" ht="15.75" customHeight="1" x14ac:dyDescent="0.2">
      <c r="B410" s="89"/>
      <c r="C410"/>
      <c r="D410"/>
      <c r="E410" s="69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</row>
    <row r="411" spans="2:27" s="25" customFormat="1" ht="15.75" customHeight="1" x14ac:dyDescent="0.2">
      <c r="B411" s="89"/>
      <c r="C411"/>
      <c r="D411"/>
      <c r="E411" s="69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  <c r="AA411"/>
    </row>
    <row r="412" spans="2:27" s="25" customFormat="1" ht="15.75" customHeight="1" x14ac:dyDescent="0.2">
      <c r="B412" s="89"/>
      <c r="C412"/>
      <c r="D412"/>
      <c r="E412" s="69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</row>
    <row r="413" spans="2:27" s="25" customFormat="1" ht="15.75" customHeight="1" x14ac:dyDescent="0.2">
      <c r="B413" s="89"/>
      <c r="C413"/>
      <c r="D413"/>
      <c r="E413" s="69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/>
    </row>
    <row r="414" spans="2:27" s="25" customFormat="1" ht="15.75" customHeight="1" x14ac:dyDescent="0.2">
      <c r="B414" s="89"/>
      <c r="C414"/>
      <c r="D414"/>
      <c r="E414" s="69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  <c r="AA414"/>
    </row>
    <row r="415" spans="2:27" s="25" customFormat="1" ht="15.75" customHeight="1" x14ac:dyDescent="0.2">
      <c r="B415" s="89"/>
      <c r="C415"/>
      <c r="D415"/>
      <c r="E415" s="69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  <c r="Z415"/>
      <c r="AA415"/>
    </row>
    <row r="416" spans="2:27" s="25" customFormat="1" ht="15.75" customHeight="1" x14ac:dyDescent="0.2">
      <c r="B416" s="89"/>
      <c r="C416"/>
      <c r="D416"/>
      <c r="E416" s="69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  <c r="AA416"/>
    </row>
    <row r="417" spans="2:27" s="25" customFormat="1" ht="15.75" customHeight="1" x14ac:dyDescent="0.2">
      <c r="B417" s="89"/>
      <c r="C417"/>
      <c r="D417"/>
      <c r="E417" s="69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  <c r="AA417"/>
    </row>
    <row r="418" spans="2:27" s="25" customFormat="1" ht="15.75" customHeight="1" x14ac:dyDescent="0.2">
      <c r="B418" s="89"/>
      <c r="C418"/>
      <c r="D418"/>
      <c r="E418" s="69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  <c r="AA418"/>
    </row>
    <row r="419" spans="2:27" s="25" customFormat="1" ht="15.75" customHeight="1" x14ac:dyDescent="0.2">
      <c r="B419" s="89"/>
      <c r="C419"/>
      <c r="D419"/>
      <c r="E419" s="6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  <c r="AA419"/>
    </row>
    <row r="420" spans="2:27" s="25" customFormat="1" ht="15.75" customHeight="1" x14ac:dyDescent="0.2">
      <c r="B420" s="89"/>
      <c r="C420"/>
      <c r="D420"/>
      <c r="E420" s="69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</row>
    <row r="421" spans="2:27" s="25" customFormat="1" ht="15.75" customHeight="1" x14ac:dyDescent="0.2">
      <c r="B421" s="89"/>
      <c r="C421"/>
      <c r="D421"/>
      <c r="E421" s="69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/>
      <c r="W421"/>
      <c r="X421"/>
      <c r="Y421"/>
      <c r="Z421"/>
      <c r="AA421"/>
    </row>
    <row r="422" spans="2:27" s="25" customFormat="1" ht="15.75" customHeight="1" x14ac:dyDescent="0.2">
      <c r="B422" s="89"/>
      <c r="C422"/>
      <c r="D422"/>
      <c r="E422" s="69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  <c r="AA422"/>
    </row>
    <row r="423" spans="2:27" s="25" customFormat="1" ht="15.75" customHeight="1" x14ac:dyDescent="0.2">
      <c r="B423" s="89"/>
      <c r="C423"/>
      <c r="D423"/>
      <c r="E423" s="69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  <c r="AA423"/>
    </row>
    <row r="424" spans="2:27" s="25" customFormat="1" ht="15.75" customHeight="1" x14ac:dyDescent="0.2">
      <c r="B424" s="89"/>
      <c r="C424"/>
      <c r="D424"/>
      <c r="E424" s="69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  <c r="AA424"/>
    </row>
    <row r="425" spans="2:27" s="25" customFormat="1" ht="15.75" customHeight="1" x14ac:dyDescent="0.2">
      <c r="B425" s="89"/>
      <c r="C425"/>
      <c r="D425"/>
      <c r="E425" s="69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  <c r="AA425"/>
    </row>
    <row r="426" spans="2:27" s="25" customFormat="1" ht="15.75" customHeight="1" x14ac:dyDescent="0.2">
      <c r="B426" s="89"/>
      <c r="C426"/>
      <c r="D426"/>
      <c r="E426" s="69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  <c r="AA426"/>
    </row>
    <row r="427" spans="2:27" s="25" customFormat="1" ht="15.75" customHeight="1" x14ac:dyDescent="0.2">
      <c r="B427" s="89"/>
      <c r="C427"/>
      <c r="D427"/>
      <c r="E427" s="69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  <c r="AA427"/>
    </row>
    <row r="428" spans="2:27" s="25" customFormat="1" ht="15.75" customHeight="1" x14ac:dyDescent="0.2">
      <c r="B428" s="89"/>
      <c r="C428"/>
      <c r="D428"/>
      <c r="E428" s="69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</row>
    <row r="429" spans="2:27" s="25" customFormat="1" ht="15.75" customHeight="1" x14ac:dyDescent="0.2">
      <c r="B429" s="89"/>
      <c r="C429"/>
      <c r="D429"/>
      <c r="E429" s="6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  <c r="AA429"/>
    </row>
    <row r="430" spans="2:27" s="25" customFormat="1" ht="15.75" customHeight="1" x14ac:dyDescent="0.2">
      <c r="B430" s="89"/>
      <c r="C430"/>
      <c r="D430"/>
      <c r="E430" s="69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  <c r="W430"/>
      <c r="X430"/>
      <c r="Y430"/>
      <c r="Z430"/>
      <c r="AA430"/>
    </row>
    <row r="431" spans="2:27" s="25" customFormat="1" ht="15.75" customHeight="1" x14ac:dyDescent="0.2">
      <c r="B431" s="89"/>
      <c r="C431"/>
      <c r="D431"/>
      <c r="E431" s="69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  <c r="Y431"/>
      <c r="Z431"/>
      <c r="AA431"/>
    </row>
    <row r="432" spans="2:27" s="25" customFormat="1" ht="15.75" customHeight="1" x14ac:dyDescent="0.2">
      <c r="B432" s="89"/>
      <c r="C432"/>
      <c r="D432"/>
      <c r="E432" s="69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  <c r="AA432"/>
    </row>
    <row r="433" spans="2:27" s="25" customFormat="1" ht="15.75" customHeight="1" x14ac:dyDescent="0.2">
      <c r="B433" s="89"/>
      <c r="C433"/>
      <c r="D433"/>
      <c r="E433" s="69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  <c r="AA433"/>
    </row>
    <row r="434" spans="2:27" s="25" customFormat="1" ht="15.75" customHeight="1" x14ac:dyDescent="0.2">
      <c r="B434" s="89"/>
      <c r="C434"/>
      <c r="D434"/>
      <c r="E434" s="69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  <c r="AA434"/>
    </row>
    <row r="435" spans="2:27" s="25" customFormat="1" ht="15.75" customHeight="1" x14ac:dyDescent="0.2">
      <c r="B435" s="89"/>
      <c r="C435"/>
      <c r="D435"/>
      <c r="E435" s="69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  <c r="V435"/>
      <c r="W435"/>
      <c r="X435"/>
      <c r="Y435"/>
      <c r="Z435"/>
      <c r="AA435"/>
    </row>
    <row r="436" spans="2:27" s="25" customFormat="1" ht="15.75" customHeight="1" x14ac:dyDescent="0.2">
      <c r="B436" s="89"/>
      <c r="C436"/>
      <c r="D436"/>
      <c r="E436" s="69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</row>
    <row r="437" spans="2:27" s="25" customFormat="1" ht="15.75" customHeight="1" x14ac:dyDescent="0.2">
      <c r="B437" s="89"/>
      <c r="C437"/>
      <c r="D437"/>
      <c r="E437" s="69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  <c r="Y437"/>
      <c r="Z437"/>
      <c r="AA437"/>
    </row>
    <row r="438" spans="2:27" s="25" customFormat="1" ht="15.75" customHeight="1" x14ac:dyDescent="0.2">
      <c r="B438" s="89"/>
      <c r="C438"/>
      <c r="D438"/>
      <c r="E438" s="69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  <c r="W438"/>
      <c r="X438"/>
      <c r="Y438"/>
      <c r="Z438"/>
      <c r="AA438"/>
    </row>
    <row r="439" spans="2:27" s="25" customFormat="1" ht="15.75" customHeight="1" x14ac:dyDescent="0.2">
      <c r="B439" s="89"/>
      <c r="C439"/>
      <c r="D439"/>
      <c r="E439" s="6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  <c r="AA439"/>
    </row>
    <row r="440" spans="2:27" s="25" customFormat="1" ht="15.75" customHeight="1" x14ac:dyDescent="0.2">
      <c r="B440" s="89"/>
      <c r="C440"/>
      <c r="D440"/>
      <c r="E440" s="69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</row>
    <row r="441" spans="2:27" s="25" customFormat="1" ht="15.75" customHeight="1" x14ac:dyDescent="0.2">
      <c r="B441" s="89"/>
      <c r="C441"/>
      <c r="D441"/>
      <c r="E441" s="69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/>
      <c r="W441"/>
      <c r="X441"/>
      <c r="Y441"/>
      <c r="Z441"/>
      <c r="AA441"/>
    </row>
    <row r="442" spans="2:27" s="25" customFormat="1" ht="15.75" customHeight="1" x14ac:dyDescent="0.2">
      <c r="B442" s="89"/>
      <c r="C442"/>
      <c r="D442"/>
      <c r="E442" s="69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  <c r="AA442"/>
    </row>
    <row r="443" spans="2:27" s="25" customFormat="1" ht="15.75" customHeight="1" x14ac:dyDescent="0.2">
      <c r="B443" s="89"/>
      <c r="C443"/>
      <c r="D443"/>
      <c r="E443" s="69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  <c r="AA443"/>
    </row>
    <row r="444" spans="2:27" s="25" customFormat="1" ht="15.75" customHeight="1" x14ac:dyDescent="0.2">
      <c r="B444" s="89"/>
      <c r="C444"/>
      <c r="D444"/>
      <c r="E444" s="69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  <c r="AA444"/>
    </row>
    <row r="445" spans="2:27" s="25" customFormat="1" ht="15.75" customHeight="1" x14ac:dyDescent="0.2">
      <c r="B445" s="89"/>
      <c r="C445"/>
      <c r="D445"/>
      <c r="E445" s="69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  <c r="V445"/>
      <c r="W445"/>
      <c r="X445"/>
      <c r="Y445"/>
      <c r="Z445"/>
      <c r="AA445"/>
    </row>
    <row r="446" spans="2:27" s="25" customFormat="1" ht="15.75" customHeight="1" x14ac:dyDescent="0.2">
      <c r="B446" s="89"/>
      <c r="C446"/>
      <c r="D446"/>
      <c r="E446" s="69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  <c r="Y446"/>
      <c r="Z446"/>
      <c r="AA446"/>
    </row>
    <row r="447" spans="2:27" s="25" customFormat="1" ht="15.75" customHeight="1" x14ac:dyDescent="0.2">
      <c r="B447" s="89"/>
      <c r="C447"/>
      <c r="D447"/>
      <c r="E447" s="69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  <c r="W447"/>
      <c r="X447"/>
      <c r="Y447"/>
      <c r="Z447"/>
      <c r="AA447"/>
    </row>
    <row r="448" spans="2:27" s="25" customFormat="1" ht="15.75" customHeight="1" x14ac:dyDescent="0.2">
      <c r="B448" s="89"/>
      <c r="C448"/>
      <c r="D448"/>
      <c r="E448" s="69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</row>
    <row r="449" spans="2:27" s="25" customFormat="1" ht="15.75" customHeight="1" x14ac:dyDescent="0.2">
      <c r="B449" s="89"/>
      <c r="C449"/>
      <c r="D449"/>
      <c r="E449" s="6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  <c r="W449"/>
      <c r="X449"/>
      <c r="Y449"/>
      <c r="Z449"/>
      <c r="AA449"/>
    </row>
    <row r="450" spans="2:27" s="25" customFormat="1" ht="15.75" customHeight="1" x14ac:dyDescent="0.2">
      <c r="B450" s="89"/>
      <c r="C450"/>
      <c r="D450"/>
      <c r="E450" s="69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  <c r="AA450"/>
    </row>
    <row r="451" spans="2:27" s="25" customFormat="1" ht="15.75" customHeight="1" x14ac:dyDescent="0.2">
      <c r="B451" s="89"/>
      <c r="C451"/>
      <c r="D451"/>
      <c r="E451" s="69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  <c r="AA451"/>
    </row>
    <row r="452" spans="2:27" s="25" customFormat="1" ht="15.75" customHeight="1" x14ac:dyDescent="0.2">
      <c r="B452" s="89"/>
      <c r="C452"/>
      <c r="D452"/>
      <c r="E452" s="69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</row>
    <row r="453" spans="2:27" s="25" customFormat="1" ht="15.75" customHeight="1" x14ac:dyDescent="0.2">
      <c r="B453" s="89"/>
      <c r="C453"/>
      <c r="D453"/>
      <c r="E453" s="69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  <c r="AA453"/>
    </row>
    <row r="454" spans="2:27" s="25" customFormat="1" ht="15.75" customHeight="1" x14ac:dyDescent="0.2">
      <c r="B454" s="89"/>
      <c r="C454"/>
      <c r="D454"/>
      <c r="E454" s="69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  <c r="AA454"/>
    </row>
    <row r="455" spans="2:27" s="25" customFormat="1" ht="15.75" customHeight="1" x14ac:dyDescent="0.2">
      <c r="B455" s="89"/>
      <c r="C455"/>
      <c r="D455"/>
      <c r="E455" s="69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  <c r="AA455"/>
    </row>
    <row r="456" spans="2:27" s="25" customFormat="1" ht="15.75" customHeight="1" x14ac:dyDescent="0.2">
      <c r="B456" s="89"/>
      <c r="C456"/>
      <c r="D456"/>
      <c r="E456" s="69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  <c r="AA456"/>
    </row>
    <row r="457" spans="2:27" s="25" customFormat="1" ht="15.75" customHeight="1" x14ac:dyDescent="0.2">
      <c r="B457" s="89"/>
      <c r="C457"/>
      <c r="D457"/>
      <c r="E457" s="69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  <c r="AA457"/>
    </row>
    <row r="458" spans="2:27" s="25" customFormat="1" ht="15.75" customHeight="1" x14ac:dyDescent="0.2">
      <c r="B458" s="89"/>
      <c r="C458"/>
      <c r="D458"/>
      <c r="E458" s="69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  <c r="V458"/>
      <c r="W458"/>
      <c r="X458"/>
      <c r="Y458"/>
      <c r="Z458"/>
      <c r="AA458"/>
    </row>
    <row r="459" spans="2:27" s="25" customFormat="1" ht="15.75" customHeight="1" x14ac:dyDescent="0.2">
      <c r="B459" s="89"/>
      <c r="C459"/>
      <c r="D459"/>
      <c r="E459" s="6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  <c r="AA459"/>
    </row>
    <row r="460" spans="2:27" s="25" customFormat="1" ht="15.75" customHeight="1" x14ac:dyDescent="0.2">
      <c r="B460" s="89"/>
      <c r="C460"/>
      <c r="D460"/>
      <c r="E460" s="69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  <c r="AA460"/>
    </row>
    <row r="461" spans="2:27" s="25" customFormat="1" ht="15.75" customHeight="1" x14ac:dyDescent="0.2">
      <c r="B461" s="89"/>
      <c r="C461"/>
      <c r="D461"/>
      <c r="E461" s="69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  <c r="AA461"/>
    </row>
    <row r="462" spans="2:27" s="25" customFormat="1" ht="15.75" customHeight="1" x14ac:dyDescent="0.2">
      <c r="B462" s="89"/>
      <c r="C462"/>
      <c r="D462"/>
      <c r="E462" s="69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  <c r="AA462"/>
    </row>
    <row r="463" spans="2:27" s="25" customFormat="1" ht="15.75" customHeight="1" x14ac:dyDescent="0.2">
      <c r="B463" s="89"/>
      <c r="C463"/>
      <c r="D463"/>
      <c r="E463" s="69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  <c r="AA463"/>
    </row>
    <row r="464" spans="2:27" s="25" customFormat="1" ht="15.75" customHeight="1" x14ac:dyDescent="0.2">
      <c r="B464" s="89"/>
      <c r="C464"/>
      <c r="D464"/>
      <c r="E464" s="69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  <c r="AA464"/>
    </row>
    <row r="465" spans="2:27" s="25" customFormat="1" ht="15.75" customHeight="1" x14ac:dyDescent="0.2">
      <c r="B465" s="89"/>
      <c r="C465"/>
      <c r="D465"/>
      <c r="E465" s="69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  <c r="AA465"/>
    </row>
    <row r="466" spans="2:27" s="25" customFormat="1" ht="15.75" customHeight="1" x14ac:dyDescent="0.2">
      <c r="B466" s="89"/>
      <c r="C466"/>
      <c r="D466"/>
      <c r="E466" s="69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  <c r="AA466"/>
    </row>
    <row r="467" spans="2:27" s="25" customFormat="1" ht="15.75" customHeight="1" x14ac:dyDescent="0.2">
      <c r="B467" s="89"/>
      <c r="C467"/>
      <c r="D467"/>
      <c r="E467" s="69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  <c r="AA467"/>
    </row>
    <row r="468" spans="2:27" s="25" customFormat="1" ht="15.75" customHeight="1" x14ac:dyDescent="0.2">
      <c r="B468" s="89"/>
      <c r="C468"/>
      <c r="D468"/>
      <c r="E468" s="69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</row>
    <row r="469" spans="2:27" s="25" customFormat="1" ht="15.75" customHeight="1" x14ac:dyDescent="0.2">
      <c r="B469" s="89"/>
      <c r="C469"/>
      <c r="D469"/>
      <c r="E469" s="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  <c r="AA469"/>
    </row>
    <row r="470" spans="2:27" s="25" customFormat="1" ht="15.75" customHeight="1" x14ac:dyDescent="0.2">
      <c r="B470" s="89"/>
      <c r="C470"/>
      <c r="D470"/>
      <c r="E470" s="69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  <c r="AA470"/>
    </row>
    <row r="471" spans="2:27" s="25" customFormat="1" ht="15.75" customHeight="1" x14ac:dyDescent="0.2">
      <c r="B471" s="89"/>
      <c r="C471"/>
      <c r="D471"/>
      <c r="E471" s="69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  <c r="AA471"/>
    </row>
    <row r="472" spans="2:27" s="25" customFormat="1" ht="15.75" customHeight="1" x14ac:dyDescent="0.2">
      <c r="B472" s="89"/>
      <c r="C472"/>
      <c r="D472"/>
      <c r="E472" s="69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  <c r="AA472"/>
    </row>
    <row r="473" spans="2:27" s="25" customFormat="1" ht="15.75" customHeight="1" x14ac:dyDescent="0.2">
      <c r="B473" s="89"/>
      <c r="C473"/>
      <c r="D473"/>
      <c r="E473" s="69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  <c r="W473"/>
      <c r="X473"/>
      <c r="Y473"/>
      <c r="Z473"/>
      <c r="AA473"/>
    </row>
    <row r="474" spans="2:27" s="25" customFormat="1" ht="15.75" customHeight="1" x14ac:dyDescent="0.2">
      <c r="B474" s="89"/>
      <c r="C474"/>
      <c r="D474"/>
      <c r="E474" s="69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/>
      <c r="W474"/>
      <c r="X474"/>
      <c r="Y474"/>
      <c r="Z474"/>
      <c r="AA474"/>
    </row>
    <row r="475" spans="2:27" s="25" customFormat="1" ht="15.75" customHeight="1" x14ac:dyDescent="0.2">
      <c r="B475" s="89"/>
      <c r="C475"/>
      <c r="D475"/>
      <c r="E475" s="69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  <c r="W475"/>
      <c r="X475"/>
      <c r="Y475"/>
      <c r="Z475"/>
      <c r="AA475"/>
    </row>
    <row r="476" spans="2:27" s="25" customFormat="1" ht="15.75" customHeight="1" x14ac:dyDescent="0.2">
      <c r="B476" s="89"/>
      <c r="C476"/>
      <c r="D476"/>
      <c r="E476" s="69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  <c r="W476"/>
      <c r="X476"/>
      <c r="Y476"/>
      <c r="Z476"/>
      <c r="AA476"/>
    </row>
    <row r="477" spans="2:27" s="25" customFormat="1" ht="15.75" customHeight="1" x14ac:dyDescent="0.2">
      <c r="B477" s="89"/>
      <c r="C477"/>
      <c r="D477"/>
      <c r="E477" s="69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  <c r="W477"/>
      <c r="X477"/>
      <c r="Y477"/>
      <c r="Z477"/>
      <c r="AA477"/>
    </row>
    <row r="478" spans="2:27" s="25" customFormat="1" ht="15.75" customHeight="1" x14ac:dyDescent="0.2">
      <c r="B478" s="89"/>
      <c r="C478"/>
      <c r="D478"/>
      <c r="E478" s="69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  <c r="W478"/>
      <c r="X478"/>
      <c r="Y478"/>
      <c r="Z478"/>
      <c r="AA478"/>
    </row>
    <row r="479" spans="2:27" s="25" customFormat="1" ht="15.75" customHeight="1" x14ac:dyDescent="0.2">
      <c r="B479" s="89"/>
      <c r="C479"/>
      <c r="D479"/>
      <c r="E479" s="6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  <c r="W479"/>
      <c r="X479"/>
      <c r="Y479"/>
      <c r="Z479"/>
      <c r="AA479"/>
    </row>
    <row r="480" spans="2:27" s="25" customFormat="1" ht="15.75" customHeight="1" x14ac:dyDescent="0.2">
      <c r="B480" s="89"/>
      <c r="C480"/>
      <c r="D480"/>
      <c r="E480" s="69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  <c r="AA480"/>
    </row>
    <row r="481" spans="2:27" s="25" customFormat="1" ht="15.75" customHeight="1" x14ac:dyDescent="0.2">
      <c r="B481" s="89"/>
      <c r="C481"/>
      <c r="D481"/>
      <c r="E481" s="69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  <c r="V481"/>
      <c r="W481"/>
      <c r="X481"/>
      <c r="Y481"/>
      <c r="Z481"/>
      <c r="AA481"/>
    </row>
    <row r="482" spans="2:27" s="25" customFormat="1" ht="15.75" customHeight="1" x14ac:dyDescent="0.2">
      <c r="B482" s="89"/>
      <c r="C482"/>
      <c r="D482"/>
      <c r="E482" s="69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  <c r="W482"/>
      <c r="X482"/>
      <c r="Y482"/>
      <c r="Z482"/>
      <c r="AA482"/>
    </row>
    <row r="483" spans="2:27" s="25" customFormat="1" ht="15.75" customHeight="1" x14ac:dyDescent="0.2">
      <c r="B483" s="89"/>
      <c r="C483"/>
      <c r="D483"/>
      <c r="E483" s="69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  <c r="W483"/>
      <c r="X483"/>
      <c r="Y483"/>
      <c r="Z483"/>
      <c r="AA483"/>
    </row>
    <row r="484" spans="2:27" s="25" customFormat="1" ht="15.75" customHeight="1" x14ac:dyDescent="0.2">
      <c r="B484" s="89"/>
      <c r="C484"/>
      <c r="D484"/>
      <c r="E484" s="69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  <c r="AA484"/>
    </row>
    <row r="485" spans="2:27" s="25" customFormat="1" ht="15.75" customHeight="1" x14ac:dyDescent="0.2">
      <c r="B485" s="89"/>
      <c r="C485"/>
      <c r="D485"/>
      <c r="E485" s="69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  <c r="W485"/>
      <c r="X485"/>
      <c r="Y485"/>
      <c r="Z485"/>
      <c r="AA485"/>
    </row>
    <row r="486" spans="2:27" s="25" customFormat="1" ht="15.75" customHeight="1" x14ac:dyDescent="0.2">
      <c r="B486" s="89"/>
      <c r="C486"/>
      <c r="D486"/>
      <c r="E486" s="69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  <c r="V486"/>
      <c r="W486"/>
      <c r="X486"/>
      <c r="Y486"/>
      <c r="Z486"/>
      <c r="AA486"/>
    </row>
    <row r="487" spans="2:27" s="25" customFormat="1" ht="15.75" customHeight="1" x14ac:dyDescent="0.2">
      <c r="B487" s="89"/>
      <c r="C487"/>
      <c r="D487"/>
      <c r="E487" s="69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  <c r="V487"/>
      <c r="W487"/>
      <c r="X487"/>
      <c r="Y487"/>
      <c r="Z487"/>
      <c r="AA487"/>
    </row>
    <row r="488" spans="2:27" s="25" customFormat="1" ht="15.75" customHeight="1" x14ac:dyDescent="0.2">
      <c r="B488" s="89"/>
      <c r="C488"/>
      <c r="D488"/>
      <c r="E488" s="69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  <c r="AA488"/>
    </row>
    <row r="489" spans="2:27" s="25" customFormat="1" ht="15.75" customHeight="1" x14ac:dyDescent="0.2">
      <c r="B489" s="89"/>
      <c r="C489"/>
      <c r="D489"/>
      <c r="E489" s="6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  <c r="W489"/>
      <c r="X489"/>
      <c r="Y489"/>
      <c r="Z489"/>
      <c r="AA489"/>
    </row>
    <row r="490" spans="2:27" s="25" customFormat="1" ht="15.75" customHeight="1" x14ac:dyDescent="0.2">
      <c r="B490" s="89"/>
      <c r="C490"/>
      <c r="D490"/>
      <c r="E490" s="69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  <c r="V490"/>
      <c r="W490"/>
      <c r="X490"/>
      <c r="Y490"/>
      <c r="Z490"/>
      <c r="AA490"/>
    </row>
    <row r="491" spans="2:27" s="25" customFormat="1" ht="15.75" customHeight="1" x14ac:dyDescent="0.2">
      <c r="B491" s="89"/>
      <c r="C491"/>
      <c r="D491"/>
      <c r="E491" s="69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  <c r="V491"/>
      <c r="W491"/>
      <c r="X491"/>
      <c r="Y491"/>
      <c r="Z491"/>
      <c r="AA491"/>
    </row>
    <row r="492" spans="2:27" s="25" customFormat="1" ht="15.75" customHeight="1" x14ac:dyDescent="0.2">
      <c r="B492" s="89"/>
      <c r="C492"/>
      <c r="D492"/>
      <c r="E492" s="69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  <c r="AA492"/>
    </row>
    <row r="493" spans="2:27" s="25" customFormat="1" ht="15.75" customHeight="1" x14ac:dyDescent="0.2">
      <c r="B493" s="89"/>
      <c r="C493"/>
      <c r="D493"/>
      <c r="E493" s="69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  <c r="W493"/>
      <c r="X493"/>
      <c r="Y493"/>
      <c r="Z493"/>
      <c r="AA493"/>
    </row>
    <row r="494" spans="2:27" s="25" customFormat="1" ht="15.75" customHeight="1" x14ac:dyDescent="0.2">
      <c r="B494" s="89"/>
      <c r="C494"/>
      <c r="D494"/>
      <c r="E494" s="69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  <c r="W494"/>
      <c r="X494"/>
      <c r="Y494"/>
      <c r="Z494"/>
      <c r="AA494"/>
    </row>
    <row r="495" spans="2:27" s="25" customFormat="1" ht="15.75" customHeight="1" x14ac:dyDescent="0.2">
      <c r="B495" s="89"/>
      <c r="C495"/>
      <c r="D495"/>
      <c r="E495" s="69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  <c r="V495"/>
      <c r="W495"/>
      <c r="X495"/>
      <c r="Y495"/>
      <c r="Z495"/>
      <c r="AA495"/>
    </row>
    <row r="496" spans="2:27" s="25" customFormat="1" ht="15.75" customHeight="1" x14ac:dyDescent="0.2">
      <c r="B496" s="89"/>
      <c r="C496"/>
      <c r="D496"/>
      <c r="E496" s="69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  <c r="W496"/>
      <c r="X496"/>
      <c r="Y496"/>
      <c r="Z496"/>
      <c r="AA496"/>
    </row>
    <row r="497" spans="2:27" s="25" customFormat="1" ht="15.75" customHeight="1" x14ac:dyDescent="0.2">
      <c r="B497" s="89"/>
      <c r="C497"/>
      <c r="D497"/>
      <c r="E497" s="69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  <c r="W497"/>
      <c r="X497"/>
      <c r="Y497"/>
      <c r="Z497"/>
      <c r="AA497"/>
    </row>
    <row r="498" spans="2:27" s="25" customFormat="1" ht="15.75" customHeight="1" x14ac:dyDescent="0.2">
      <c r="B498" s="89"/>
      <c r="C498"/>
      <c r="D498"/>
      <c r="E498" s="69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  <c r="W498"/>
      <c r="X498"/>
      <c r="Y498"/>
      <c r="Z498"/>
      <c r="AA498"/>
    </row>
    <row r="499" spans="2:27" s="25" customFormat="1" ht="15.75" customHeight="1" x14ac:dyDescent="0.2">
      <c r="B499" s="89"/>
      <c r="C499"/>
      <c r="D499"/>
      <c r="E499" s="6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  <c r="W499"/>
      <c r="X499"/>
      <c r="Y499"/>
      <c r="Z499"/>
      <c r="AA499"/>
    </row>
    <row r="500" spans="2:27" s="25" customFormat="1" ht="15.75" customHeight="1" x14ac:dyDescent="0.2">
      <c r="B500" s="89"/>
      <c r="C500"/>
      <c r="D500"/>
      <c r="E500" s="69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  <c r="AA500"/>
    </row>
    <row r="501" spans="2:27" s="25" customFormat="1" ht="15.75" customHeight="1" x14ac:dyDescent="0.2">
      <c r="B501" s="89"/>
      <c r="C501"/>
      <c r="D501"/>
      <c r="E501" s="69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/>
      <c r="W501"/>
      <c r="X501"/>
      <c r="Y501"/>
      <c r="Z501"/>
      <c r="AA501"/>
    </row>
    <row r="502" spans="2:27" s="25" customFormat="1" ht="15.75" customHeight="1" x14ac:dyDescent="0.2">
      <c r="B502" s="89"/>
      <c r="C502"/>
      <c r="D502"/>
      <c r="E502" s="69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  <c r="W502"/>
      <c r="X502"/>
      <c r="Y502"/>
      <c r="Z502"/>
      <c r="AA502"/>
    </row>
    <row r="503" spans="2:27" s="25" customFormat="1" ht="15.75" customHeight="1" x14ac:dyDescent="0.2">
      <c r="B503" s="89"/>
      <c r="C503"/>
      <c r="D503"/>
      <c r="E503" s="69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  <c r="AA503"/>
    </row>
    <row r="504" spans="2:27" s="25" customFormat="1" ht="15.75" customHeight="1" x14ac:dyDescent="0.2">
      <c r="B504" s="89"/>
      <c r="C504"/>
      <c r="D504"/>
      <c r="E504" s="69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  <c r="V504"/>
      <c r="W504"/>
      <c r="X504"/>
      <c r="Y504"/>
      <c r="Z504"/>
      <c r="AA504"/>
    </row>
    <row r="505" spans="2:27" s="25" customFormat="1" ht="15.75" customHeight="1" x14ac:dyDescent="0.2">
      <c r="B505" s="89"/>
      <c r="C505"/>
      <c r="D505"/>
      <c r="E505" s="69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  <c r="V505"/>
      <c r="W505"/>
      <c r="X505"/>
      <c r="Y505"/>
      <c r="Z505"/>
      <c r="AA505"/>
    </row>
    <row r="506" spans="2:27" s="25" customFormat="1" ht="15.75" customHeight="1" x14ac:dyDescent="0.2">
      <c r="B506" s="89"/>
      <c r="C506"/>
      <c r="D506"/>
      <c r="E506" s="69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  <c r="V506"/>
      <c r="W506"/>
      <c r="X506"/>
      <c r="Y506"/>
      <c r="Z506"/>
      <c r="AA506"/>
    </row>
    <row r="507" spans="2:27" s="25" customFormat="1" ht="15.75" customHeight="1" x14ac:dyDescent="0.2">
      <c r="B507" s="89"/>
      <c r="C507"/>
      <c r="D507"/>
      <c r="E507" s="69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  <c r="V507"/>
      <c r="W507"/>
      <c r="X507"/>
      <c r="Y507"/>
      <c r="Z507"/>
      <c r="AA507"/>
    </row>
    <row r="508" spans="2:27" s="25" customFormat="1" ht="15.75" customHeight="1" x14ac:dyDescent="0.2">
      <c r="B508" s="89"/>
      <c r="C508"/>
      <c r="D508"/>
      <c r="E508" s="69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  <c r="V508"/>
      <c r="W508"/>
      <c r="X508"/>
      <c r="Y508"/>
      <c r="Z508"/>
      <c r="AA508"/>
    </row>
    <row r="509" spans="2:27" s="25" customFormat="1" ht="15.75" customHeight="1" x14ac:dyDescent="0.2">
      <c r="B509" s="89"/>
      <c r="C509"/>
      <c r="D509"/>
      <c r="E509" s="6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  <c r="V509"/>
      <c r="W509"/>
      <c r="X509"/>
      <c r="Y509"/>
      <c r="Z509"/>
      <c r="AA509"/>
    </row>
    <row r="510" spans="2:27" s="25" customFormat="1" ht="15.75" customHeight="1" x14ac:dyDescent="0.2">
      <c r="B510" s="89"/>
      <c r="C510"/>
      <c r="D510"/>
      <c r="E510" s="69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  <c r="V510"/>
      <c r="W510"/>
      <c r="X510"/>
      <c r="Y510"/>
      <c r="Z510"/>
      <c r="AA510"/>
    </row>
    <row r="511" spans="2:27" s="25" customFormat="1" ht="15.75" customHeight="1" x14ac:dyDescent="0.2">
      <c r="B511" s="89"/>
      <c r="C511"/>
      <c r="D511"/>
      <c r="E511" s="69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  <c r="V511"/>
      <c r="W511"/>
      <c r="X511"/>
      <c r="Y511"/>
      <c r="Z511"/>
      <c r="AA511"/>
    </row>
    <row r="512" spans="2:27" s="25" customFormat="1" ht="15.75" customHeight="1" x14ac:dyDescent="0.2">
      <c r="B512" s="89"/>
      <c r="C512"/>
      <c r="D512"/>
      <c r="E512" s="69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  <c r="V512"/>
      <c r="W512"/>
      <c r="X512"/>
      <c r="Y512"/>
      <c r="Z512"/>
      <c r="AA512"/>
    </row>
    <row r="513" spans="2:27" s="25" customFormat="1" ht="15.75" customHeight="1" x14ac:dyDescent="0.2">
      <c r="B513" s="89"/>
      <c r="C513"/>
      <c r="D513"/>
      <c r="E513" s="69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  <c r="V513"/>
      <c r="W513"/>
      <c r="X513"/>
      <c r="Y513"/>
      <c r="Z513"/>
      <c r="AA513"/>
    </row>
    <row r="514" spans="2:27" s="25" customFormat="1" ht="15.75" customHeight="1" x14ac:dyDescent="0.2">
      <c r="B514" s="89"/>
      <c r="C514"/>
      <c r="D514"/>
      <c r="E514" s="69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  <c r="V514"/>
      <c r="W514"/>
      <c r="X514"/>
      <c r="Y514"/>
      <c r="Z514"/>
      <c r="AA514"/>
    </row>
    <row r="515" spans="2:27" s="25" customFormat="1" ht="15.75" customHeight="1" x14ac:dyDescent="0.2">
      <c r="B515" s="89"/>
      <c r="C515"/>
      <c r="D515"/>
      <c r="E515" s="69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  <c r="V515"/>
      <c r="W515"/>
      <c r="X515"/>
      <c r="Y515"/>
      <c r="Z515"/>
      <c r="AA515"/>
    </row>
    <row r="516" spans="2:27" s="25" customFormat="1" ht="15.75" customHeight="1" x14ac:dyDescent="0.2">
      <c r="B516" s="89"/>
      <c r="C516"/>
      <c r="D516"/>
      <c r="E516" s="69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  <c r="V516"/>
      <c r="W516"/>
      <c r="X516"/>
      <c r="Y516"/>
      <c r="Z516"/>
      <c r="AA516"/>
    </row>
    <row r="517" spans="2:27" s="25" customFormat="1" ht="15.75" customHeight="1" x14ac:dyDescent="0.2">
      <c r="B517" s="89"/>
      <c r="C517"/>
      <c r="D517"/>
      <c r="E517" s="69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  <c r="V517"/>
      <c r="W517"/>
      <c r="X517"/>
      <c r="Y517"/>
      <c r="Z517"/>
      <c r="AA517"/>
    </row>
    <row r="518" spans="2:27" s="25" customFormat="1" ht="15.75" customHeight="1" x14ac:dyDescent="0.2">
      <c r="B518" s="89"/>
      <c r="C518"/>
      <c r="D518"/>
      <c r="E518" s="69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  <c r="V518"/>
      <c r="W518"/>
      <c r="X518"/>
      <c r="Y518"/>
      <c r="Z518"/>
      <c r="AA518"/>
    </row>
    <row r="519" spans="2:27" s="25" customFormat="1" ht="15.75" customHeight="1" x14ac:dyDescent="0.2">
      <c r="B519" s="89"/>
      <c r="C519"/>
      <c r="D519"/>
      <c r="E519" s="6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  <c r="V519"/>
      <c r="W519"/>
      <c r="X519"/>
      <c r="Y519"/>
      <c r="Z519"/>
      <c r="AA519"/>
    </row>
    <row r="520" spans="2:27" s="25" customFormat="1" ht="15.75" customHeight="1" x14ac:dyDescent="0.2">
      <c r="B520" s="89"/>
      <c r="C520"/>
      <c r="D520"/>
      <c r="E520" s="69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  <c r="V520"/>
      <c r="W520"/>
      <c r="X520"/>
      <c r="Y520"/>
      <c r="Z520"/>
      <c r="AA520"/>
    </row>
    <row r="521" spans="2:27" s="25" customFormat="1" ht="15.75" customHeight="1" x14ac:dyDescent="0.2">
      <c r="B521" s="89"/>
      <c r="C521"/>
      <c r="D521"/>
      <c r="E521" s="69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  <c r="V521"/>
      <c r="W521"/>
      <c r="X521"/>
      <c r="Y521"/>
      <c r="Z521"/>
      <c r="AA521"/>
    </row>
    <row r="522" spans="2:27" s="25" customFormat="1" ht="15.75" customHeight="1" x14ac:dyDescent="0.2">
      <c r="B522" s="89"/>
      <c r="C522"/>
      <c r="D522"/>
      <c r="E522" s="69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  <c r="V522"/>
      <c r="W522"/>
      <c r="X522"/>
      <c r="Y522"/>
      <c r="Z522"/>
      <c r="AA522"/>
    </row>
    <row r="523" spans="2:27" s="25" customFormat="1" ht="15.75" customHeight="1" x14ac:dyDescent="0.2">
      <c r="B523" s="89"/>
      <c r="C523"/>
      <c r="D523"/>
      <c r="E523" s="69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  <c r="V523"/>
      <c r="W523"/>
      <c r="X523"/>
      <c r="Y523"/>
      <c r="Z523"/>
      <c r="AA523"/>
    </row>
    <row r="524" spans="2:27" s="25" customFormat="1" ht="15.75" customHeight="1" x14ac:dyDescent="0.2">
      <c r="B524" s="89"/>
      <c r="C524"/>
      <c r="D524"/>
      <c r="E524" s="69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  <c r="V524"/>
      <c r="W524"/>
      <c r="X524"/>
      <c r="Y524"/>
      <c r="Z524"/>
      <c r="AA524"/>
    </row>
    <row r="525" spans="2:27" s="25" customFormat="1" ht="15.75" customHeight="1" x14ac:dyDescent="0.2">
      <c r="B525" s="89"/>
      <c r="C525"/>
      <c r="D525"/>
      <c r="E525" s="69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  <c r="V525"/>
      <c r="W525"/>
      <c r="X525"/>
      <c r="Y525"/>
      <c r="Z525"/>
      <c r="AA525"/>
    </row>
    <row r="526" spans="2:27" s="25" customFormat="1" ht="15.75" customHeight="1" x14ac:dyDescent="0.2">
      <c r="B526" s="89"/>
      <c r="C526"/>
      <c r="D526"/>
      <c r="E526" s="69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  <c r="V526"/>
      <c r="W526"/>
      <c r="X526"/>
      <c r="Y526"/>
      <c r="Z526"/>
      <c r="AA526"/>
    </row>
    <row r="527" spans="2:27" s="25" customFormat="1" ht="15.75" customHeight="1" x14ac:dyDescent="0.2">
      <c r="B527" s="89"/>
      <c r="C527"/>
      <c r="D527"/>
      <c r="E527" s="69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  <c r="V527"/>
      <c r="W527"/>
      <c r="X527"/>
      <c r="Y527"/>
      <c r="Z527"/>
      <c r="AA527"/>
    </row>
    <row r="528" spans="2:27" s="25" customFormat="1" ht="15.75" customHeight="1" x14ac:dyDescent="0.2">
      <c r="B528" s="89"/>
      <c r="C528"/>
      <c r="D528"/>
      <c r="E528" s="69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  <c r="V528"/>
      <c r="W528"/>
      <c r="X528"/>
      <c r="Y528"/>
      <c r="Z528"/>
      <c r="AA528"/>
    </row>
    <row r="529" spans="2:27" s="25" customFormat="1" ht="15.75" customHeight="1" x14ac:dyDescent="0.2">
      <c r="B529" s="89"/>
      <c r="C529"/>
      <c r="D529"/>
      <c r="E529" s="6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  <c r="V529"/>
      <c r="W529"/>
      <c r="X529"/>
      <c r="Y529"/>
      <c r="Z529"/>
      <c r="AA529"/>
    </row>
    <row r="530" spans="2:27" s="25" customFormat="1" ht="15.75" customHeight="1" x14ac:dyDescent="0.2">
      <c r="B530" s="89"/>
      <c r="C530"/>
      <c r="D530"/>
      <c r="E530" s="69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  <c r="V530"/>
      <c r="W530"/>
      <c r="X530"/>
      <c r="Y530"/>
      <c r="Z530"/>
      <c r="AA530"/>
    </row>
    <row r="531" spans="2:27" s="25" customFormat="1" ht="15.75" customHeight="1" x14ac:dyDescent="0.2">
      <c r="B531" s="89"/>
      <c r="C531"/>
      <c r="D531"/>
      <c r="E531" s="69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  <c r="V531"/>
      <c r="W531"/>
      <c r="X531"/>
      <c r="Y531"/>
      <c r="Z531"/>
      <c r="AA531"/>
    </row>
    <row r="532" spans="2:27" s="25" customFormat="1" ht="15.75" customHeight="1" x14ac:dyDescent="0.2">
      <c r="B532" s="89"/>
      <c r="C532"/>
      <c r="D532"/>
      <c r="E532" s="69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  <c r="V532"/>
      <c r="W532"/>
      <c r="X532"/>
      <c r="Y532"/>
      <c r="Z532"/>
      <c r="AA532"/>
    </row>
    <row r="533" spans="2:27" s="25" customFormat="1" ht="15.75" customHeight="1" x14ac:dyDescent="0.2">
      <c r="B533" s="89"/>
      <c r="C533"/>
      <c r="D533"/>
      <c r="E533" s="69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  <c r="V533"/>
      <c r="W533"/>
      <c r="X533"/>
      <c r="Y533"/>
      <c r="Z533"/>
      <c r="AA533"/>
    </row>
    <row r="534" spans="2:27" s="25" customFormat="1" ht="15.75" customHeight="1" x14ac:dyDescent="0.2">
      <c r="B534" s="89"/>
      <c r="C534"/>
      <c r="D534"/>
      <c r="E534" s="69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  <c r="V534"/>
      <c r="W534"/>
      <c r="X534"/>
      <c r="Y534"/>
      <c r="Z534"/>
      <c r="AA534"/>
    </row>
    <row r="535" spans="2:27" s="25" customFormat="1" ht="15.75" customHeight="1" x14ac:dyDescent="0.2">
      <c r="B535" s="89"/>
      <c r="C535"/>
      <c r="D535"/>
      <c r="E535" s="69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  <c r="V535"/>
      <c r="W535"/>
      <c r="X535"/>
      <c r="Y535"/>
      <c r="Z535"/>
      <c r="AA535"/>
    </row>
    <row r="536" spans="2:27" s="25" customFormat="1" ht="15.75" customHeight="1" x14ac:dyDescent="0.2">
      <c r="B536" s="89"/>
      <c r="C536"/>
      <c r="D536"/>
      <c r="E536" s="69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  <c r="V536"/>
      <c r="W536"/>
      <c r="X536"/>
      <c r="Y536"/>
      <c r="Z536"/>
      <c r="AA536"/>
    </row>
    <row r="537" spans="2:27" s="25" customFormat="1" ht="15.75" customHeight="1" x14ac:dyDescent="0.2">
      <c r="B537" s="89"/>
      <c r="C537"/>
      <c r="D537"/>
      <c r="E537" s="69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  <c r="V537"/>
      <c r="W537"/>
      <c r="X537"/>
      <c r="Y537"/>
      <c r="Z537"/>
      <c r="AA537"/>
    </row>
    <row r="538" spans="2:27" s="25" customFormat="1" ht="15.75" customHeight="1" x14ac:dyDescent="0.2">
      <c r="B538" s="89"/>
      <c r="C538"/>
      <c r="D538"/>
      <c r="E538" s="69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  <c r="V538"/>
      <c r="W538"/>
      <c r="X538"/>
      <c r="Y538"/>
      <c r="Z538"/>
      <c r="AA538"/>
    </row>
    <row r="539" spans="2:27" s="25" customFormat="1" ht="15.75" customHeight="1" x14ac:dyDescent="0.2">
      <c r="B539" s="89"/>
      <c r="C539"/>
      <c r="D539"/>
      <c r="E539" s="6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  <c r="V539"/>
      <c r="W539"/>
      <c r="X539"/>
      <c r="Y539"/>
      <c r="Z539"/>
      <c r="AA539"/>
    </row>
    <row r="540" spans="2:27" s="25" customFormat="1" ht="15.75" customHeight="1" x14ac:dyDescent="0.2">
      <c r="B540" s="89"/>
      <c r="C540"/>
      <c r="D540"/>
      <c r="E540" s="69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  <c r="V540"/>
      <c r="W540"/>
      <c r="X540"/>
      <c r="Y540"/>
      <c r="Z540"/>
      <c r="AA540"/>
    </row>
    <row r="541" spans="2:27" s="25" customFormat="1" ht="15.75" customHeight="1" x14ac:dyDescent="0.2">
      <c r="B541" s="89"/>
      <c r="C541"/>
      <c r="D541"/>
      <c r="E541" s="69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  <c r="V541"/>
      <c r="W541"/>
      <c r="X541"/>
      <c r="Y541"/>
      <c r="Z541"/>
      <c r="AA541"/>
    </row>
    <row r="542" spans="2:27" s="25" customFormat="1" ht="15.75" customHeight="1" x14ac:dyDescent="0.2">
      <c r="B542" s="89"/>
      <c r="C542"/>
      <c r="D542"/>
      <c r="E542" s="69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  <c r="V542"/>
      <c r="W542"/>
      <c r="X542"/>
      <c r="Y542"/>
      <c r="Z542"/>
      <c r="AA542"/>
    </row>
    <row r="543" spans="2:27" s="25" customFormat="1" ht="15.75" customHeight="1" x14ac:dyDescent="0.2">
      <c r="B543" s="89"/>
      <c r="C543"/>
      <c r="D543"/>
      <c r="E543" s="69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  <c r="V543"/>
      <c r="W543"/>
      <c r="X543"/>
      <c r="Y543"/>
      <c r="Z543"/>
      <c r="AA543"/>
    </row>
    <row r="544" spans="2:27" s="25" customFormat="1" ht="15.75" customHeight="1" x14ac:dyDescent="0.2">
      <c r="B544" s="89"/>
      <c r="C544"/>
      <c r="D544"/>
      <c r="E544" s="69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  <c r="V544"/>
      <c r="W544"/>
      <c r="X544"/>
      <c r="Y544"/>
      <c r="Z544"/>
      <c r="AA544"/>
    </row>
    <row r="545" spans="2:27" s="25" customFormat="1" ht="15.75" customHeight="1" x14ac:dyDescent="0.2">
      <c r="B545" s="89"/>
      <c r="C545"/>
      <c r="D545"/>
      <c r="E545" s="69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  <c r="V545"/>
      <c r="W545"/>
      <c r="X545"/>
      <c r="Y545"/>
      <c r="Z545"/>
      <c r="AA545"/>
    </row>
    <row r="546" spans="2:27" s="25" customFormat="1" ht="15.75" customHeight="1" x14ac:dyDescent="0.2">
      <c r="B546" s="89"/>
      <c r="C546"/>
      <c r="D546"/>
      <c r="E546" s="69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  <c r="V546"/>
      <c r="W546"/>
      <c r="X546"/>
      <c r="Y546"/>
      <c r="Z546"/>
      <c r="AA546"/>
    </row>
    <row r="547" spans="2:27" s="25" customFormat="1" ht="15.75" customHeight="1" x14ac:dyDescent="0.2">
      <c r="B547" s="89"/>
      <c r="C547"/>
      <c r="D547"/>
      <c r="E547" s="69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  <c r="V547"/>
      <c r="W547"/>
      <c r="X547"/>
      <c r="Y547"/>
      <c r="Z547"/>
      <c r="AA547"/>
    </row>
    <row r="548" spans="2:27" s="25" customFormat="1" ht="15.75" customHeight="1" x14ac:dyDescent="0.2">
      <c r="B548" s="89"/>
      <c r="C548"/>
      <c r="D548"/>
      <c r="E548" s="69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  <c r="V548"/>
      <c r="W548"/>
      <c r="X548"/>
      <c r="Y548"/>
      <c r="Z548"/>
      <c r="AA548"/>
    </row>
    <row r="549" spans="2:27" s="25" customFormat="1" ht="15.75" customHeight="1" x14ac:dyDescent="0.2">
      <c r="B549" s="89"/>
      <c r="C549"/>
      <c r="D549"/>
      <c r="E549" s="6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  <c r="U549"/>
      <c r="V549"/>
      <c r="W549"/>
      <c r="X549"/>
      <c r="Y549"/>
      <c r="Z549"/>
      <c r="AA549"/>
    </row>
    <row r="550" spans="2:27" s="25" customFormat="1" ht="15.75" customHeight="1" x14ac:dyDescent="0.2">
      <c r="B550" s="89"/>
      <c r="C550"/>
      <c r="D550"/>
      <c r="E550" s="69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  <c r="V550"/>
      <c r="W550"/>
      <c r="X550"/>
      <c r="Y550"/>
      <c r="Z550"/>
      <c r="AA550"/>
    </row>
    <row r="551" spans="2:27" s="25" customFormat="1" ht="15.75" customHeight="1" x14ac:dyDescent="0.2">
      <c r="B551" s="89"/>
      <c r="C551"/>
      <c r="D551"/>
      <c r="E551" s="69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  <c r="V551"/>
      <c r="W551"/>
      <c r="X551"/>
      <c r="Y551"/>
      <c r="Z551"/>
      <c r="AA551"/>
    </row>
    <row r="552" spans="2:27" s="25" customFormat="1" ht="15.75" customHeight="1" x14ac:dyDescent="0.2">
      <c r="B552" s="89"/>
      <c r="C552"/>
      <c r="D552"/>
      <c r="E552" s="69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  <c r="V552"/>
      <c r="W552"/>
      <c r="X552"/>
      <c r="Y552"/>
      <c r="Z552"/>
      <c r="AA552"/>
    </row>
    <row r="553" spans="2:27" s="25" customFormat="1" ht="15.75" customHeight="1" x14ac:dyDescent="0.2">
      <c r="B553" s="89"/>
      <c r="C553"/>
      <c r="D553"/>
      <c r="E553" s="69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  <c r="V553"/>
      <c r="W553"/>
      <c r="X553"/>
      <c r="Y553"/>
      <c r="Z553"/>
      <c r="AA553"/>
    </row>
    <row r="554" spans="2:27" s="25" customFormat="1" ht="15.75" customHeight="1" x14ac:dyDescent="0.2">
      <c r="B554" s="89"/>
      <c r="C554"/>
      <c r="D554"/>
      <c r="E554" s="69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  <c r="V554"/>
      <c r="W554"/>
      <c r="X554"/>
      <c r="Y554"/>
      <c r="Z554"/>
      <c r="AA554"/>
    </row>
    <row r="555" spans="2:27" s="25" customFormat="1" ht="15.75" customHeight="1" x14ac:dyDescent="0.2">
      <c r="B555" s="89"/>
      <c r="C555"/>
      <c r="D555"/>
      <c r="E555" s="69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  <c r="V555"/>
      <c r="W555"/>
      <c r="X555"/>
      <c r="Y555"/>
      <c r="Z555"/>
      <c r="AA555"/>
    </row>
    <row r="556" spans="2:27" s="25" customFormat="1" ht="15.75" customHeight="1" x14ac:dyDescent="0.2">
      <c r="B556" s="89"/>
      <c r="C556"/>
      <c r="D556"/>
      <c r="E556" s="69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  <c r="V556"/>
      <c r="W556"/>
      <c r="X556"/>
      <c r="Y556"/>
      <c r="Z556"/>
      <c r="AA556"/>
    </row>
    <row r="557" spans="2:27" s="25" customFormat="1" ht="15.75" customHeight="1" x14ac:dyDescent="0.2">
      <c r="B557" s="89"/>
      <c r="C557"/>
      <c r="D557"/>
      <c r="E557" s="69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  <c r="V557"/>
      <c r="W557"/>
      <c r="X557"/>
      <c r="Y557"/>
      <c r="Z557"/>
      <c r="AA557"/>
    </row>
    <row r="558" spans="2:27" s="25" customFormat="1" ht="15.75" customHeight="1" x14ac:dyDescent="0.2">
      <c r="B558" s="89"/>
      <c r="C558"/>
      <c r="D558"/>
      <c r="E558" s="69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  <c r="V558"/>
      <c r="W558"/>
      <c r="X558"/>
      <c r="Y558"/>
      <c r="Z558"/>
      <c r="AA558"/>
    </row>
    <row r="559" spans="2:27" s="25" customFormat="1" ht="15.75" customHeight="1" x14ac:dyDescent="0.2">
      <c r="B559" s="89"/>
      <c r="C559"/>
      <c r="D559"/>
      <c r="E559" s="6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  <c r="V559"/>
      <c r="W559"/>
      <c r="X559"/>
      <c r="Y559"/>
      <c r="Z559"/>
      <c r="AA559"/>
    </row>
    <row r="560" spans="2:27" s="25" customFormat="1" ht="15.75" customHeight="1" x14ac:dyDescent="0.2">
      <c r="B560" s="89"/>
      <c r="C560"/>
      <c r="D560"/>
      <c r="E560" s="69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  <c r="V560"/>
      <c r="W560"/>
      <c r="X560"/>
      <c r="Y560"/>
      <c r="Z560"/>
      <c r="AA560"/>
    </row>
    <row r="561" spans="2:27" s="25" customFormat="1" ht="15.75" customHeight="1" x14ac:dyDescent="0.2">
      <c r="B561" s="89"/>
      <c r="C561"/>
      <c r="D561"/>
      <c r="E561" s="69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  <c r="V561"/>
      <c r="W561"/>
      <c r="X561"/>
      <c r="Y561"/>
      <c r="Z561"/>
      <c r="AA561"/>
    </row>
    <row r="562" spans="2:27" s="25" customFormat="1" ht="15.75" customHeight="1" x14ac:dyDescent="0.2">
      <c r="B562" s="89"/>
      <c r="C562"/>
      <c r="D562"/>
      <c r="E562" s="69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  <c r="V562"/>
      <c r="W562"/>
      <c r="X562"/>
      <c r="Y562"/>
      <c r="Z562"/>
      <c r="AA562"/>
    </row>
    <row r="563" spans="2:27" s="25" customFormat="1" ht="15.75" customHeight="1" x14ac:dyDescent="0.2">
      <c r="B563" s="89"/>
      <c r="C563"/>
      <c r="D563"/>
      <c r="E563" s="69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  <c r="V563"/>
      <c r="W563"/>
      <c r="X563"/>
      <c r="Y563"/>
      <c r="Z563"/>
      <c r="AA563"/>
    </row>
    <row r="564" spans="2:27" s="25" customFormat="1" ht="15.75" customHeight="1" x14ac:dyDescent="0.2">
      <c r="B564" s="89"/>
      <c r="C564"/>
      <c r="D564"/>
      <c r="E564" s="69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  <c r="V564"/>
      <c r="W564"/>
      <c r="X564"/>
      <c r="Y564"/>
      <c r="Z564"/>
      <c r="AA564"/>
    </row>
    <row r="565" spans="2:27" s="25" customFormat="1" ht="15.75" customHeight="1" x14ac:dyDescent="0.2">
      <c r="B565" s="89"/>
      <c r="C565"/>
      <c r="D565"/>
      <c r="E565" s="69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  <c r="V565"/>
      <c r="W565"/>
      <c r="X565"/>
      <c r="Y565"/>
      <c r="Z565"/>
      <c r="AA565"/>
    </row>
    <row r="566" spans="2:27" s="25" customFormat="1" ht="15.75" customHeight="1" x14ac:dyDescent="0.2">
      <c r="B566" s="89"/>
      <c r="C566"/>
      <c r="D566"/>
      <c r="E566" s="69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  <c r="V566"/>
      <c r="W566"/>
      <c r="X566"/>
      <c r="Y566"/>
      <c r="Z566"/>
      <c r="AA566"/>
    </row>
    <row r="567" spans="2:27" s="25" customFormat="1" ht="15.75" customHeight="1" x14ac:dyDescent="0.2">
      <c r="B567" s="89"/>
      <c r="C567"/>
      <c r="D567"/>
      <c r="E567" s="69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  <c r="V567"/>
      <c r="W567"/>
      <c r="X567"/>
      <c r="Y567"/>
      <c r="Z567"/>
      <c r="AA567"/>
    </row>
    <row r="568" spans="2:27" s="25" customFormat="1" ht="15.75" customHeight="1" x14ac:dyDescent="0.2">
      <c r="B568" s="89"/>
      <c r="C568"/>
      <c r="D568"/>
      <c r="E568" s="69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  <c r="V568"/>
      <c r="W568"/>
      <c r="X568"/>
      <c r="Y568"/>
      <c r="Z568"/>
      <c r="AA568"/>
    </row>
    <row r="569" spans="2:27" s="25" customFormat="1" ht="15.75" customHeight="1" x14ac:dyDescent="0.2">
      <c r="B569" s="89"/>
      <c r="C569"/>
      <c r="D569"/>
      <c r="E569" s="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  <c r="V569"/>
      <c r="W569"/>
      <c r="X569"/>
      <c r="Y569"/>
      <c r="Z569"/>
      <c r="AA569"/>
    </row>
    <row r="570" spans="2:27" s="25" customFormat="1" ht="15.75" customHeight="1" x14ac:dyDescent="0.2">
      <c r="B570" s="89"/>
      <c r="C570"/>
      <c r="D570"/>
      <c r="E570" s="69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  <c r="V570"/>
      <c r="W570"/>
      <c r="X570"/>
      <c r="Y570"/>
      <c r="Z570"/>
      <c r="AA570"/>
    </row>
    <row r="571" spans="2:27" s="25" customFormat="1" ht="15.75" customHeight="1" x14ac:dyDescent="0.2">
      <c r="B571" s="89"/>
      <c r="C571"/>
      <c r="D571"/>
      <c r="E571" s="69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  <c r="V571"/>
      <c r="W571"/>
      <c r="X571"/>
      <c r="Y571"/>
      <c r="Z571"/>
      <c r="AA571"/>
    </row>
    <row r="572" spans="2:27" s="25" customFormat="1" ht="15.75" customHeight="1" x14ac:dyDescent="0.2">
      <c r="B572" s="89"/>
      <c r="C572"/>
      <c r="D572"/>
      <c r="E572" s="69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  <c r="V572"/>
      <c r="W572"/>
      <c r="X572"/>
      <c r="Y572"/>
      <c r="Z572"/>
      <c r="AA572"/>
    </row>
    <row r="573" spans="2:27" s="25" customFormat="1" ht="15.75" customHeight="1" x14ac:dyDescent="0.2">
      <c r="B573" s="89"/>
      <c r="C573"/>
      <c r="D573"/>
      <c r="E573" s="69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  <c r="V573"/>
      <c r="W573"/>
      <c r="X573"/>
      <c r="Y573"/>
      <c r="Z573"/>
      <c r="AA573"/>
    </row>
    <row r="574" spans="2:27" s="25" customFormat="1" ht="15.75" customHeight="1" x14ac:dyDescent="0.2">
      <c r="B574" s="89"/>
      <c r="C574"/>
      <c r="D574"/>
      <c r="E574" s="69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  <c r="V574"/>
      <c r="W574"/>
      <c r="X574"/>
      <c r="Y574"/>
      <c r="Z574"/>
      <c r="AA574"/>
    </row>
    <row r="575" spans="2:27" s="25" customFormat="1" ht="15.75" customHeight="1" x14ac:dyDescent="0.2">
      <c r="B575" s="89"/>
      <c r="C575"/>
      <c r="D575"/>
      <c r="E575" s="69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  <c r="V575"/>
      <c r="W575"/>
      <c r="X575"/>
      <c r="Y575"/>
      <c r="Z575"/>
      <c r="AA575"/>
    </row>
    <row r="576" spans="2:27" s="25" customFormat="1" ht="15.75" customHeight="1" x14ac:dyDescent="0.2">
      <c r="B576" s="89"/>
      <c r="C576"/>
      <c r="D576"/>
      <c r="E576" s="69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  <c r="V576"/>
      <c r="W576"/>
      <c r="X576"/>
      <c r="Y576"/>
      <c r="Z576"/>
      <c r="AA576"/>
    </row>
    <row r="577" spans="2:27" s="25" customFormat="1" ht="15.75" customHeight="1" x14ac:dyDescent="0.2">
      <c r="B577" s="89"/>
      <c r="C577"/>
      <c r="D577"/>
      <c r="E577" s="69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  <c r="V577"/>
      <c r="W577"/>
      <c r="X577"/>
      <c r="Y577"/>
      <c r="Z577"/>
      <c r="AA577"/>
    </row>
    <row r="578" spans="2:27" s="25" customFormat="1" ht="15.75" customHeight="1" x14ac:dyDescent="0.2">
      <c r="B578" s="89"/>
      <c r="C578"/>
      <c r="D578"/>
      <c r="E578" s="69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  <c r="V578"/>
      <c r="W578"/>
      <c r="X578"/>
      <c r="Y578"/>
      <c r="Z578"/>
      <c r="AA578"/>
    </row>
    <row r="579" spans="2:27" s="25" customFormat="1" ht="15.75" customHeight="1" x14ac:dyDescent="0.2">
      <c r="B579" s="89"/>
      <c r="C579"/>
      <c r="D579"/>
      <c r="E579" s="6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  <c r="V579"/>
      <c r="W579"/>
      <c r="X579"/>
      <c r="Y579"/>
      <c r="Z579"/>
      <c r="AA579"/>
    </row>
    <row r="580" spans="2:27" s="25" customFormat="1" ht="15.75" customHeight="1" x14ac:dyDescent="0.2">
      <c r="B580" s="89"/>
      <c r="C580"/>
      <c r="D580"/>
      <c r="E580" s="69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  <c r="V580"/>
      <c r="W580"/>
      <c r="X580"/>
      <c r="Y580"/>
      <c r="Z580"/>
      <c r="AA580"/>
    </row>
    <row r="581" spans="2:27" s="25" customFormat="1" ht="15.75" customHeight="1" x14ac:dyDescent="0.2">
      <c r="B581" s="89"/>
      <c r="C581"/>
      <c r="D581"/>
      <c r="E581" s="69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  <c r="V581"/>
      <c r="W581"/>
      <c r="X581"/>
      <c r="Y581"/>
      <c r="Z581"/>
      <c r="AA581"/>
    </row>
    <row r="582" spans="2:27" s="25" customFormat="1" ht="15.75" customHeight="1" x14ac:dyDescent="0.2">
      <c r="B582" s="89"/>
      <c r="C582"/>
      <c r="D582"/>
      <c r="E582" s="69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  <c r="V582"/>
      <c r="W582"/>
      <c r="X582"/>
      <c r="Y582"/>
      <c r="Z582"/>
      <c r="AA582"/>
    </row>
    <row r="583" spans="2:27" s="25" customFormat="1" ht="15.75" customHeight="1" x14ac:dyDescent="0.2">
      <c r="B583" s="89"/>
      <c r="C583"/>
      <c r="D583"/>
      <c r="E583" s="69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  <c r="U583"/>
      <c r="V583"/>
      <c r="W583"/>
      <c r="X583"/>
      <c r="Y583"/>
      <c r="Z583"/>
      <c r="AA583"/>
    </row>
    <row r="584" spans="2:27" s="25" customFormat="1" ht="15.75" customHeight="1" x14ac:dyDescent="0.2">
      <c r="B584" s="89"/>
      <c r="C584"/>
      <c r="D584"/>
      <c r="E584" s="69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  <c r="V584"/>
      <c r="W584"/>
      <c r="X584"/>
      <c r="Y584"/>
      <c r="Z584"/>
      <c r="AA584"/>
    </row>
    <row r="585" spans="2:27" s="25" customFormat="1" ht="15.75" customHeight="1" x14ac:dyDescent="0.2">
      <c r="B585" s="89"/>
      <c r="C585"/>
      <c r="D585"/>
      <c r="E585" s="69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  <c r="V585"/>
      <c r="W585"/>
      <c r="X585"/>
      <c r="Y585"/>
      <c r="Z585"/>
      <c r="AA585"/>
    </row>
    <row r="586" spans="2:27" s="25" customFormat="1" ht="15.75" customHeight="1" x14ac:dyDescent="0.2">
      <c r="B586" s="89"/>
      <c r="C586"/>
      <c r="D586"/>
      <c r="E586" s="69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  <c r="V586"/>
      <c r="W586"/>
      <c r="X586"/>
      <c r="Y586"/>
      <c r="Z586"/>
      <c r="AA586"/>
    </row>
    <row r="587" spans="2:27" s="25" customFormat="1" ht="15.75" customHeight="1" x14ac:dyDescent="0.2">
      <c r="B587" s="89"/>
      <c r="C587"/>
      <c r="D587"/>
      <c r="E587" s="69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  <c r="V587"/>
      <c r="W587"/>
      <c r="X587"/>
      <c r="Y587"/>
      <c r="Z587"/>
      <c r="AA587"/>
    </row>
    <row r="588" spans="2:27" s="25" customFormat="1" ht="15.75" customHeight="1" x14ac:dyDescent="0.2">
      <c r="B588" s="89"/>
      <c r="C588"/>
      <c r="D588"/>
      <c r="E588" s="69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  <c r="V588"/>
      <c r="W588"/>
      <c r="X588"/>
      <c r="Y588"/>
      <c r="Z588"/>
      <c r="AA588"/>
    </row>
    <row r="589" spans="2:27" s="25" customFormat="1" ht="15.75" customHeight="1" x14ac:dyDescent="0.2">
      <c r="B589" s="89"/>
      <c r="C589"/>
      <c r="D589"/>
      <c r="E589" s="6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  <c r="V589"/>
      <c r="W589"/>
      <c r="X589"/>
      <c r="Y589"/>
      <c r="Z589"/>
      <c r="AA589"/>
    </row>
    <row r="590" spans="2:27" s="25" customFormat="1" ht="15.75" customHeight="1" x14ac:dyDescent="0.2">
      <c r="B590" s="89"/>
      <c r="C590"/>
      <c r="D590"/>
      <c r="E590" s="69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  <c r="V590"/>
      <c r="W590"/>
      <c r="X590"/>
      <c r="Y590"/>
      <c r="Z590"/>
      <c r="AA590"/>
    </row>
    <row r="591" spans="2:27" s="25" customFormat="1" ht="15.75" customHeight="1" x14ac:dyDescent="0.2">
      <c r="B591" s="89"/>
      <c r="C591"/>
      <c r="D591"/>
      <c r="E591" s="69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  <c r="U591"/>
      <c r="V591"/>
      <c r="W591"/>
      <c r="X591"/>
      <c r="Y591"/>
      <c r="Z591"/>
      <c r="AA591"/>
    </row>
    <row r="592" spans="2:27" s="25" customFormat="1" ht="15.75" customHeight="1" x14ac:dyDescent="0.2">
      <c r="B592" s="89"/>
      <c r="C592"/>
      <c r="D592"/>
      <c r="E592" s="69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  <c r="V592"/>
      <c r="W592"/>
      <c r="X592"/>
      <c r="Y592"/>
      <c r="Z592"/>
      <c r="AA592"/>
    </row>
    <row r="593" spans="2:27" s="25" customFormat="1" ht="15.75" customHeight="1" x14ac:dyDescent="0.2">
      <c r="B593" s="89"/>
      <c r="C593"/>
      <c r="D593"/>
      <c r="E593" s="69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  <c r="V593"/>
      <c r="W593"/>
      <c r="X593"/>
      <c r="Y593"/>
      <c r="Z593"/>
      <c r="AA593"/>
    </row>
    <row r="594" spans="2:27" s="25" customFormat="1" ht="15.75" customHeight="1" x14ac:dyDescent="0.2">
      <c r="B594" s="89"/>
      <c r="C594"/>
      <c r="D594"/>
      <c r="E594" s="69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  <c r="V594"/>
      <c r="W594"/>
      <c r="X594"/>
      <c r="Y594"/>
      <c r="Z594"/>
      <c r="AA594"/>
    </row>
    <row r="595" spans="2:27" s="25" customFormat="1" ht="15.75" customHeight="1" x14ac:dyDescent="0.2">
      <c r="B595" s="89"/>
      <c r="C595"/>
      <c r="D595"/>
      <c r="E595" s="69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  <c r="V595"/>
      <c r="W595"/>
      <c r="X595"/>
      <c r="Y595"/>
      <c r="Z595"/>
      <c r="AA595"/>
    </row>
    <row r="596" spans="2:27" s="25" customFormat="1" ht="15.75" customHeight="1" x14ac:dyDescent="0.2">
      <c r="B596" s="89"/>
      <c r="C596"/>
      <c r="D596"/>
      <c r="E596" s="69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  <c r="V596"/>
      <c r="W596"/>
      <c r="X596"/>
      <c r="Y596"/>
      <c r="Z596"/>
      <c r="AA596"/>
    </row>
    <row r="597" spans="2:27" s="25" customFormat="1" ht="15.75" customHeight="1" x14ac:dyDescent="0.2">
      <c r="B597" s="89"/>
      <c r="C597"/>
      <c r="D597"/>
      <c r="E597" s="69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  <c r="V597"/>
      <c r="W597"/>
      <c r="X597"/>
      <c r="Y597"/>
      <c r="Z597"/>
      <c r="AA597"/>
    </row>
    <row r="598" spans="2:27" s="25" customFormat="1" ht="15.75" customHeight="1" x14ac:dyDescent="0.2">
      <c r="B598" s="89"/>
      <c r="C598"/>
      <c r="D598"/>
      <c r="E598" s="69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  <c r="V598"/>
      <c r="W598"/>
      <c r="X598"/>
      <c r="Y598"/>
      <c r="Z598"/>
      <c r="AA598"/>
    </row>
    <row r="599" spans="2:27" s="25" customFormat="1" ht="15.75" customHeight="1" x14ac:dyDescent="0.2">
      <c r="B599" s="89"/>
      <c r="C599"/>
      <c r="D599"/>
      <c r="E599" s="6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  <c r="V599"/>
      <c r="W599"/>
      <c r="X599"/>
      <c r="Y599"/>
      <c r="Z599"/>
      <c r="AA599"/>
    </row>
    <row r="600" spans="2:27" s="25" customFormat="1" ht="15.75" customHeight="1" x14ac:dyDescent="0.2">
      <c r="B600" s="89"/>
      <c r="C600"/>
      <c r="D600"/>
      <c r="E600" s="69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  <c r="V600"/>
      <c r="W600"/>
      <c r="X600"/>
      <c r="Y600"/>
      <c r="Z600"/>
      <c r="AA600"/>
    </row>
    <row r="601" spans="2:27" s="25" customFormat="1" ht="15.75" customHeight="1" x14ac:dyDescent="0.2">
      <c r="B601" s="89"/>
      <c r="C601"/>
      <c r="D601"/>
      <c r="E601" s="69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  <c r="V601"/>
      <c r="W601"/>
      <c r="X601"/>
      <c r="Y601"/>
      <c r="Z601"/>
      <c r="AA601"/>
    </row>
    <row r="602" spans="2:27" s="25" customFormat="1" ht="15.75" customHeight="1" x14ac:dyDescent="0.2">
      <c r="B602" s="89"/>
      <c r="C602"/>
      <c r="D602"/>
      <c r="E602" s="69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  <c r="V602"/>
      <c r="W602"/>
      <c r="X602"/>
      <c r="Y602"/>
      <c r="Z602"/>
      <c r="AA602"/>
    </row>
    <row r="603" spans="2:27" s="25" customFormat="1" ht="15.75" customHeight="1" x14ac:dyDescent="0.2">
      <c r="B603" s="89"/>
      <c r="C603"/>
      <c r="D603"/>
      <c r="E603" s="69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  <c r="V603"/>
      <c r="W603"/>
      <c r="X603"/>
      <c r="Y603"/>
      <c r="Z603"/>
      <c r="AA603"/>
    </row>
    <row r="604" spans="2:27" s="25" customFormat="1" ht="15.75" customHeight="1" x14ac:dyDescent="0.2">
      <c r="B604" s="89"/>
      <c r="C604"/>
      <c r="D604"/>
      <c r="E604" s="69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  <c r="V604"/>
      <c r="W604"/>
      <c r="X604"/>
      <c r="Y604"/>
      <c r="Z604"/>
      <c r="AA604"/>
    </row>
    <row r="605" spans="2:27" s="25" customFormat="1" ht="15.75" customHeight="1" x14ac:dyDescent="0.2">
      <c r="B605" s="89"/>
      <c r="C605"/>
      <c r="D605"/>
      <c r="E605" s="69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  <c r="V605"/>
      <c r="W605"/>
      <c r="X605"/>
      <c r="Y605"/>
      <c r="Z605"/>
      <c r="AA605"/>
    </row>
    <row r="606" spans="2:27" s="25" customFormat="1" ht="15.75" customHeight="1" x14ac:dyDescent="0.2">
      <c r="B606" s="89"/>
      <c r="C606"/>
      <c r="D606"/>
      <c r="E606" s="69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  <c r="U606"/>
      <c r="V606"/>
      <c r="W606"/>
      <c r="X606"/>
      <c r="Y606"/>
      <c r="Z606"/>
      <c r="AA606"/>
    </row>
    <row r="607" spans="2:27" s="25" customFormat="1" ht="15.75" customHeight="1" x14ac:dyDescent="0.2">
      <c r="B607" s="89"/>
      <c r="C607"/>
      <c r="D607"/>
      <c r="E607" s="69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  <c r="U607"/>
      <c r="V607"/>
      <c r="W607"/>
      <c r="X607"/>
      <c r="Y607"/>
      <c r="Z607"/>
      <c r="AA607"/>
    </row>
    <row r="608" spans="2:27" s="25" customFormat="1" ht="15.75" customHeight="1" x14ac:dyDescent="0.2">
      <c r="B608" s="89"/>
      <c r="C608"/>
      <c r="D608"/>
      <c r="E608" s="69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  <c r="V608"/>
      <c r="W608"/>
      <c r="X608"/>
      <c r="Y608"/>
      <c r="Z608"/>
      <c r="AA608"/>
    </row>
    <row r="609" spans="2:27" s="25" customFormat="1" ht="15.75" customHeight="1" x14ac:dyDescent="0.2">
      <c r="B609" s="89"/>
      <c r="C609"/>
      <c r="D609"/>
      <c r="E609" s="6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  <c r="V609"/>
      <c r="W609"/>
      <c r="X609"/>
      <c r="Y609"/>
      <c r="Z609"/>
      <c r="AA609"/>
    </row>
    <row r="610" spans="2:27" s="25" customFormat="1" ht="15.75" customHeight="1" x14ac:dyDescent="0.2">
      <c r="B610" s="89"/>
      <c r="C610"/>
      <c r="D610"/>
      <c r="E610" s="69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  <c r="V610"/>
      <c r="W610"/>
      <c r="X610"/>
      <c r="Y610"/>
      <c r="Z610"/>
      <c r="AA610"/>
    </row>
    <row r="611" spans="2:27" s="25" customFormat="1" ht="15.75" customHeight="1" x14ac:dyDescent="0.2">
      <c r="B611" s="89"/>
      <c r="C611"/>
      <c r="D611"/>
      <c r="E611" s="69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  <c r="V611"/>
      <c r="W611"/>
      <c r="X611"/>
      <c r="Y611"/>
      <c r="Z611"/>
      <c r="AA611"/>
    </row>
    <row r="612" spans="2:27" s="25" customFormat="1" ht="15.75" customHeight="1" x14ac:dyDescent="0.2">
      <c r="B612" s="89"/>
      <c r="C612"/>
      <c r="D612"/>
      <c r="E612" s="69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  <c r="V612"/>
      <c r="W612"/>
      <c r="X612"/>
      <c r="Y612"/>
      <c r="Z612"/>
      <c r="AA612"/>
    </row>
    <row r="613" spans="2:27" s="25" customFormat="1" ht="15.75" customHeight="1" x14ac:dyDescent="0.2">
      <c r="B613" s="89"/>
      <c r="C613"/>
      <c r="D613"/>
      <c r="E613" s="69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  <c r="V613"/>
      <c r="W613"/>
      <c r="X613"/>
      <c r="Y613"/>
      <c r="Z613"/>
      <c r="AA613"/>
    </row>
    <row r="614" spans="2:27" s="25" customFormat="1" ht="15.75" customHeight="1" x14ac:dyDescent="0.2">
      <c r="B614" s="89"/>
      <c r="C614"/>
      <c r="D614"/>
      <c r="E614" s="69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  <c r="V614"/>
      <c r="W614"/>
      <c r="X614"/>
      <c r="Y614"/>
      <c r="Z614"/>
      <c r="AA614"/>
    </row>
    <row r="615" spans="2:27" s="25" customFormat="1" ht="15.75" customHeight="1" x14ac:dyDescent="0.2">
      <c r="B615" s="89"/>
      <c r="C615"/>
      <c r="D615"/>
      <c r="E615" s="69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  <c r="V615"/>
      <c r="W615"/>
      <c r="X615"/>
      <c r="Y615"/>
      <c r="Z615"/>
      <c r="AA615"/>
    </row>
    <row r="616" spans="2:27" s="25" customFormat="1" ht="15.75" customHeight="1" x14ac:dyDescent="0.2">
      <c r="B616" s="89"/>
      <c r="C616"/>
      <c r="D616"/>
      <c r="E616" s="69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  <c r="V616"/>
      <c r="W616"/>
      <c r="X616"/>
      <c r="Y616"/>
      <c r="Z616"/>
      <c r="AA616"/>
    </row>
    <row r="617" spans="2:27" s="25" customFormat="1" ht="15.75" customHeight="1" x14ac:dyDescent="0.2">
      <c r="B617" s="89"/>
      <c r="C617"/>
      <c r="D617"/>
      <c r="E617" s="69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  <c r="V617"/>
      <c r="W617"/>
      <c r="X617"/>
      <c r="Y617"/>
      <c r="Z617"/>
      <c r="AA617"/>
    </row>
    <row r="618" spans="2:27" s="25" customFormat="1" ht="15.75" customHeight="1" x14ac:dyDescent="0.2">
      <c r="B618" s="89"/>
      <c r="C618"/>
      <c r="D618"/>
      <c r="E618" s="69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  <c r="V618"/>
      <c r="W618"/>
      <c r="X618"/>
      <c r="Y618"/>
      <c r="Z618"/>
      <c r="AA618"/>
    </row>
    <row r="619" spans="2:27" s="25" customFormat="1" ht="15.75" customHeight="1" x14ac:dyDescent="0.2">
      <c r="B619" s="89"/>
      <c r="C619"/>
      <c r="D619"/>
      <c r="E619" s="6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  <c r="V619"/>
      <c r="W619"/>
      <c r="X619"/>
      <c r="Y619"/>
      <c r="Z619"/>
      <c r="AA619"/>
    </row>
    <row r="620" spans="2:27" s="25" customFormat="1" ht="15.75" customHeight="1" x14ac:dyDescent="0.2">
      <c r="B620" s="89"/>
      <c r="C620"/>
      <c r="D620"/>
      <c r="E620" s="69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  <c r="V620"/>
      <c r="W620"/>
      <c r="X620"/>
      <c r="Y620"/>
      <c r="Z620"/>
      <c r="AA620"/>
    </row>
    <row r="621" spans="2:27" s="25" customFormat="1" ht="15.75" customHeight="1" x14ac:dyDescent="0.2">
      <c r="B621" s="89"/>
      <c r="C621"/>
      <c r="D621"/>
      <c r="E621" s="69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  <c r="V621"/>
      <c r="W621"/>
      <c r="X621"/>
      <c r="Y621"/>
      <c r="Z621"/>
      <c r="AA621"/>
    </row>
    <row r="622" spans="2:27" s="25" customFormat="1" ht="15.75" customHeight="1" x14ac:dyDescent="0.2">
      <c r="B622" s="89"/>
      <c r="C622"/>
      <c r="D622"/>
      <c r="E622" s="69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  <c r="V622"/>
      <c r="W622"/>
      <c r="X622"/>
      <c r="Y622"/>
      <c r="Z622"/>
      <c r="AA622"/>
    </row>
    <row r="623" spans="2:27" s="25" customFormat="1" ht="15.75" customHeight="1" x14ac:dyDescent="0.2">
      <c r="B623" s="89"/>
      <c r="C623"/>
      <c r="D623"/>
      <c r="E623" s="69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  <c r="V623"/>
      <c r="W623"/>
      <c r="X623"/>
      <c r="Y623"/>
      <c r="Z623"/>
      <c r="AA623"/>
    </row>
    <row r="624" spans="2:27" s="25" customFormat="1" ht="15.75" customHeight="1" x14ac:dyDescent="0.2">
      <c r="B624" s="89"/>
      <c r="C624"/>
      <c r="D624"/>
      <c r="E624" s="69"/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  <c r="T624"/>
      <c r="U624"/>
      <c r="V624"/>
      <c r="W624"/>
      <c r="X624"/>
      <c r="Y624"/>
      <c r="Z624"/>
      <c r="AA624"/>
    </row>
    <row r="625" spans="2:27" s="25" customFormat="1" ht="15.75" customHeight="1" x14ac:dyDescent="0.2">
      <c r="B625" s="89"/>
      <c r="C625"/>
      <c r="D625"/>
      <c r="E625" s="69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  <c r="V625"/>
      <c r="W625"/>
      <c r="X625"/>
      <c r="Y625"/>
      <c r="Z625"/>
      <c r="AA625"/>
    </row>
    <row r="626" spans="2:27" s="25" customFormat="1" ht="15.75" customHeight="1" x14ac:dyDescent="0.2">
      <c r="B626" s="89"/>
      <c r="C626"/>
      <c r="D626"/>
      <c r="E626" s="69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  <c r="V626"/>
      <c r="W626"/>
      <c r="X626"/>
      <c r="Y626"/>
      <c r="Z626"/>
      <c r="AA626"/>
    </row>
    <row r="627" spans="2:27" s="25" customFormat="1" ht="15.75" customHeight="1" x14ac:dyDescent="0.2">
      <c r="B627" s="89"/>
      <c r="C627"/>
      <c r="D627"/>
      <c r="E627" s="69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  <c r="V627"/>
      <c r="W627"/>
      <c r="X627"/>
      <c r="Y627"/>
      <c r="Z627"/>
      <c r="AA627"/>
    </row>
    <row r="628" spans="2:27" s="25" customFormat="1" ht="15.75" customHeight="1" x14ac:dyDescent="0.2">
      <c r="B628" s="89"/>
      <c r="C628"/>
      <c r="D628"/>
      <c r="E628" s="69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  <c r="V628"/>
      <c r="W628"/>
      <c r="X628"/>
      <c r="Y628"/>
      <c r="Z628"/>
      <c r="AA628"/>
    </row>
    <row r="629" spans="2:27" s="25" customFormat="1" ht="15.75" customHeight="1" x14ac:dyDescent="0.2">
      <c r="B629" s="89"/>
      <c r="C629"/>
      <c r="D629"/>
      <c r="E629" s="6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  <c r="V629"/>
      <c r="W629"/>
      <c r="X629"/>
      <c r="Y629"/>
      <c r="Z629"/>
      <c r="AA629"/>
    </row>
    <row r="630" spans="2:27" s="25" customFormat="1" ht="15.75" customHeight="1" x14ac:dyDescent="0.2">
      <c r="B630" s="89"/>
      <c r="C630"/>
      <c r="D630"/>
      <c r="E630" s="69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  <c r="V630"/>
      <c r="W630"/>
      <c r="X630"/>
      <c r="Y630"/>
      <c r="Z630"/>
      <c r="AA630"/>
    </row>
    <row r="631" spans="2:27" s="25" customFormat="1" ht="15.75" customHeight="1" x14ac:dyDescent="0.2">
      <c r="B631" s="89"/>
      <c r="C631"/>
      <c r="D631"/>
      <c r="E631" s="69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  <c r="V631"/>
      <c r="W631"/>
      <c r="X631"/>
      <c r="Y631"/>
      <c r="Z631"/>
      <c r="AA631"/>
    </row>
    <row r="632" spans="2:27" s="25" customFormat="1" ht="15.75" customHeight="1" x14ac:dyDescent="0.2">
      <c r="B632" s="89"/>
      <c r="C632"/>
      <c r="D632"/>
      <c r="E632" s="69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  <c r="V632"/>
      <c r="W632"/>
      <c r="X632"/>
      <c r="Y632"/>
      <c r="Z632"/>
      <c r="AA632"/>
    </row>
    <row r="633" spans="2:27" s="25" customFormat="1" ht="15.75" customHeight="1" x14ac:dyDescent="0.2">
      <c r="B633" s="89"/>
      <c r="C633"/>
      <c r="D633"/>
      <c r="E633" s="69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  <c r="V633"/>
      <c r="W633"/>
      <c r="X633"/>
      <c r="Y633"/>
      <c r="Z633"/>
      <c r="AA633"/>
    </row>
    <row r="634" spans="2:27" s="25" customFormat="1" ht="15.75" customHeight="1" x14ac:dyDescent="0.2">
      <c r="B634" s="89"/>
      <c r="C634"/>
      <c r="D634"/>
      <c r="E634" s="69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  <c r="V634"/>
      <c r="W634"/>
      <c r="X634"/>
      <c r="Y634"/>
      <c r="Z634"/>
      <c r="AA634"/>
    </row>
    <row r="635" spans="2:27" s="25" customFormat="1" ht="15.75" customHeight="1" x14ac:dyDescent="0.2">
      <c r="B635" s="89"/>
      <c r="C635"/>
      <c r="D635"/>
      <c r="E635" s="69"/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  <c r="V635"/>
      <c r="W635"/>
      <c r="X635"/>
      <c r="Y635"/>
      <c r="Z635"/>
      <c r="AA635"/>
    </row>
    <row r="636" spans="2:27" s="25" customFormat="1" ht="15.75" customHeight="1" x14ac:dyDescent="0.2">
      <c r="B636" s="89"/>
      <c r="C636"/>
      <c r="D636"/>
      <c r="E636" s="69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  <c r="V636"/>
      <c r="W636"/>
      <c r="X636"/>
      <c r="Y636"/>
      <c r="Z636"/>
      <c r="AA636"/>
    </row>
    <row r="637" spans="2:27" s="25" customFormat="1" ht="15.75" customHeight="1" x14ac:dyDescent="0.2">
      <c r="B637" s="89"/>
      <c r="C637"/>
      <c r="D637"/>
      <c r="E637" s="69"/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  <c r="V637"/>
      <c r="W637"/>
      <c r="X637"/>
      <c r="Y637"/>
      <c r="Z637"/>
      <c r="AA637"/>
    </row>
    <row r="638" spans="2:27" s="25" customFormat="1" ht="15.75" customHeight="1" x14ac:dyDescent="0.2">
      <c r="B638" s="89"/>
      <c r="C638"/>
      <c r="D638"/>
      <c r="E638" s="69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  <c r="V638"/>
      <c r="W638"/>
      <c r="X638"/>
      <c r="Y638"/>
      <c r="Z638"/>
      <c r="AA638"/>
    </row>
    <row r="639" spans="2:27" s="25" customFormat="1" ht="15.75" customHeight="1" x14ac:dyDescent="0.2">
      <c r="B639" s="89"/>
      <c r="C639"/>
      <c r="D639"/>
      <c r="E639" s="69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  <c r="U639"/>
      <c r="V639"/>
      <c r="W639"/>
      <c r="X639"/>
      <c r="Y639"/>
      <c r="Z639"/>
      <c r="AA639"/>
    </row>
    <row r="640" spans="2:27" s="25" customFormat="1" ht="15.75" customHeight="1" x14ac:dyDescent="0.2">
      <c r="B640" s="89"/>
      <c r="C640"/>
      <c r="D640"/>
      <c r="E640" s="69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  <c r="V640"/>
      <c r="W640"/>
      <c r="X640"/>
      <c r="Y640"/>
      <c r="Z640"/>
      <c r="AA640"/>
    </row>
    <row r="641" spans="2:27" s="25" customFormat="1" ht="15.75" customHeight="1" x14ac:dyDescent="0.2">
      <c r="B641" s="89"/>
      <c r="C641"/>
      <c r="D641"/>
      <c r="E641" s="69"/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/>
      <c r="U641"/>
      <c r="V641"/>
      <c r="W641"/>
      <c r="X641"/>
      <c r="Y641"/>
      <c r="Z641"/>
      <c r="AA641"/>
    </row>
    <row r="642" spans="2:27" s="25" customFormat="1" ht="15.75" customHeight="1" x14ac:dyDescent="0.2">
      <c r="B642" s="89"/>
      <c r="C642"/>
      <c r="D642"/>
      <c r="E642" s="69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  <c r="V642"/>
      <c r="W642"/>
      <c r="X642"/>
      <c r="Y642"/>
      <c r="Z642"/>
      <c r="AA642"/>
    </row>
    <row r="643" spans="2:27" s="25" customFormat="1" ht="15.75" customHeight="1" x14ac:dyDescent="0.2">
      <c r="B643" s="89"/>
      <c r="C643"/>
      <c r="D643"/>
      <c r="E643" s="69"/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  <c r="T643"/>
      <c r="U643"/>
      <c r="V643"/>
      <c r="W643"/>
      <c r="X643"/>
      <c r="Y643"/>
      <c r="Z643"/>
      <c r="AA643"/>
    </row>
    <row r="644" spans="2:27" s="25" customFormat="1" ht="15.75" customHeight="1" x14ac:dyDescent="0.2">
      <c r="B644" s="89"/>
      <c r="C644"/>
      <c r="D644"/>
      <c r="E644" s="69"/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  <c r="U644"/>
      <c r="V644"/>
      <c r="W644"/>
      <c r="X644"/>
      <c r="Y644"/>
      <c r="Z644"/>
      <c r="AA644"/>
    </row>
    <row r="645" spans="2:27" s="25" customFormat="1" ht="15.75" customHeight="1" x14ac:dyDescent="0.2">
      <c r="B645" s="89"/>
      <c r="C645"/>
      <c r="D645"/>
      <c r="E645" s="69"/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  <c r="T645"/>
      <c r="U645"/>
      <c r="V645"/>
      <c r="W645"/>
      <c r="X645"/>
      <c r="Y645"/>
      <c r="Z645"/>
      <c r="AA645"/>
    </row>
    <row r="646" spans="2:27" s="25" customFormat="1" ht="15.75" customHeight="1" x14ac:dyDescent="0.2">
      <c r="B646" s="89"/>
      <c r="C646"/>
      <c r="D646"/>
      <c r="E646" s="69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  <c r="U646"/>
      <c r="V646"/>
      <c r="W646"/>
      <c r="X646"/>
      <c r="Y646"/>
      <c r="Z646"/>
      <c r="AA646"/>
    </row>
    <row r="647" spans="2:27" s="25" customFormat="1" ht="15.75" customHeight="1" x14ac:dyDescent="0.2">
      <c r="B647" s="89"/>
      <c r="C647"/>
      <c r="D647"/>
      <c r="E647" s="69"/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  <c r="V647"/>
      <c r="W647"/>
      <c r="X647"/>
      <c r="Y647"/>
      <c r="Z647"/>
      <c r="AA647"/>
    </row>
    <row r="648" spans="2:27" s="25" customFormat="1" ht="15.75" customHeight="1" x14ac:dyDescent="0.2">
      <c r="B648" s="89"/>
      <c r="C648"/>
      <c r="D648"/>
      <c r="E648" s="69"/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  <c r="U648"/>
      <c r="V648"/>
      <c r="W648"/>
      <c r="X648"/>
      <c r="Y648"/>
      <c r="Z648"/>
      <c r="AA648"/>
    </row>
    <row r="649" spans="2:27" s="25" customFormat="1" ht="15.75" customHeight="1" x14ac:dyDescent="0.2">
      <c r="B649" s="89"/>
      <c r="C649"/>
      <c r="D649"/>
      <c r="E649" s="69"/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  <c r="T649"/>
      <c r="U649"/>
      <c r="V649"/>
      <c r="W649"/>
      <c r="X649"/>
      <c r="Y649"/>
      <c r="Z649"/>
      <c r="AA649"/>
    </row>
    <row r="650" spans="2:27" s="25" customFormat="1" ht="15.75" customHeight="1" x14ac:dyDescent="0.2">
      <c r="B650" s="89"/>
      <c r="C650"/>
      <c r="D650"/>
      <c r="E650" s="69"/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  <c r="T650"/>
      <c r="U650"/>
      <c r="V650"/>
      <c r="W650"/>
      <c r="X650"/>
      <c r="Y650"/>
      <c r="Z650"/>
      <c r="AA650"/>
    </row>
    <row r="651" spans="2:27" s="25" customFormat="1" ht="15.75" customHeight="1" x14ac:dyDescent="0.2">
      <c r="B651" s="89"/>
      <c r="C651"/>
      <c r="D651"/>
      <c r="E651" s="69"/>
      <c r="F651"/>
      <c r="G651"/>
      <c r="H651"/>
      <c r="I651"/>
      <c r="J651"/>
      <c r="K651"/>
      <c r="L651"/>
      <c r="M651"/>
      <c r="N651"/>
      <c r="O651"/>
      <c r="P651"/>
      <c r="Q651"/>
      <c r="R651"/>
      <c r="S651"/>
      <c r="T651"/>
      <c r="U651"/>
      <c r="V651"/>
      <c r="W651"/>
      <c r="X651"/>
      <c r="Y651"/>
      <c r="Z651"/>
      <c r="AA651"/>
    </row>
    <row r="652" spans="2:27" s="25" customFormat="1" ht="15.75" customHeight="1" x14ac:dyDescent="0.2">
      <c r="B652" s="89"/>
      <c r="C652"/>
      <c r="D652"/>
      <c r="E652" s="69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  <c r="V652"/>
      <c r="W652"/>
      <c r="X652"/>
      <c r="Y652"/>
      <c r="Z652"/>
      <c r="AA652"/>
    </row>
    <row r="653" spans="2:27" s="25" customFormat="1" ht="15.75" customHeight="1" x14ac:dyDescent="0.2">
      <c r="B653" s="89"/>
      <c r="C653"/>
      <c r="D653"/>
      <c r="E653" s="69"/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  <c r="T653"/>
      <c r="U653"/>
      <c r="V653"/>
      <c r="W653"/>
      <c r="X653"/>
      <c r="Y653"/>
      <c r="Z653"/>
      <c r="AA653"/>
    </row>
    <row r="654" spans="2:27" s="25" customFormat="1" ht="15.75" customHeight="1" x14ac:dyDescent="0.2">
      <c r="B654" s="89"/>
      <c r="C654"/>
      <c r="D654"/>
      <c r="E654" s="69"/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  <c r="T654"/>
      <c r="U654"/>
      <c r="V654"/>
      <c r="W654"/>
      <c r="X654"/>
      <c r="Y654"/>
      <c r="Z654"/>
      <c r="AA654"/>
    </row>
    <row r="655" spans="2:27" s="25" customFormat="1" ht="15.75" customHeight="1" x14ac:dyDescent="0.2">
      <c r="B655" s="89"/>
      <c r="C655"/>
      <c r="D655"/>
      <c r="E655" s="69"/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  <c r="V655"/>
      <c r="W655"/>
      <c r="X655"/>
      <c r="Y655"/>
      <c r="Z655"/>
      <c r="AA655"/>
    </row>
    <row r="656" spans="2:27" s="25" customFormat="1" ht="15.75" customHeight="1" x14ac:dyDescent="0.2">
      <c r="B656" s="89"/>
      <c r="C656"/>
      <c r="D656"/>
      <c r="E656" s="69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/>
      <c r="U656"/>
      <c r="V656"/>
      <c r="W656"/>
      <c r="X656"/>
      <c r="Y656"/>
      <c r="Z656"/>
      <c r="AA656"/>
    </row>
    <row r="657" spans="2:27" s="25" customFormat="1" ht="15.75" customHeight="1" x14ac:dyDescent="0.2">
      <c r="B657" s="89"/>
      <c r="C657"/>
      <c r="D657"/>
      <c r="E657" s="69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  <c r="V657"/>
      <c r="W657"/>
      <c r="X657"/>
      <c r="Y657"/>
      <c r="Z657"/>
      <c r="AA657"/>
    </row>
    <row r="658" spans="2:27" s="25" customFormat="1" ht="15.75" customHeight="1" x14ac:dyDescent="0.2">
      <c r="B658" s="89"/>
      <c r="C658"/>
      <c r="D658"/>
      <c r="E658" s="69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  <c r="U658"/>
      <c r="V658"/>
      <c r="W658"/>
      <c r="X658"/>
      <c r="Y658"/>
      <c r="Z658"/>
      <c r="AA658"/>
    </row>
    <row r="659" spans="2:27" s="25" customFormat="1" ht="15.75" customHeight="1" x14ac:dyDescent="0.2">
      <c r="B659" s="89"/>
      <c r="C659"/>
      <c r="D659"/>
      <c r="E659" s="69"/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  <c r="V659"/>
      <c r="W659"/>
      <c r="X659"/>
      <c r="Y659"/>
      <c r="Z659"/>
      <c r="AA659"/>
    </row>
    <row r="660" spans="2:27" s="25" customFormat="1" ht="15.75" customHeight="1" x14ac:dyDescent="0.2">
      <c r="B660" s="89"/>
      <c r="C660"/>
      <c r="D660"/>
      <c r="E660" s="69"/>
      <c r="F660"/>
      <c r="G660"/>
      <c r="H660"/>
      <c r="I660"/>
      <c r="J660"/>
      <c r="K660"/>
      <c r="L660"/>
      <c r="M660"/>
      <c r="N660"/>
      <c r="O660"/>
      <c r="P660"/>
      <c r="Q660"/>
      <c r="R660"/>
      <c r="S660"/>
      <c r="T660"/>
      <c r="U660"/>
      <c r="V660"/>
      <c r="W660"/>
      <c r="X660"/>
      <c r="Y660"/>
      <c r="Z660"/>
      <c r="AA660"/>
    </row>
    <row r="661" spans="2:27" s="25" customFormat="1" ht="15.75" customHeight="1" x14ac:dyDescent="0.2">
      <c r="B661" s="89"/>
      <c r="C661"/>
      <c r="D661"/>
      <c r="E661" s="69"/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  <c r="V661"/>
      <c r="W661"/>
      <c r="X661"/>
      <c r="Y661"/>
      <c r="Z661"/>
      <c r="AA661"/>
    </row>
    <row r="662" spans="2:27" s="25" customFormat="1" ht="15.75" customHeight="1" x14ac:dyDescent="0.2">
      <c r="B662" s="89"/>
      <c r="C662"/>
      <c r="D662"/>
      <c r="E662" s="69"/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  <c r="T662"/>
      <c r="U662"/>
      <c r="V662"/>
      <c r="W662"/>
      <c r="X662"/>
      <c r="Y662"/>
      <c r="Z662"/>
      <c r="AA662"/>
    </row>
    <row r="663" spans="2:27" s="25" customFormat="1" ht="15.75" customHeight="1" x14ac:dyDescent="0.2">
      <c r="B663" s="89"/>
      <c r="C663"/>
      <c r="D663"/>
      <c r="E663" s="69"/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  <c r="T663"/>
      <c r="U663"/>
      <c r="V663"/>
      <c r="W663"/>
      <c r="X663"/>
      <c r="Y663"/>
      <c r="Z663"/>
      <c r="AA663"/>
    </row>
    <row r="664" spans="2:27" s="25" customFormat="1" ht="15.75" customHeight="1" x14ac:dyDescent="0.2">
      <c r="B664" s="89"/>
      <c r="C664"/>
      <c r="D664"/>
      <c r="E664" s="69"/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/>
      <c r="U664"/>
      <c r="V664"/>
      <c r="W664"/>
      <c r="X664"/>
      <c r="Y664"/>
      <c r="Z664"/>
      <c r="AA664"/>
    </row>
    <row r="665" spans="2:27" s="25" customFormat="1" ht="15.75" customHeight="1" x14ac:dyDescent="0.2">
      <c r="B665" s="89"/>
      <c r="C665"/>
      <c r="D665"/>
      <c r="E665" s="69"/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  <c r="T665"/>
      <c r="U665"/>
      <c r="V665"/>
      <c r="W665"/>
      <c r="X665"/>
      <c r="Y665"/>
      <c r="Z665"/>
      <c r="AA665"/>
    </row>
    <row r="666" spans="2:27" s="25" customFormat="1" ht="15.75" customHeight="1" x14ac:dyDescent="0.2">
      <c r="B666" s="89"/>
      <c r="C666"/>
      <c r="D666"/>
      <c r="E666" s="69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  <c r="V666"/>
      <c r="W666"/>
      <c r="X666"/>
      <c r="Y666"/>
      <c r="Z666"/>
      <c r="AA666"/>
    </row>
    <row r="667" spans="2:27" s="25" customFormat="1" ht="15.75" customHeight="1" x14ac:dyDescent="0.2">
      <c r="B667" s="89"/>
      <c r="C667"/>
      <c r="D667"/>
      <c r="E667" s="69"/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  <c r="T667"/>
      <c r="U667"/>
      <c r="V667"/>
      <c r="W667"/>
      <c r="X667"/>
      <c r="Y667"/>
      <c r="Z667"/>
      <c r="AA667"/>
    </row>
    <row r="668" spans="2:27" s="25" customFormat="1" ht="15.75" customHeight="1" x14ac:dyDescent="0.2">
      <c r="B668" s="89"/>
      <c r="C668"/>
      <c r="D668"/>
      <c r="E668" s="69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  <c r="V668"/>
      <c r="W668"/>
      <c r="X668"/>
      <c r="Y668"/>
      <c r="Z668"/>
      <c r="AA668"/>
    </row>
    <row r="669" spans="2:27" s="25" customFormat="1" ht="15.75" customHeight="1" x14ac:dyDescent="0.2">
      <c r="B669" s="89"/>
      <c r="C669"/>
      <c r="D669"/>
      <c r="E669" s="69"/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  <c r="V669"/>
      <c r="W669"/>
      <c r="X669"/>
      <c r="Y669"/>
      <c r="Z669"/>
      <c r="AA669"/>
    </row>
    <row r="670" spans="2:27" s="25" customFormat="1" ht="15.75" customHeight="1" x14ac:dyDescent="0.2">
      <c r="B670" s="89"/>
      <c r="C670"/>
      <c r="D670"/>
      <c r="E670" s="69"/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  <c r="U670"/>
      <c r="V670"/>
      <c r="W670"/>
      <c r="X670"/>
      <c r="Y670"/>
      <c r="Z670"/>
      <c r="AA670"/>
    </row>
    <row r="671" spans="2:27" s="25" customFormat="1" ht="15.75" customHeight="1" x14ac:dyDescent="0.2">
      <c r="B671" s="89"/>
      <c r="C671"/>
      <c r="D671"/>
      <c r="E671" s="69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  <c r="V671"/>
      <c r="W671"/>
      <c r="X671"/>
      <c r="Y671"/>
      <c r="Z671"/>
      <c r="AA671"/>
    </row>
    <row r="672" spans="2:27" s="25" customFormat="1" ht="15.75" customHeight="1" x14ac:dyDescent="0.2">
      <c r="B672" s="89"/>
      <c r="C672"/>
      <c r="D672"/>
      <c r="E672" s="69"/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  <c r="T672"/>
      <c r="U672"/>
      <c r="V672"/>
      <c r="W672"/>
      <c r="X672"/>
      <c r="Y672"/>
      <c r="Z672"/>
      <c r="AA672"/>
    </row>
    <row r="673" spans="2:27" s="25" customFormat="1" ht="15.75" customHeight="1" x14ac:dyDescent="0.2">
      <c r="B673" s="89"/>
      <c r="C673"/>
      <c r="D673"/>
      <c r="E673" s="69"/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  <c r="T673"/>
      <c r="U673"/>
      <c r="V673"/>
      <c r="W673"/>
      <c r="X673"/>
      <c r="Y673"/>
      <c r="Z673"/>
      <c r="AA673"/>
    </row>
    <row r="674" spans="2:27" s="25" customFormat="1" ht="15.75" customHeight="1" x14ac:dyDescent="0.2">
      <c r="B674" s="89"/>
      <c r="C674"/>
      <c r="D674"/>
      <c r="E674" s="69"/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  <c r="U674"/>
      <c r="V674"/>
      <c r="W674"/>
      <c r="X674"/>
      <c r="Y674"/>
      <c r="Z674"/>
      <c r="AA674"/>
    </row>
    <row r="675" spans="2:27" s="25" customFormat="1" ht="15.75" customHeight="1" x14ac:dyDescent="0.2">
      <c r="B675" s="89"/>
      <c r="C675"/>
      <c r="D675"/>
      <c r="E675" s="69"/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  <c r="U675"/>
      <c r="V675"/>
      <c r="W675"/>
      <c r="X675"/>
      <c r="Y675"/>
      <c r="Z675"/>
      <c r="AA675"/>
    </row>
    <row r="676" spans="2:27" s="25" customFormat="1" ht="15.75" customHeight="1" x14ac:dyDescent="0.2">
      <c r="B676" s="89"/>
      <c r="C676"/>
      <c r="D676"/>
      <c r="E676" s="69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  <c r="V676"/>
      <c r="W676"/>
      <c r="X676"/>
      <c r="Y676"/>
      <c r="Z676"/>
      <c r="AA676"/>
    </row>
    <row r="677" spans="2:27" s="25" customFormat="1" ht="15.75" customHeight="1" x14ac:dyDescent="0.2">
      <c r="B677" s="89"/>
      <c r="C677"/>
      <c r="D677"/>
      <c r="E677" s="69"/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  <c r="V677"/>
      <c r="W677"/>
      <c r="X677"/>
      <c r="Y677"/>
      <c r="Z677"/>
      <c r="AA677"/>
    </row>
    <row r="678" spans="2:27" s="25" customFormat="1" ht="15.75" customHeight="1" x14ac:dyDescent="0.2">
      <c r="B678" s="89"/>
      <c r="C678"/>
      <c r="D678"/>
      <c r="E678" s="69"/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  <c r="T678"/>
      <c r="U678"/>
      <c r="V678"/>
      <c r="W678"/>
      <c r="X678"/>
      <c r="Y678"/>
      <c r="Z678"/>
      <c r="AA678"/>
    </row>
    <row r="679" spans="2:27" s="25" customFormat="1" ht="15.75" customHeight="1" x14ac:dyDescent="0.2">
      <c r="B679" s="89"/>
      <c r="C679"/>
      <c r="D679"/>
      <c r="E679" s="69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  <c r="V679"/>
      <c r="W679"/>
      <c r="X679"/>
      <c r="Y679"/>
      <c r="Z679"/>
      <c r="AA679"/>
    </row>
    <row r="680" spans="2:27" s="25" customFormat="1" ht="15.75" customHeight="1" x14ac:dyDescent="0.2">
      <c r="B680" s="89"/>
      <c r="C680"/>
      <c r="D680"/>
      <c r="E680" s="69"/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  <c r="U680"/>
      <c r="V680"/>
      <c r="W680"/>
      <c r="X680"/>
      <c r="Y680"/>
      <c r="Z680"/>
      <c r="AA680"/>
    </row>
    <row r="681" spans="2:27" s="25" customFormat="1" ht="15.75" customHeight="1" x14ac:dyDescent="0.2">
      <c r="B681" s="89"/>
      <c r="C681"/>
      <c r="D681"/>
      <c r="E681" s="69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  <c r="U681"/>
      <c r="V681"/>
      <c r="W681"/>
      <c r="X681"/>
      <c r="Y681"/>
      <c r="Z681"/>
      <c r="AA681"/>
    </row>
    <row r="682" spans="2:27" s="25" customFormat="1" ht="15.75" customHeight="1" x14ac:dyDescent="0.2">
      <c r="B682" s="89"/>
      <c r="C682"/>
      <c r="D682"/>
      <c r="E682" s="69"/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  <c r="T682"/>
      <c r="U682"/>
      <c r="V682"/>
      <c r="W682"/>
      <c r="X682"/>
      <c r="Y682"/>
      <c r="Z682"/>
      <c r="AA682"/>
    </row>
    <row r="683" spans="2:27" s="25" customFormat="1" ht="15.75" customHeight="1" x14ac:dyDescent="0.2">
      <c r="B683" s="89"/>
      <c r="C683"/>
      <c r="D683"/>
      <c r="E683" s="69"/>
      <c r="F683"/>
      <c r="G683"/>
      <c r="H683"/>
      <c r="I683"/>
      <c r="J683"/>
      <c r="K683"/>
      <c r="L683"/>
      <c r="M683"/>
      <c r="N683"/>
      <c r="O683"/>
      <c r="P683"/>
      <c r="Q683"/>
      <c r="R683"/>
      <c r="S683"/>
      <c r="T683"/>
      <c r="U683"/>
      <c r="V683"/>
      <c r="W683"/>
      <c r="X683"/>
      <c r="Y683"/>
      <c r="Z683"/>
      <c r="AA683"/>
    </row>
    <row r="684" spans="2:27" s="25" customFormat="1" ht="15.75" customHeight="1" x14ac:dyDescent="0.2">
      <c r="B684" s="89"/>
      <c r="C684"/>
      <c r="D684"/>
      <c r="E684" s="69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  <c r="V684"/>
      <c r="W684"/>
      <c r="X684"/>
      <c r="Y684"/>
      <c r="Z684"/>
      <c r="AA684"/>
    </row>
    <row r="685" spans="2:27" s="25" customFormat="1" ht="15.75" customHeight="1" x14ac:dyDescent="0.2">
      <c r="B685" s="89"/>
      <c r="C685"/>
      <c r="D685"/>
      <c r="E685" s="69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  <c r="V685"/>
      <c r="W685"/>
      <c r="X685"/>
      <c r="Y685"/>
      <c r="Z685"/>
      <c r="AA685"/>
    </row>
    <row r="686" spans="2:27" s="25" customFormat="1" ht="15.75" customHeight="1" x14ac:dyDescent="0.2">
      <c r="B686" s="89"/>
      <c r="C686"/>
      <c r="D686"/>
      <c r="E686" s="69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  <c r="U686"/>
      <c r="V686"/>
      <c r="W686"/>
      <c r="X686"/>
      <c r="Y686"/>
      <c r="Z686"/>
      <c r="AA686"/>
    </row>
    <row r="687" spans="2:27" s="25" customFormat="1" ht="15.75" customHeight="1" x14ac:dyDescent="0.2">
      <c r="B687" s="89"/>
      <c r="C687"/>
      <c r="D687"/>
      <c r="E687" s="69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  <c r="V687"/>
      <c r="W687"/>
      <c r="X687"/>
      <c r="Y687"/>
      <c r="Z687"/>
      <c r="AA687"/>
    </row>
    <row r="688" spans="2:27" s="25" customFormat="1" ht="15.75" customHeight="1" x14ac:dyDescent="0.2">
      <c r="B688" s="89"/>
      <c r="C688"/>
      <c r="D688"/>
      <c r="E688" s="69"/>
      <c r="F688"/>
      <c r="G688"/>
      <c r="H688"/>
      <c r="I688"/>
      <c r="J688"/>
      <c r="K688"/>
      <c r="L688"/>
      <c r="M688"/>
      <c r="N688"/>
      <c r="O688"/>
      <c r="P688"/>
      <c r="Q688"/>
      <c r="R688"/>
      <c r="S688"/>
      <c r="T688"/>
      <c r="U688"/>
      <c r="V688"/>
      <c r="W688"/>
      <c r="X688"/>
      <c r="Y688"/>
      <c r="Z688"/>
      <c r="AA688"/>
    </row>
    <row r="689" spans="2:27" s="25" customFormat="1" ht="15.75" customHeight="1" x14ac:dyDescent="0.2">
      <c r="B689" s="89"/>
      <c r="C689"/>
      <c r="D689"/>
      <c r="E689" s="6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  <c r="V689"/>
      <c r="W689"/>
      <c r="X689"/>
      <c r="Y689"/>
      <c r="Z689"/>
      <c r="AA689"/>
    </row>
    <row r="690" spans="2:27" s="25" customFormat="1" ht="15.75" customHeight="1" x14ac:dyDescent="0.2">
      <c r="B690" s="89"/>
      <c r="C690"/>
      <c r="D690"/>
      <c r="E690" s="69"/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  <c r="T690"/>
      <c r="U690"/>
      <c r="V690"/>
      <c r="W690"/>
      <c r="X690"/>
      <c r="Y690"/>
      <c r="Z690"/>
      <c r="AA690"/>
    </row>
    <row r="691" spans="2:27" s="25" customFormat="1" ht="15.75" customHeight="1" x14ac:dyDescent="0.2">
      <c r="B691" s="89"/>
      <c r="C691"/>
      <c r="D691"/>
      <c r="E691" s="69"/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  <c r="U691"/>
      <c r="V691"/>
      <c r="W691"/>
      <c r="X691"/>
      <c r="Y691"/>
      <c r="Z691"/>
      <c r="AA691"/>
    </row>
    <row r="692" spans="2:27" s="25" customFormat="1" ht="15.75" customHeight="1" x14ac:dyDescent="0.2">
      <c r="B692" s="89"/>
      <c r="C692"/>
      <c r="D692"/>
      <c r="E692" s="69"/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  <c r="T692"/>
      <c r="U692"/>
      <c r="V692"/>
      <c r="W692"/>
      <c r="X692"/>
      <c r="Y692"/>
      <c r="Z692"/>
      <c r="AA692"/>
    </row>
    <row r="693" spans="2:27" s="25" customFormat="1" ht="15.75" customHeight="1" x14ac:dyDescent="0.2">
      <c r="B693" s="89"/>
      <c r="C693"/>
      <c r="D693"/>
      <c r="E693" s="69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  <c r="U693"/>
      <c r="V693"/>
      <c r="W693"/>
      <c r="X693"/>
      <c r="Y693"/>
      <c r="Z693"/>
      <c r="AA693"/>
    </row>
    <row r="694" spans="2:27" s="25" customFormat="1" ht="15.75" customHeight="1" x14ac:dyDescent="0.2">
      <c r="B694" s="89"/>
      <c r="C694"/>
      <c r="D694"/>
      <c r="E694" s="69"/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  <c r="V694"/>
      <c r="W694"/>
      <c r="X694"/>
      <c r="Y694"/>
      <c r="Z694"/>
      <c r="AA694"/>
    </row>
    <row r="695" spans="2:27" s="25" customFormat="1" ht="15.75" customHeight="1" x14ac:dyDescent="0.2">
      <c r="B695" s="89"/>
      <c r="C695"/>
      <c r="D695"/>
      <c r="E695" s="69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  <c r="V695"/>
      <c r="W695"/>
      <c r="X695"/>
      <c r="Y695"/>
      <c r="Z695"/>
      <c r="AA695"/>
    </row>
    <row r="696" spans="2:27" s="25" customFormat="1" ht="15.75" customHeight="1" x14ac:dyDescent="0.2">
      <c r="B696" s="89"/>
      <c r="C696"/>
      <c r="D696"/>
      <c r="E696" s="69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  <c r="U696"/>
      <c r="V696"/>
      <c r="W696"/>
      <c r="X696"/>
      <c r="Y696"/>
      <c r="Z696"/>
      <c r="AA696"/>
    </row>
    <row r="697" spans="2:27" s="25" customFormat="1" ht="15.75" customHeight="1" x14ac:dyDescent="0.2">
      <c r="B697" s="89"/>
      <c r="C697"/>
      <c r="D697"/>
      <c r="E697" s="69"/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  <c r="V697"/>
      <c r="W697"/>
      <c r="X697"/>
      <c r="Y697"/>
      <c r="Z697"/>
      <c r="AA697"/>
    </row>
    <row r="698" spans="2:27" s="25" customFormat="1" ht="15.75" customHeight="1" x14ac:dyDescent="0.2">
      <c r="B698" s="89"/>
      <c r="C698"/>
      <c r="D698"/>
      <c r="E698" s="69"/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  <c r="V698"/>
      <c r="W698"/>
      <c r="X698"/>
      <c r="Y698"/>
      <c r="Z698"/>
      <c r="AA698"/>
    </row>
    <row r="699" spans="2:27" s="25" customFormat="1" ht="15.75" customHeight="1" x14ac:dyDescent="0.2">
      <c r="B699" s="89"/>
      <c r="C699"/>
      <c r="D699"/>
      <c r="E699" s="69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  <c r="V699"/>
      <c r="W699"/>
      <c r="X699"/>
      <c r="Y699"/>
      <c r="Z699"/>
      <c r="AA699"/>
    </row>
    <row r="700" spans="2:27" s="25" customFormat="1" ht="15.75" customHeight="1" x14ac:dyDescent="0.2">
      <c r="B700" s="89"/>
      <c r="C700"/>
      <c r="D700"/>
      <c r="E700" s="69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  <c r="V700"/>
      <c r="W700"/>
      <c r="X700"/>
      <c r="Y700"/>
      <c r="Z700"/>
      <c r="AA700"/>
    </row>
    <row r="701" spans="2:27" s="25" customFormat="1" ht="15.75" customHeight="1" x14ac:dyDescent="0.2">
      <c r="B701" s="89"/>
      <c r="C701"/>
      <c r="D701"/>
      <c r="E701" s="69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  <c r="V701"/>
      <c r="W701"/>
      <c r="X701"/>
      <c r="Y701"/>
      <c r="Z701"/>
      <c r="AA701"/>
    </row>
    <row r="702" spans="2:27" s="25" customFormat="1" ht="15.75" customHeight="1" x14ac:dyDescent="0.2">
      <c r="B702" s="89"/>
      <c r="C702"/>
      <c r="D702"/>
      <c r="E702" s="69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  <c r="V702"/>
      <c r="W702"/>
      <c r="X702"/>
      <c r="Y702"/>
      <c r="Z702"/>
      <c r="AA702"/>
    </row>
    <row r="703" spans="2:27" s="25" customFormat="1" ht="15.75" customHeight="1" x14ac:dyDescent="0.2">
      <c r="B703" s="89"/>
      <c r="C703"/>
      <c r="D703"/>
      <c r="E703" s="69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  <c r="V703"/>
      <c r="W703"/>
      <c r="X703"/>
      <c r="Y703"/>
      <c r="Z703"/>
      <c r="AA703"/>
    </row>
    <row r="704" spans="2:27" s="25" customFormat="1" ht="15.75" customHeight="1" x14ac:dyDescent="0.2">
      <c r="B704" s="89"/>
      <c r="C704"/>
      <c r="D704"/>
      <c r="E704" s="69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  <c r="V704"/>
      <c r="W704"/>
      <c r="X704"/>
      <c r="Y704"/>
      <c r="Z704"/>
      <c r="AA704"/>
    </row>
    <row r="705" spans="2:27" s="25" customFormat="1" ht="15.75" customHeight="1" x14ac:dyDescent="0.2">
      <c r="B705" s="89"/>
      <c r="C705"/>
      <c r="D705"/>
      <c r="E705" s="69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  <c r="V705"/>
      <c r="W705"/>
      <c r="X705"/>
      <c r="Y705"/>
      <c r="Z705"/>
      <c r="AA705"/>
    </row>
    <row r="706" spans="2:27" s="25" customFormat="1" ht="15.75" customHeight="1" x14ac:dyDescent="0.2">
      <c r="B706" s="89"/>
      <c r="C706"/>
      <c r="D706"/>
      <c r="E706" s="69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  <c r="V706"/>
      <c r="W706"/>
      <c r="X706"/>
      <c r="Y706"/>
      <c r="Z706"/>
      <c r="AA706"/>
    </row>
    <row r="707" spans="2:27" s="25" customFormat="1" ht="15.75" customHeight="1" x14ac:dyDescent="0.2">
      <c r="B707" s="89"/>
      <c r="C707"/>
      <c r="D707"/>
      <c r="E707" s="69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  <c r="V707"/>
      <c r="W707"/>
      <c r="X707"/>
      <c r="Y707"/>
      <c r="Z707"/>
      <c r="AA707"/>
    </row>
    <row r="708" spans="2:27" s="25" customFormat="1" ht="15.75" customHeight="1" x14ac:dyDescent="0.2">
      <c r="B708" s="89"/>
      <c r="C708"/>
      <c r="D708"/>
      <c r="E708" s="69"/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  <c r="V708"/>
      <c r="W708"/>
      <c r="X708"/>
      <c r="Y708"/>
      <c r="Z708"/>
      <c r="AA708"/>
    </row>
    <row r="709" spans="2:27" s="25" customFormat="1" ht="15.75" customHeight="1" x14ac:dyDescent="0.2">
      <c r="B709" s="89"/>
      <c r="C709"/>
      <c r="D709"/>
      <c r="E709" s="69"/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  <c r="T709"/>
      <c r="U709"/>
      <c r="V709"/>
      <c r="W709"/>
      <c r="X709"/>
      <c r="Y709"/>
      <c r="Z709"/>
      <c r="AA709"/>
    </row>
    <row r="710" spans="2:27" s="25" customFormat="1" ht="15.75" customHeight="1" x14ac:dyDescent="0.2">
      <c r="B710" s="89"/>
      <c r="C710"/>
      <c r="D710"/>
      <c r="E710" s="69"/>
      <c r="F710"/>
      <c r="G710"/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  <c r="V710"/>
      <c r="W710"/>
      <c r="X710"/>
      <c r="Y710"/>
      <c r="Z710"/>
      <c r="AA710"/>
    </row>
    <row r="711" spans="2:27" s="25" customFormat="1" ht="15.75" customHeight="1" x14ac:dyDescent="0.2">
      <c r="B711" s="89"/>
      <c r="C711"/>
      <c r="D711"/>
      <c r="E711" s="69"/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  <c r="U711"/>
      <c r="V711"/>
      <c r="W711"/>
      <c r="X711"/>
      <c r="Y711"/>
      <c r="Z711"/>
      <c r="AA711"/>
    </row>
    <row r="712" spans="2:27" s="25" customFormat="1" ht="15.75" customHeight="1" x14ac:dyDescent="0.2">
      <c r="B712" s="89"/>
      <c r="C712"/>
      <c r="D712"/>
      <c r="E712" s="69"/>
      <c r="F712"/>
      <c r="G712"/>
      <c r="H712"/>
      <c r="I712"/>
      <c r="J712"/>
      <c r="K712"/>
      <c r="L712"/>
      <c r="M712"/>
      <c r="N712"/>
      <c r="O712"/>
      <c r="P712"/>
      <c r="Q712"/>
      <c r="R712"/>
      <c r="S712"/>
      <c r="T712"/>
      <c r="U712"/>
      <c r="V712"/>
      <c r="W712"/>
      <c r="X712"/>
      <c r="Y712"/>
      <c r="Z712"/>
      <c r="AA712"/>
    </row>
    <row r="713" spans="2:27" s="25" customFormat="1" ht="15.75" customHeight="1" x14ac:dyDescent="0.2">
      <c r="B713" s="89"/>
      <c r="C713"/>
      <c r="D713"/>
      <c r="E713" s="69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  <c r="V713"/>
      <c r="W713"/>
      <c r="X713"/>
      <c r="Y713"/>
      <c r="Z713"/>
      <c r="AA713"/>
    </row>
    <row r="714" spans="2:27" s="25" customFormat="1" ht="15.75" customHeight="1" x14ac:dyDescent="0.2">
      <c r="B714" s="89"/>
      <c r="C714"/>
      <c r="D714"/>
      <c r="E714" s="69"/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  <c r="U714"/>
      <c r="V714"/>
      <c r="W714"/>
      <c r="X714"/>
      <c r="Y714"/>
      <c r="Z714"/>
      <c r="AA714"/>
    </row>
    <row r="715" spans="2:27" s="25" customFormat="1" ht="15.75" customHeight="1" x14ac:dyDescent="0.2">
      <c r="B715" s="89"/>
      <c r="C715"/>
      <c r="D715"/>
      <c r="E715" s="69"/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  <c r="V715"/>
      <c r="W715"/>
      <c r="X715"/>
      <c r="Y715"/>
      <c r="Z715"/>
      <c r="AA715"/>
    </row>
    <row r="716" spans="2:27" s="25" customFormat="1" ht="15.75" customHeight="1" x14ac:dyDescent="0.2">
      <c r="B716" s="89"/>
      <c r="C716"/>
      <c r="D716"/>
      <c r="E716" s="69"/>
      <c r="F716"/>
      <c r="G716"/>
      <c r="H716"/>
      <c r="I716"/>
      <c r="J716"/>
      <c r="K716"/>
      <c r="L716"/>
      <c r="M716"/>
      <c r="N716"/>
      <c r="O716"/>
      <c r="P716"/>
      <c r="Q716"/>
      <c r="R716"/>
      <c r="S716"/>
      <c r="T716"/>
      <c r="U716"/>
      <c r="V716"/>
      <c r="W716"/>
      <c r="X716"/>
      <c r="Y716"/>
      <c r="Z716"/>
      <c r="AA716"/>
    </row>
    <row r="717" spans="2:27" s="25" customFormat="1" ht="15.75" customHeight="1" x14ac:dyDescent="0.2">
      <c r="B717" s="89"/>
      <c r="C717"/>
      <c r="D717"/>
      <c r="E717" s="69"/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  <c r="V717"/>
      <c r="W717"/>
      <c r="X717"/>
      <c r="Y717"/>
      <c r="Z717"/>
      <c r="AA717"/>
    </row>
    <row r="718" spans="2:27" s="25" customFormat="1" ht="15.75" customHeight="1" x14ac:dyDescent="0.2">
      <c r="B718" s="89"/>
      <c r="C718"/>
      <c r="D718"/>
      <c r="E718" s="69"/>
      <c r="F718"/>
      <c r="G718"/>
      <c r="H718"/>
      <c r="I718"/>
      <c r="J718"/>
      <c r="K718"/>
      <c r="L718"/>
      <c r="M718"/>
      <c r="N718"/>
      <c r="O718"/>
      <c r="P718"/>
      <c r="Q718"/>
      <c r="R718"/>
      <c r="S718"/>
      <c r="T718"/>
      <c r="U718"/>
      <c r="V718"/>
      <c r="W718"/>
      <c r="X718"/>
      <c r="Y718"/>
      <c r="Z718"/>
      <c r="AA718"/>
    </row>
    <row r="719" spans="2:27" s="25" customFormat="1" ht="15.75" customHeight="1" x14ac:dyDescent="0.2">
      <c r="B719" s="89"/>
      <c r="C719"/>
      <c r="D719"/>
      <c r="E719" s="69"/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  <c r="T719"/>
      <c r="U719"/>
      <c r="V719"/>
      <c r="W719"/>
      <c r="X719"/>
      <c r="Y719"/>
      <c r="Z719"/>
      <c r="AA719"/>
    </row>
    <row r="720" spans="2:27" s="25" customFormat="1" ht="15.75" customHeight="1" x14ac:dyDescent="0.2">
      <c r="B720" s="89"/>
      <c r="C720"/>
      <c r="D720"/>
      <c r="E720" s="69"/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  <c r="U720"/>
      <c r="V720"/>
      <c r="W720"/>
      <c r="X720"/>
      <c r="Y720"/>
      <c r="Z720"/>
      <c r="AA720"/>
    </row>
    <row r="721" spans="2:27" s="25" customFormat="1" ht="15.75" customHeight="1" x14ac:dyDescent="0.2">
      <c r="B721" s="89"/>
      <c r="C721"/>
      <c r="D721"/>
      <c r="E721" s="69"/>
      <c r="F721"/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  <c r="V721"/>
      <c r="W721"/>
      <c r="X721"/>
      <c r="Y721"/>
      <c r="Z721"/>
      <c r="AA721"/>
    </row>
    <row r="722" spans="2:27" s="25" customFormat="1" ht="15.75" customHeight="1" x14ac:dyDescent="0.2">
      <c r="B722" s="89"/>
      <c r="C722"/>
      <c r="D722"/>
      <c r="E722" s="69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  <c r="V722"/>
      <c r="W722"/>
      <c r="X722"/>
      <c r="Y722"/>
      <c r="Z722"/>
      <c r="AA722"/>
    </row>
    <row r="723" spans="2:27" s="25" customFormat="1" ht="15.75" customHeight="1" x14ac:dyDescent="0.2">
      <c r="B723" s="89"/>
      <c r="C723"/>
      <c r="D723"/>
      <c r="E723" s="69"/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  <c r="U723"/>
      <c r="V723"/>
      <c r="W723"/>
      <c r="X723"/>
      <c r="Y723"/>
      <c r="Z723"/>
      <c r="AA723"/>
    </row>
    <row r="724" spans="2:27" s="25" customFormat="1" ht="15.75" customHeight="1" x14ac:dyDescent="0.2">
      <c r="B724" s="89"/>
      <c r="C724"/>
      <c r="D724"/>
      <c r="E724" s="69"/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  <c r="U724"/>
      <c r="V724"/>
      <c r="W724"/>
      <c r="X724"/>
      <c r="Y724"/>
      <c r="Z724"/>
      <c r="AA724"/>
    </row>
    <row r="725" spans="2:27" s="25" customFormat="1" ht="15.75" customHeight="1" x14ac:dyDescent="0.2">
      <c r="B725" s="89"/>
      <c r="C725"/>
      <c r="D725"/>
      <c r="E725" s="69"/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/>
      <c r="U725"/>
      <c r="V725"/>
      <c r="W725"/>
      <c r="X725"/>
      <c r="Y725"/>
      <c r="Z725"/>
      <c r="AA725"/>
    </row>
    <row r="726" spans="2:27" s="25" customFormat="1" ht="15.75" customHeight="1" x14ac:dyDescent="0.2">
      <c r="B726" s="89"/>
      <c r="C726"/>
      <c r="D726"/>
      <c r="E726" s="69"/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  <c r="U726"/>
      <c r="V726"/>
      <c r="W726"/>
      <c r="X726"/>
      <c r="Y726"/>
      <c r="Z726"/>
      <c r="AA726"/>
    </row>
    <row r="727" spans="2:27" s="25" customFormat="1" ht="15.75" customHeight="1" x14ac:dyDescent="0.2">
      <c r="B727" s="89"/>
      <c r="C727"/>
      <c r="D727"/>
      <c r="E727" s="69"/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  <c r="V727"/>
      <c r="W727"/>
      <c r="X727"/>
      <c r="Y727"/>
      <c r="Z727"/>
      <c r="AA727"/>
    </row>
    <row r="728" spans="2:27" s="25" customFormat="1" ht="15.75" customHeight="1" x14ac:dyDescent="0.2">
      <c r="B728" s="89"/>
      <c r="C728"/>
      <c r="D728"/>
      <c r="E728" s="69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  <c r="V728"/>
      <c r="W728"/>
      <c r="X728"/>
      <c r="Y728"/>
      <c r="Z728"/>
      <c r="AA728"/>
    </row>
    <row r="729" spans="2:27" s="25" customFormat="1" ht="15.75" customHeight="1" x14ac:dyDescent="0.2">
      <c r="B729" s="89"/>
      <c r="C729"/>
      <c r="D729"/>
      <c r="E729" s="69"/>
      <c r="F729"/>
      <c r="G729"/>
      <c r="H729"/>
      <c r="I729"/>
      <c r="J729"/>
      <c r="K729"/>
      <c r="L729"/>
      <c r="M729"/>
      <c r="N729"/>
      <c r="O729"/>
      <c r="P729"/>
      <c r="Q729"/>
      <c r="R729"/>
      <c r="S729"/>
      <c r="T729"/>
      <c r="U729"/>
      <c r="V729"/>
      <c r="W729"/>
      <c r="X729"/>
      <c r="Y729"/>
      <c r="Z729"/>
      <c r="AA729"/>
    </row>
    <row r="730" spans="2:27" s="25" customFormat="1" ht="15.75" customHeight="1" x14ac:dyDescent="0.2">
      <c r="B730" s="89"/>
      <c r="C730"/>
      <c r="D730"/>
      <c r="E730" s="69"/>
      <c r="F730"/>
      <c r="G730"/>
      <c r="H730"/>
      <c r="I730"/>
      <c r="J730"/>
      <c r="K730"/>
      <c r="L730"/>
      <c r="M730"/>
      <c r="N730"/>
      <c r="O730"/>
      <c r="P730"/>
      <c r="Q730"/>
      <c r="R730"/>
      <c r="S730"/>
      <c r="T730"/>
      <c r="U730"/>
      <c r="V730"/>
      <c r="W730"/>
      <c r="X730"/>
      <c r="Y730"/>
      <c r="Z730"/>
      <c r="AA730"/>
    </row>
    <row r="731" spans="2:27" s="25" customFormat="1" ht="15.75" customHeight="1" x14ac:dyDescent="0.2">
      <c r="B731" s="89"/>
      <c r="C731"/>
      <c r="D731"/>
      <c r="E731" s="69"/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  <c r="V731"/>
      <c r="W731"/>
      <c r="X731"/>
      <c r="Y731"/>
      <c r="Z731"/>
      <c r="AA731"/>
    </row>
    <row r="732" spans="2:27" s="25" customFormat="1" ht="15.75" customHeight="1" x14ac:dyDescent="0.2">
      <c r="B732" s="89"/>
      <c r="C732"/>
      <c r="D732"/>
      <c r="E732" s="69"/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  <c r="U732"/>
      <c r="V732"/>
      <c r="W732"/>
      <c r="X732"/>
      <c r="Y732"/>
      <c r="Z732"/>
      <c r="AA732"/>
    </row>
    <row r="733" spans="2:27" s="25" customFormat="1" ht="15.75" customHeight="1" x14ac:dyDescent="0.2">
      <c r="B733" s="89"/>
      <c r="C733"/>
      <c r="D733"/>
      <c r="E733" s="69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  <c r="V733"/>
      <c r="W733"/>
      <c r="X733"/>
      <c r="Y733"/>
      <c r="Z733"/>
      <c r="AA733"/>
    </row>
    <row r="734" spans="2:27" s="25" customFormat="1" ht="15.75" customHeight="1" x14ac:dyDescent="0.2">
      <c r="B734" s="89"/>
      <c r="C734"/>
      <c r="D734"/>
      <c r="E734" s="69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  <c r="V734"/>
      <c r="W734"/>
      <c r="X734"/>
      <c r="Y734"/>
      <c r="Z734"/>
      <c r="AA734"/>
    </row>
    <row r="735" spans="2:27" s="25" customFormat="1" ht="15.75" customHeight="1" x14ac:dyDescent="0.2">
      <c r="B735" s="89"/>
      <c r="C735"/>
      <c r="D735"/>
      <c r="E735" s="69"/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  <c r="U735"/>
      <c r="V735"/>
      <c r="W735"/>
      <c r="X735"/>
      <c r="Y735"/>
      <c r="Z735"/>
      <c r="AA735"/>
    </row>
    <row r="736" spans="2:27" s="25" customFormat="1" ht="15.75" customHeight="1" x14ac:dyDescent="0.2">
      <c r="B736" s="89"/>
      <c r="C736"/>
      <c r="D736"/>
      <c r="E736" s="69"/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  <c r="U736"/>
      <c r="V736"/>
      <c r="W736"/>
      <c r="X736"/>
      <c r="Y736"/>
      <c r="Z736"/>
      <c r="AA736"/>
    </row>
    <row r="737" spans="2:27" s="25" customFormat="1" ht="15.75" customHeight="1" x14ac:dyDescent="0.2">
      <c r="B737" s="89"/>
      <c r="C737"/>
      <c r="D737"/>
      <c r="E737" s="69"/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  <c r="U737"/>
      <c r="V737"/>
      <c r="W737"/>
      <c r="X737"/>
      <c r="Y737"/>
      <c r="Z737"/>
      <c r="AA737"/>
    </row>
    <row r="738" spans="2:27" s="25" customFormat="1" ht="15.75" customHeight="1" x14ac:dyDescent="0.2">
      <c r="B738" s="89"/>
      <c r="C738"/>
      <c r="D738"/>
      <c r="E738" s="69"/>
      <c r="F738"/>
      <c r="G738"/>
      <c r="H738"/>
      <c r="I738"/>
      <c r="J738"/>
      <c r="K738"/>
      <c r="L738"/>
      <c r="M738"/>
      <c r="N738"/>
      <c r="O738"/>
      <c r="P738"/>
      <c r="Q738"/>
      <c r="R738"/>
      <c r="S738"/>
      <c r="T738"/>
      <c r="U738"/>
      <c r="V738"/>
      <c r="W738"/>
      <c r="X738"/>
      <c r="Y738"/>
      <c r="Z738"/>
      <c r="AA738"/>
    </row>
    <row r="739" spans="2:27" s="25" customFormat="1" ht="15.75" customHeight="1" x14ac:dyDescent="0.2">
      <c r="B739" s="89"/>
      <c r="C739"/>
      <c r="D739"/>
      <c r="E739" s="69"/>
      <c r="F739"/>
      <c r="G739"/>
      <c r="H739"/>
      <c r="I739"/>
      <c r="J739"/>
      <c r="K739"/>
      <c r="L739"/>
      <c r="M739"/>
      <c r="N739"/>
      <c r="O739"/>
      <c r="P739"/>
      <c r="Q739"/>
      <c r="R739"/>
      <c r="S739"/>
      <c r="T739"/>
      <c r="U739"/>
      <c r="V739"/>
      <c r="W739"/>
      <c r="X739"/>
      <c r="Y739"/>
      <c r="Z739"/>
      <c r="AA739"/>
    </row>
    <row r="740" spans="2:27" s="25" customFormat="1" ht="15.75" customHeight="1" x14ac:dyDescent="0.2">
      <c r="B740" s="89"/>
      <c r="C740"/>
      <c r="D740"/>
      <c r="E740" s="69"/>
      <c r="F740"/>
      <c r="G740"/>
      <c r="H740"/>
      <c r="I740"/>
      <c r="J740"/>
      <c r="K740"/>
      <c r="L740"/>
      <c r="M740"/>
      <c r="N740"/>
      <c r="O740"/>
      <c r="P740"/>
      <c r="Q740"/>
      <c r="R740"/>
      <c r="S740"/>
      <c r="T740"/>
      <c r="U740"/>
      <c r="V740"/>
      <c r="W740"/>
      <c r="X740"/>
      <c r="Y740"/>
      <c r="Z740"/>
      <c r="AA740"/>
    </row>
    <row r="741" spans="2:27" s="25" customFormat="1" ht="15.75" customHeight="1" x14ac:dyDescent="0.2">
      <c r="B741" s="89"/>
      <c r="C741"/>
      <c r="D741"/>
      <c r="E741" s="69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  <c r="V741"/>
      <c r="W741"/>
      <c r="X741"/>
      <c r="Y741"/>
      <c r="Z741"/>
      <c r="AA741"/>
    </row>
    <row r="742" spans="2:27" s="25" customFormat="1" ht="15.75" customHeight="1" x14ac:dyDescent="0.2">
      <c r="B742" s="89"/>
      <c r="C742"/>
      <c r="D742"/>
      <c r="E742" s="69"/>
      <c r="F742"/>
      <c r="G742"/>
      <c r="H742"/>
      <c r="I742"/>
      <c r="J742"/>
      <c r="K742"/>
      <c r="L742"/>
      <c r="M742"/>
      <c r="N742"/>
      <c r="O742"/>
      <c r="P742"/>
      <c r="Q742"/>
      <c r="R742"/>
      <c r="S742"/>
      <c r="T742"/>
      <c r="U742"/>
      <c r="V742"/>
      <c r="W742"/>
      <c r="X742"/>
      <c r="Y742"/>
      <c r="Z742"/>
      <c r="AA742"/>
    </row>
    <row r="743" spans="2:27" s="25" customFormat="1" ht="15.75" customHeight="1" x14ac:dyDescent="0.2">
      <c r="B743" s="89"/>
      <c r="C743"/>
      <c r="D743"/>
      <c r="E743" s="69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  <c r="V743"/>
      <c r="W743"/>
      <c r="X743"/>
      <c r="Y743"/>
      <c r="Z743"/>
      <c r="AA743"/>
    </row>
    <row r="744" spans="2:27" s="25" customFormat="1" ht="15.75" customHeight="1" x14ac:dyDescent="0.2">
      <c r="B744" s="89"/>
      <c r="C744"/>
      <c r="D744"/>
      <c r="E744" s="69"/>
      <c r="F744"/>
      <c r="G744"/>
      <c r="H744"/>
      <c r="I744"/>
      <c r="J744"/>
      <c r="K744"/>
      <c r="L744"/>
      <c r="M744"/>
      <c r="N744"/>
      <c r="O744"/>
      <c r="P744"/>
      <c r="Q744"/>
      <c r="R744"/>
      <c r="S744"/>
      <c r="T744"/>
      <c r="U744"/>
      <c r="V744"/>
      <c r="W744"/>
      <c r="X744"/>
      <c r="Y744"/>
      <c r="Z744"/>
      <c r="AA744"/>
    </row>
    <row r="745" spans="2:27" s="25" customFormat="1" ht="15.75" customHeight="1" x14ac:dyDescent="0.2">
      <c r="B745" s="89"/>
      <c r="C745"/>
      <c r="D745"/>
      <c r="E745" s="69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  <c r="V745"/>
      <c r="W745"/>
      <c r="X745"/>
      <c r="Y745"/>
      <c r="Z745"/>
      <c r="AA745"/>
    </row>
    <row r="746" spans="2:27" s="25" customFormat="1" ht="15.75" customHeight="1" x14ac:dyDescent="0.2">
      <c r="B746" s="89"/>
      <c r="C746"/>
      <c r="D746"/>
      <c r="E746" s="69"/>
      <c r="F746"/>
      <c r="G746"/>
      <c r="H746"/>
      <c r="I746"/>
      <c r="J746"/>
      <c r="K746"/>
      <c r="L746"/>
      <c r="M746"/>
      <c r="N746"/>
      <c r="O746"/>
      <c r="P746"/>
      <c r="Q746"/>
      <c r="R746"/>
      <c r="S746"/>
      <c r="T746"/>
      <c r="U746"/>
      <c r="V746"/>
      <c r="W746"/>
      <c r="X746"/>
      <c r="Y746"/>
      <c r="Z746"/>
      <c r="AA746"/>
    </row>
    <row r="747" spans="2:27" s="25" customFormat="1" ht="15.75" customHeight="1" x14ac:dyDescent="0.2">
      <c r="B747" s="89"/>
      <c r="C747"/>
      <c r="D747"/>
      <c r="E747" s="69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  <c r="U747"/>
      <c r="V747"/>
      <c r="W747"/>
      <c r="X747"/>
      <c r="Y747"/>
      <c r="Z747"/>
      <c r="AA747"/>
    </row>
    <row r="748" spans="2:27" s="25" customFormat="1" ht="15.75" customHeight="1" x14ac:dyDescent="0.2">
      <c r="B748" s="89"/>
      <c r="C748"/>
      <c r="D748"/>
      <c r="E748" s="69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  <c r="V748"/>
      <c r="W748"/>
      <c r="X748"/>
      <c r="Y748"/>
      <c r="Z748"/>
      <c r="AA748"/>
    </row>
    <row r="749" spans="2:27" s="25" customFormat="1" ht="15.75" customHeight="1" x14ac:dyDescent="0.2">
      <c r="B749" s="89"/>
      <c r="C749"/>
      <c r="D749"/>
      <c r="E749" s="69"/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  <c r="T749"/>
      <c r="U749"/>
      <c r="V749"/>
      <c r="W749"/>
      <c r="X749"/>
      <c r="Y749"/>
      <c r="Z749"/>
      <c r="AA749"/>
    </row>
    <row r="750" spans="2:27" s="25" customFormat="1" ht="15.75" customHeight="1" x14ac:dyDescent="0.2">
      <c r="B750" s="89"/>
      <c r="C750"/>
      <c r="D750"/>
      <c r="E750" s="69"/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  <c r="V750"/>
      <c r="W750"/>
      <c r="X750"/>
      <c r="Y750"/>
      <c r="Z750"/>
      <c r="AA750"/>
    </row>
    <row r="751" spans="2:27" s="25" customFormat="1" ht="15.75" customHeight="1" x14ac:dyDescent="0.2">
      <c r="B751" s="89"/>
      <c r="C751"/>
      <c r="D751"/>
      <c r="E751" s="69"/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  <c r="V751"/>
      <c r="W751"/>
      <c r="X751"/>
      <c r="Y751"/>
      <c r="Z751"/>
      <c r="AA751"/>
    </row>
    <row r="752" spans="2:27" s="25" customFormat="1" ht="15.75" customHeight="1" x14ac:dyDescent="0.2">
      <c r="B752" s="89"/>
      <c r="C752"/>
      <c r="D752"/>
      <c r="E752" s="69"/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  <c r="V752"/>
      <c r="W752"/>
      <c r="X752"/>
      <c r="Y752"/>
      <c r="Z752"/>
      <c r="AA752"/>
    </row>
    <row r="753" spans="2:27" s="25" customFormat="1" ht="15.75" customHeight="1" x14ac:dyDescent="0.2">
      <c r="B753" s="89"/>
      <c r="C753"/>
      <c r="D753"/>
      <c r="E753" s="69"/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  <c r="T753"/>
      <c r="U753"/>
      <c r="V753"/>
      <c r="W753"/>
      <c r="X753"/>
      <c r="Y753"/>
      <c r="Z753"/>
      <c r="AA753"/>
    </row>
    <row r="754" spans="2:27" s="25" customFormat="1" ht="15.75" customHeight="1" x14ac:dyDescent="0.2">
      <c r="B754" s="89"/>
      <c r="C754"/>
      <c r="D754"/>
      <c r="E754" s="69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  <c r="T754"/>
      <c r="U754"/>
      <c r="V754"/>
      <c r="W754"/>
      <c r="X754"/>
      <c r="Y754"/>
      <c r="Z754"/>
      <c r="AA754"/>
    </row>
    <row r="755" spans="2:27" s="25" customFormat="1" ht="15.75" customHeight="1" x14ac:dyDescent="0.2">
      <c r="B755" s="89"/>
      <c r="C755"/>
      <c r="D755"/>
      <c r="E755" s="69"/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  <c r="V755"/>
      <c r="W755"/>
      <c r="X755"/>
      <c r="Y755"/>
      <c r="Z755"/>
      <c r="AA755"/>
    </row>
    <row r="756" spans="2:27" s="25" customFormat="1" ht="15.75" customHeight="1" x14ac:dyDescent="0.2">
      <c r="B756" s="89"/>
      <c r="C756"/>
      <c r="D756"/>
      <c r="E756" s="69"/>
      <c r="F756"/>
      <c r="G756"/>
      <c r="H756"/>
      <c r="I756"/>
      <c r="J756"/>
      <c r="K756"/>
      <c r="L756"/>
      <c r="M756"/>
      <c r="N756"/>
      <c r="O756"/>
      <c r="P756"/>
      <c r="Q756"/>
      <c r="R756"/>
      <c r="S756"/>
      <c r="T756"/>
      <c r="U756"/>
      <c r="V756"/>
      <c r="W756"/>
      <c r="X756"/>
      <c r="Y756"/>
      <c r="Z756"/>
      <c r="AA756"/>
    </row>
    <row r="757" spans="2:27" s="25" customFormat="1" ht="15.75" customHeight="1" x14ac:dyDescent="0.2">
      <c r="B757" s="89"/>
      <c r="C757"/>
      <c r="D757"/>
      <c r="E757" s="69"/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  <c r="T757"/>
      <c r="U757"/>
      <c r="V757"/>
      <c r="W757"/>
      <c r="X757"/>
      <c r="Y757"/>
      <c r="Z757"/>
      <c r="AA757"/>
    </row>
    <row r="758" spans="2:27" s="25" customFormat="1" ht="15.75" customHeight="1" x14ac:dyDescent="0.2">
      <c r="B758" s="89"/>
      <c r="C758"/>
      <c r="D758"/>
      <c r="E758" s="69"/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  <c r="T758"/>
      <c r="U758"/>
      <c r="V758"/>
      <c r="W758"/>
      <c r="X758"/>
      <c r="Y758"/>
      <c r="Z758"/>
      <c r="AA758"/>
    </row>
    <row r="759" spans="2:27" s="25" customFormat="1" ht="15.75" customHeight="1" x14ac:dyDescent="0.2">
      <c r="B759" s="89"/>
      <c r="C759"/>
      <c r="D759"/>
      <c r="E759" s="69"/>
      <c r="F759"/>
      <c r="G759"/>
      <c r="H759"/>
      <c r="I759"/>
      <c r="J759"/>
      <c r="K759"/>
      <c r="L759"/>
      <c r="M759"/>
      <c r="N759"/>
      <c r="O759"/>
      <c r="P759"/>
      <c r="Q759"/>
      <c r="R759"/>
      <c r="S759"/>
      <c r="T759"/>
      <c r="U759"/>
      <c r="V759"/>
      <c r="W759"/>
      <c r="X759"/>
      <c r="Y759"/>
      <c r="Z759"/>
      <c r="AA759"/>
    </row>
    <row r="760" spans="2:27" s="25" customFormat="1" ht="15.75" customHeight="1" x14ac:dyDescent="0.2">
      <c r="B760" s="89"/>
      <c r="C760"/>
      <c r="D760"/>
      <c r="E760" s="69"/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  <c r="T760"/>
      <c r="U760"/>
      <c r="V760"/>
      <c r="W760"/>
      <c r="X760"/>
      <c r="Y760"/>
      <c r="Z760"/>
      <c r="AA760"/>
    </row>
    <row r="761" spans="2:27" s="25" customFormat="1" ht="15.75" customHeight="1" x14ac:dyDescent="0.2">
      <c r="B761" s="89"/>
      <c r="C761"/>
      <c r="D761"/>
      <c r="E761" s="69"/>
      <c r="F761"/>
      <c r="G761"/>
      <c r="H761"/>
      <c r="I761"/>
      <c r="J761"/>
      <c r="K761"/>
      <c r="L761"/>
      <c r="M761"/>
      <c r="N761"/>
      <c r="O761"/>
      <c r="P761"/>
      <c r="Q761"/>
      <c r="R761"/>
      <c r="S761"/>
      <c r="T761"/>
      <c r="U761"/>
      <c r="V761"/>
      <c r="W761"/>
      <c r="X761"/>
      <c r="Y761"/>
      <c r="Z761"/>
      <c r="AA761"/>
    </row>
    <row r="762" spans="2:27" s="25" customFormat="1" ht="15.75" customHeight="1" x14ac:dyDescent="0.2">
      <c r="B762" s="89"/>
      <c r="C762"/>
      <c r="D762"/>
      <c r="E762" s="69"/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  <c r="U762"/>
      <c r="V762"/>
      <c r="W762"/>
      <c r="X762"/>
      <c r="Y762"/>
      <c r="Z762"/>
      <c r="AA762"/>
    </row>
    <row r="763" spans="2:27" s="25" customFormat="1" ht="15.75" customHeight="1" x14ac:dyDescent="0.2">
      <c r="B763" s="89"/>
      <c r="C763"/>
      <c r="D763"/>
      <c r="E763" s="69"/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  <c r="V763"/>
      <c r="W763"/>
      <c r="X763"/>
      <c r="Y763"/>
      <c r="Z763"/>
      <c r="AA763"/>
    </row>
    <row r="764" spans="2:27" s="25" customFormat="1" ht="15.75" customHeight="1" x14ac:dyDescent="0.2">
      <c r="B764" s="89"/>
      <c r="C764"/>
      <c r="D764"/>
      <c r="E764" s="69"/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  <c r="V764"/>
      <c r="W764"/>
      <c r="X764"/>
      <c r="Y764"/>
      <c r="Z764"/>
      <c r="AA764"/>
    </row>
    <row r="765" spans="2:27" s="25" customFormat="1" ht="15.75" customHeight="1" x14ac:dyDescent="0.2">
      <c r="B765" s="89"/>
      <c r="C765"/>
      <c r="D765"/>
      <c r="E765" s="69"/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  <c r="U765"/>
      <c r="V765"/>
      <c r="W765"/>
      <c r="X765"/>
      <c r="Y765"/>
      <c r="Z765"/>
      <c r="AA765"/>
    </row>
    <row r="766" spans="2:27" s="25" customFormat="1" ht="15.75" customHeight="1" x14ac:dyDescent="0.2">
      <c r="B766" s="89"/>
      <c r="C766"/>
      <c r="D766"/>
      <c r="E766" s="69"/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  <c r="T766"/>
      <c r="U766"/>
      <c r="V766"/>
      <c r="W766"/>
      <c r="X766"/>
      <c r="Y766"/>
      <c r="Z766"/>
      <c r="AA766"/>
    </row>
    <row r="767" spans="2:27" s="25" customFormat="1" ht="15.75" customHeight="1" x14ac:dyDescent="0.2">
      <c r="B767" s="89"/>
      <c r="C767"/>
      <c r="D767"/>
      <c r="E767" s="69"/>
      <c r="F767"/>
      <c r="G767"/>
      <c r="H767"/>
      <c r="I767"/>
      <c r="J767"/>
      <c r="K767"/>
      <c r="L767"/>
      <c r="M767"/>
      <c r="N767"/>
      <c r="O767"/>
      <c r="P767"/>
      <c r="Q767"/>
      <c r="R767"/>
      <c r="S767"/>
      <c r="T767"/>
      <c r="U767"/>
      <c r="V767"/>
      <c r="W767"/>
      <c r="X767"/>
      <c r="Y767"/>
      <c r="Z767"/>
      <c r="AA767"/>
    </row>
    <row r="768" spans="2:27" s="25" customFormat="1" ht="15.75" customHeight="1" x14ac:dyDescent="0.2">
      <c r="B768" s="89"/>
      <c r="C768"/>
      <c r="D768"/>
      <c r="E768" s="69"/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  <c r="U768"/>
      <c r="V768"/>
      <c r="W768"/>
      <c r="X768"/>
      <c r="Y768"/>
      <c r="Z768"/>
      <c r="AA768"/>
    </row>
    <row r="769" spans="2:27" s="25" customFormat="1" ht="15.75" customHeight="1" x14ac:dyDescent="0.2">
      <c r="B769" s="89"/>
      <c r="C769"/>
      <c r="D769"/>
      <c r="E769" s="69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  <c r="V769"/>
      <c r="W769"/>
      <c r="X769"/>
      <c r="Y769"/>
      <c r="Z769"/>
      <c r="AA769"/>
    </row>
    <row r="770" spans="2:27" s="25" customFormat="1" ht="15.75" customHeight="1" x14ac:dyDescent="0.2">
      <c r="B770" s="89"/>
      <c r="C770"/>
      <c r="D770"/>
      <c r="E770" s="69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  <c r="V770"/>
      <c r="W770"/>
      <c r="X770"/>
      <c r="Y770"/>
      <c r="Z770"/>
      <c r="AA770"/>
    </row>
    <row r="771" spans="2:27" s="25" customFormat="1" ht="15.75" customHeight="1" x14ac:dyDescent="0.2">
      <c r="B771" s="89"/>
      <c r="C771"/>
      <c r="D771"/>
      <c r="E771" s="69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  <c r="V771"/>
      <c r="W771"/>
      <c r="X771"/>
      <c r="Y771"/>
      <c r="Z771"/>
      <c r="AA771"/>
    </row>
    <row r="772" spans="2:27" s="25" customFormat="1" ht="15.75" customHeight="1" x14ac:dyDescent="0.2">
      <c r="B772" s="89"/>
      <c r="C772"/>
      <c r="D772"/>
      <c r="E772" s="69"/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  <c r="V772"/>
      <c r="W772"/>
      <c r="X772"/>
      <c r="Y772"/>
      <c r="Z772"/>
      <c r="AA772"/>
    </row>
    <row r="773" spans="2:27" s="25" customFormat="1" ht="15.75" customHeight="1" x14ac:dyDescent="0.2">
      <c r="B773" s="89"/>
      <c r="C773"/>
      <c r="D773"/>
      <c r="E773" s="69"/>
      <c r="F773"/>
      <c r="G773"/>
      <c r="H773"/>
      <c r="I773"/>
      <c r="J773"/>
      <c r="K773"/>
      <c r="L773"/>
      <c r="M773"/>
      <c r="N773"/>
      <c r="O773"/>
      <c r="P773"/>
      <c r="Q773"/>
      <c r="R773"/>
      <c r="S773"/>
      <c r="T773"/>
      <c r="U773"/>
      <c r="V773"/>
      <c r="W773"/>
      <c r="X773"/>
      <c r="Y773"/>
      <c r="Z773"/>
      <c r="AA773"/>
    </row>
    <row r="774" spans="2:27" s="25" customFormat="1" ht="15.75" customHeight="1" x14ac:dyDescent="0.2">
      <c r="B774" s="89"/>
      <c r="C774"/>
      <c r="D774"/>
      <c r="E774" s="69"/>
      <c r="F774"/>
      <c r="G774"/>
      <c r="H774"/>
      <c r="I774"/>
      <c r="J774"/>
      <c r="K774"/>
      <c r="L774"/>
      <c r="M774"/>
      <c r="N774"/>
      <c r="O774"/>
      <c r="P774"/>
      <c r="Q774"/>
      <c r="R774"/>
      <c r="S774"/>
      <c r="T774"/>
      <c r="U774"/>
      <c r="V774"/>
      <c r="W774"/>
      <c r="X774"/>
      <c r="Y774"/>
      <c r="Z774"/>
      <c r="AA774"/>
    </row>
    <row r="775" spans="2:27" s="25" customFormat="1" ht="15.75" customHeight="1" x14ac:dyDescent="0.2">
      <c r="B775" s="89"/>
      <c r="C775"/>
      <c r="D775"/>
      <c r="E775" s="69"/>
      <c r="F775"/>
      <c r="G775"/>
      <c r="H775"/>
      <c r="I775"/>
      <c r="J775"/>
      <c r="K775"/>
      <c r="L775"/>
      <c r="M775"/>
      <c r="N775"/>
      <c r="O775"/>
      <c r="P775"/>
      <c r="Q775"/>
      <c r="R775"/>
      <c r="S775"/>
      <c r="T775"/>
      <c r="U775"/>
      <c r="V775"/>
      <c r="W775"/>
      <c r="X775"/>
      <c r="Y775"/>
      <c r="Z775"/>
      <c r="AA775"/>
    </row>
    <row r="776" spans="2:27" s="25" customFormat="1" ht="15.75" customHeight="1" x14ac:dyDescent="0.2">
      <c r="B776" s="89"/>
      <c r="C776"/>
      <c r="D776"/>
      <c r="E776" s="69"/>
      <c r="F776"/>
      <c r="G776"/>
      <c r="H776"/>
      <c r="I776"/>
      <c r="J776"/>
      <c r="K776"/>
      <c r="L776"/>
      <c r="M776"/>
      <c r="N776"/>
      <c r="O776"/>
      <c r="P776"/>
      <c r="Q776"/>
      <c r="R776"/>
      <c r="S776"/>
      <c r="T776"/>
      <c r="U776"/>
      <c r="V776"/>
      <c r="W776"/>
      <c r="X776"/>
      <c r="Y776"/>
      <c r="Z776"/>
      <c r="AA776"/>
    </row>
    <row r="777" spans="2:27" s="25" customFormat="1" ht="15.75" customHeight="1" x14ac:dyDescent="0.2">
      <c r="B777" s="89"/>
      <c r="C777"/>
      <c r="D777"/>
      <c r="E777" s="69"/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  <c r="V777"/>
      <c r="W777"/>
      <c r="X777"/>
      <c r="Y777"/>
      <c r="Z777"/>
      <c r="AA777"/>
    </row>
    <row r="778" spans="2:27" s="25" customFormat="1" ht="15.75" customHeight="1" x14ac:dyDescent="0.2">
      <c r="B778" s="89"/>
      <c r="C778"/>
      <c r="D778"/>
      <c r="E778" s="69"/>
      <c r="F778"/>
      <c r="G778"/>
      <c r="H778"/>
      <c r="I778"/>
      <c r="J778"/>
      <c r="K778"/>
      <c r="L778"/>
      <c r="M778"/>
      <c r="N778"/>
      <c r="O778"/>
      <c r="P778"/>
      <c r="Q778"/>
      <c r="R778"/>
      <c r="S778"/>
      <c r="T778"/>
      <c r="U778"/>
      <c r="V778"/>
      <c r="W778"/>
      <c r="X778"/>
      <c r="Y778"/>
      <c r="Z778"/>
      <c r="AA778"/>
    </row>
    <row r="779" spans="2:27" s="25" customFormat="1" ht="15.75" customHeight="1" x14ac:dyDescent="0.2">
      <c r="B779" s="89"/>
      <c r="C779"/>
      <c r="D779"/>
      <c r="E779" s="69"/>
      <c r="F779"/>
      <c r="G779"/>
      <c r="H779"/>
      <c r="I779"/>
      <c r="J779"/>
      <c r="K779"/>
      <c r="L779"/>
      <c r="M779"/>
      <c r="N779"/>
      <c r="O779"/>
      <c r="P779"/>
      <c r="Q779"/>
      <c r="R779"/>
      <c r="S779"/>
      <c r="T779"/>
      <c r="U779"/>
      <c r="V779"/>
      <c r="W779"/>
      <c r="X779"/>
      <c r="Y779"/>
      <c r="Z779"/>
      <c r="AA779"/>
    </row>
    <row r="780" spans="2:27" s="25" customFormat="1" ht="15.75" customHeight="1" x14ac:dyDescent="0.2">
      <c r="B780" s="89"/>
      <c r="C780"/>
      <c r="D780"/>
      <c r="E780" s="69"/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  <c r="T780"/>
      <c r="U780"/>
      <c r="V780"/>
      <c r="W780"/>
      <c r="X780"/>
      <c r="Y780"/>
      <c r="Z780"/>
      <c r="AA780"/>
    </row>
    <row r="781" spans="2:27" s="25" customFormat="1" ht="15.75" customHeight="1" x14ac:dyDescent="0.2">
      <c r="B781" s="89"/>
      <c r="C781"/>
      <c r="D781"/>
      <c r="E781" s="69"/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  <c r="V781"/>
      <c r="W781"/>
      <c r="X781"/>
      <c r="Y781"/>
      <c r="Z781"/>
      <c r="AA781"/>
    </row>
    <row r="782" spans="2:27" s="25" customFormat="1" ht="15.75" customHeight="1" x14ac:dyDescent="0.2">
      <c r="B782" s="89"/>
      <c r="C782"/>
      <c r="D782"/>
      <c r="E782" s="69"/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  <c r="V782"/>
      <c r="W782"/>
      <c r="X782"/>
      <c r="Y782"/>
      <c r="Z782"/>
      <c r="AA782"/>
    </row>
    <row r="783" spans="2:27" s="25" customFormat="1" ht="15.75" customHeight="1" x14ac:dyDescent="0.2">
      <c r="B783" s="89"/>
      <c r="C783"/>
      <c r="D783"/>
      <c r="E783" s="69"/>
      <c r="F783"/>
      <c r="G783"/>
      <c r="H783"/>
      <c r="I783"/>
      <c r="J783"/>
      <c r="K783"/>
      <c r="L783"/>
      <c r="M783"/>
      <c r="N783"/>
      <c r="O783"/>
      <c r="P783"/>
      <c r="Q783"/>
      <c r="R783"/>
      <c r="S783"/>
      <c r="T783"/>
      <c r="U783"/>
      <c r="V783"/>
      <c r="W783"/>
      <c r="X783"/>
      <c r="Y783"/>
      <c r="Z783"/>
      <c r="AA783"/>
    </row>
    <row r="784" spans="2:27" s="25" customFormat="1" ht="15.75" customHeight="1" x14ac:dyDescent="0.2">
      <c r="B784" s="89"/>
      <c r="C784"/>
      <c r="D784"/>
      <c r="E784" s="69"/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  <c r="T784"/>
      <c r="U784"/>
      <c r="V784"/>
      <c r="W784"/>
      <c r="X784"/>
      <c r="Y784"/>
      <c r="Z784"/>
      <c r="AA784"/>
    </row>
    <row r="785" spans="2:27" s="25" customFormat="1" ht="15.75" customHeight="1" x14ac:dyDescent="0.2">
      <c r="B785" s="89"/>
      <c r="C785"/>
      <c r="D785"/>
      <c r="E785" s="69"/>
      <c r="F785"/>
      <c r="G785"/>
      <c r="H785"/>
      <c r="I785"/>
      <c r="J785"/>
      <c r="K785"/>
      <c r="L785"/>
      <c r="M785"/>
      <c r="N785"/>
      <c r="O785"/>
      <c r="P785"/>
      <c r="Q785"/>
      <c r="R785"/>
      <c r="S785"/>
      <c r="T785"/>
      <c r="U785"/>
      <c r="V785"/>
      <c r="W785"/>
      <c r="X785"/>
      <c r="Y785"/>
      <c r="Z785"/>
      <c r="AA785"/>
    </row>
    <row r="786" spans="2:27" s="25" customFormat="1" ht="15.75" customHeight="1" x14ac:dyDescent="0.2">
      <c r="B786" s="89"/>
      <c r="C786"/>
      <c r="D786"/>
      <c r="E786" s="69"/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  <c r="U786"/>
      <c r="V786"/>
      <c r="W786"/>
      <c r="X786"/>
      <c r="Y786"/>
      <c r="Z786"/>
      <c r="AA786"/>
    </row>
    <row r="787" spans="2:27" s="25" customFormat="1" ht="15.75" customHeight="1" x14ac:dyDescent="0.2">
      <c r="B787" s="89"/>
      <c r="C787"/>
      <c r="D787"/>
      <c r="E787" s="69"/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  <c r="V787"/>
      <c r="W787"/>
      <c r="X787"/>
      <c r="Y787"/>
      <c r="Z787"/>
      <c r="AA787"/>
    </row>
    <row r="788" spans="2:27" s="25" customFormat="1" ht="15.75" customHeight="1" x14ac:dyDescent="0.2">
      <c r="B788" s="89"/>
      <c r="C788"/>
      <c r="D788"/>
      <c r="E788" s="69"/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  <c r="V788"/>
      <c r="W788"/>
      <c r="X788"/>
      <c r="Y788"/>
      <c r="Z788"/>
      <c r="AA788"/>
    </row>
    <row r="789" spans="2:27" s="25" customFormat="1" ht="15.75" customHeight="1" x14ac:dyDescent="0.2">
      <c r="B789" s="89"/>
      <c r="C789"/>
      <c r="D789"/>
      <c r="E789" s="69"/>
      <c r="F789"/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  <c r="V789"/>
      <c r="W789"/>
      <c r="X789"/>
      <c r="Y789"/>
      <c r="Z789"/>
      <c r="AA789"/>
    </row>
    <row r="790" spans="2:27" s="25" customFormat="1" ht="15.75" customHeight="1" x14ac:dyDescent="0.2">
      <c r="B790" s="89"/>
      <c r="C790"/>
      <c r="D790"/>
      <c r="E790" s="69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  <c r="V790"/>
      <c r="W790"/>
      <c r="X790"/>
      <c r="Y790"/>
      <c r="Z790"/>
      <c r="AA790"/>
    </row>
    <row r="791" spans="2:27" s="25" customFormat="1" ht="15.75" customHeight="1" x14ac:dyDescent="0.2">
      <c r="B791" s="89"/>
      <c r="C791"/>
      <c r="D791"/>
      <c r="E791" s="69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  <c r="V791"/>
      <c r="W791"/>
      <c r="X791"/>
      <c r="Y791"/>
      <c r="Z791"/>
      <c r="AA791"/>
    </row>
    <row r="792" spans="2:27" s="25" customFormat="1" ht="15.75" customHeight="1" x14ac:dyDescent="0.2">
      <c r="B792" s="89"/>
      <c r="C792"/>
      <c r="D792"/>
      <c r="E792" s="69"/>
      <c r="F792"/>
      <c r="G792"/>
      <c r="H792"/>
      <c r="I792"/>
      <c r="J792"/>
      <c r="K792"/>
      <c r="L792"/>
      <c r="M792"/>
      <c r="N792"/>
      <c r="O792"/>
      <c r="P792"/>
      <c r="Q792"/>
      <c r="R792"/>
      <c r="S792"/>
      <c r="T792"/>
      <c r="U792"/>
      <c r="V792"/>
      <c r="W792"/>
      <c r="X792"/>
      <c r="Y792"/>
      <c r="Z792"/>
      <c r="AA792"/>
    </row>
    <row r="793" spans="2:27" s="25" customFormat="1" ht="15.75" customHeight="1" x14ac:dyDescent="0.2">
      <c r="B793" s="89"/>
      <c r="C793"/>
      <c r="D793"/>
      <c r="E793" s="69"/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  <c r="V793"/>
      <c r="W793"/>
      <c r="X793"/>
      <c r="Y793"/>
      <c r="Z793"/>
      <c r="AA793"/>
    </row>
    <row r="794" spans="2:27" s="25" customFormat="1" ht="15.75" customHeight="1" x14ac:dyDescent="0.2">
      <c r="B794" s="89"/>
      <c r="C794"/>
      <c r="D794"/>
      <c r="E794" s="69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  <c r="V794"/>
      <c r="W794"/>
      <c r="X794"/>
      <c r="Y794"/>
      <c r="Z794"/>
      <c r="AA794"/>
    </row>
    <row r="795" spans="2:27" s="25" customFormat="1" ht="15.75" customHeight="1" x14ac:dyDescent="0.2">
      <c r="B795" s="89"/>
      <c r="C795"/>
      <c r="D795"/>
      <c r="E795" s="69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  <c r="V795"/>
      <c r="W795"/>
      <c r="X795"/>
      <c r="Y795"/>
      <c r="Z795"/>
      <c r="AA795"/>
    </row>
    <row r="796" spans="2:27" s="25" customFormat="1" ht="15.75" customHeight="1" x14ac:dyDescent="0.2">
      <c r="B796" s="89"/>
      <c r="C796"/>
      <c r="D796"/>
      <c r="E796" s="69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  <c r="V796"/>
      <c r="W796"/>
      <c r="X796"/>
      <c r="Y796"/>
      <c r="Z796"/>
      <c r="AA796"/>
    </row>
    <row r="797" spans="2:27" s="25" customFormat="1" ht="15.75" customHeight="1" x14ac:dyDescent="0.2">
      <c r="B797" s="89"/>
      <c r="C797"/>
      <c r="D797"/>
      <c r="E797" s="69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  <c r="V797"/>
      <c r="W797"/>
      <c r="X797"/>
      <c r="Y797"/>
      <c r="Z797"/>
      <c r="AA797"/>
    </row>
    <row r="798" spans="2:27" s="25" customFormat="1" ht="15.75" customHeight="1" x14ac:dyDescent="0.2">
      <c r="B798" s="89"/>
      <c r="C798"/>
      <c r="D798"/>
      <c r="E798" s="69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  <c r="V798"/>
      <c r="W798"/>
      <c r="X798"/>
      <c r="Y798"/>
      <c r="Z798"/>
      <c r="AA798"/>
    </row>
    <row r="799" spans="2:27" s="25" customFormat="1" ht="15.75" customHeight="1" x14ac:dyDescent="0.2">
      <c r="B799" s="89"/>
      <c r="C799"/>
      <c r="D799"/>
      <c r="E799" s="6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  <c r="V799"/>
      <c r="W799"/>
      <c r="X799"/>
      <c r="Y799"/>
      <c r="Z799"/>
      <c r="AA799"/>
    </row>
    <row r="800" spans="2:27" s="25" customFormat="1" ht="15.75" customHeight="1" x14ac:dyDescent="0.2">
      <c r="B800" s="89"/>
      <c r="C800"/>
      <c r="D800"/>
      <c r="E800" s="69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  <c r="V800"/>
      <c r="W800"/>
      <c r="X800"/>
      <c r="Y800"/>
      <c r="Z800"/>
      <c r="AA800"/>
    </row>
    <row r="801" spans="2:27" s="25" customFormat="1" ht="15.75" customHeight="1" x14ac:dyDescent="0.2">
      <c r="B801" s="89"/>
      <c r="C801"/>
      <c r="D801"/>
      <c r="E801" s="69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  <c r="V801"/>
      <c r="W801"/>
      <c r="X801"/>
      <c r="Y801"/>
      <c r="Z801"/>
      <c r="AA801"/>
    </row>
    <row r="802" spans="2:27" s="25" customFormat="1" ht="15.75" customHeight="1" x14ac:dyDescent="0.2">
      <c r="B802" s="89"/>
      <c r="C802"/>
      <c r="D802"/>
      <c r="E802" s="69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  <c r="V802"/>
      <c r="W802"/>
      <c r="X802"/>
      <c r="Y802"/>
      <c r="Z802"/>
      <c r="AA802"/>
    </row>
    <row r="803" spans="2:27" s="25" customFormat="1" ht="15.75" customHeight="1" x14ac:dyDescent="0.2">
      <c r="B803" s="89"/>
      <c r="C803"/>
      <c r="D803"/>
      <c r="E803" s="69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  <c r="V803"/>
      <c r="W803"/>
      <c r="X803"/>
      <c r="Y803"/>
      <c r="Z803"/>
      <c r="AA803"/>
    </row>
    <row r="804" spans="2:27" s="25" customFormat="1" ht="15.75" customHeight="1" x14ac:dyDescent="0.2">
      <c r="B804" s="89"/>
      <c r="C804"/>
      <c r="D804"/>
      <c r="E804" s="69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  <c r="V804"/>
      <c r="W804"/>
      <c r="X804"/>
      <c r="Y804"/>
      <c r="Z804"/>
      <c r="AA804"/>
    </row>
    <row r="805" spans="2:27" s="25" customFormat="1" ht="15.75" customHeight="1" x14ac:dyDescent="0.2">
      <c r="B805" s="89"/>
      <c r="C805"/>
      <c r="D805"/>
      <c r="E805" s="69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  <c r="V805"/>
      <c r="W805"/>
      <c r="X805"/>
      <c r="Y805"/>
      <c r="Z805"/>
      <c r="AA805"/>
    </row>
    <row r="806" spans="2:27" s="25" customFormat="1" ht="15.75" customHeight="1" x14ac:dyDescent="0.2">
      <c r="B806" s="89"/>
      <c r="C806"/>
      <c r="D806"/>
      <c r="E806" s="69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  <c r="V806"/>
      <c r="W806"/>
      <c r="X806"/>
      <c r="Y806"/>
      <c r="Z806"/>
      <c r="AA806"/>
    </row>
    <row r="807" spans="2:27" s="25" customFormat="1" ht="15.75" customHeight="1" x14ac:dyDescent="0.2">
      <c r="B807" s="89"/>
      <c r="C807"/>
      <c r="D807"/>
      <c r="E807" s="69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  <c r="V807"/>
      <c r="W807"/>
      <c r="X807"/>
      <c r="Y807"/>
      <c r="Z807"/>
      <c r="AA807"/>
    </row>
    <row r="808" spans="2:27" s="25" customFormat="1" ht="15.75" customHeight="1" x14ac:dyDescent="0.2">
      <c r="B808" s="89"/>
      <c r="C808"/>
      <c r="D808"/>
      <c r="E808" s="69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  <c r="V808"/>
      <c r="W808"/>
      <c r="X808"/>
      <c r="Y808"/>
      <c r="Z808"/>
      <c r="AA808"/>
    </row>
    <row r="809" spans="2:27" s="25" customFormat="1" ht="15.75" customHeight="1" x14ac:dyDescent="0.2">
      <c r="B809" s="89"/>
      <c r="C809"/>
      <c r="D809"/>
      <c r="E809" s="6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  <c r="V809"/>
      <c r="W809"/>
      <c r="X809"/>
      <c r="Y809"/>
      <c r="Z809"/>
      <c r="AA809"/>
    </row>
    <row r="810" spans="2:27" s="25" customFormat="1" ht="15.75" customHeight="1" x14ac:dyDescent="0.2">
      <c r="B810" s="89"/>
      <c r="C810"/>
      <c r="D810"/>
      <c r="E810" s="69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  <c r="V810"/>
      <c r="W810"/>
      <c r="X810"/>
      <c r="Y810"/>
      <c r="Z810"/>
      <c r="AA810"/>
    </row>
    <row r="811" spans="2:27" s="25" customFormat="1" ht="15.75" customHeight="1" x14ac:dyDescent="0.2">
      <c r="B811" s="89"/>
      <c r="C811"/>
      <c r="D811"/>
      <c r="E811" s="69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  <c r="V811"/>
      <c r="W811"/>
      <c r="X811"/>
      <c r="Y811"/>
      <c r="Z811"/>
      <c r="AA811"/>
    </row>
    <row r="812" spans="2:27" s="25" customFormat="1" ht="15.75" customHeight="1" x14ac:dyDescent="0.2">
      <c r="B812" s="89"/>
      <c r="C812"/>
      <c r="D812"/>
      <c r="E812" s="69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  <c r="V812"/>
      <c r="W812"/>
      <c r="X812"/>
      <c r="Y812"/>
      <c r="Z812"/>
      <c r="AA812"/>
    </row>
    <row r="813" spans="2:27" s="25" customFormat="1" ht="15.75" customHeight="1" x14ac:dyDescent="0.2">
      <c r="B813" s="89"/>
      <c r="C813"/>
      <c r="D813"/>
      <c r="E813" s="69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  <c r="V813"/>
      <c r="W813"/>
      <c r="X813"/>
      <c r="Y813"/>
      <c r="Z813"/>
      <c r="AA813"/>
    </row>
    <row r="814" spans="2:27" s="25" customFormat="1" ht="15.75" customHeight="1" x14ac:dyDescent="0.2">
      <c r="B814" s="89"/>
      <c r="C814"/>
      <c r="D814"/>
      <c r="E814" s="69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  <c r="V814"/>
      <c r="W814"/>
      <c r="X814"/>
      <c r="Y814"/>
      <c r="Z814"/>
      <c r="AA814"/>
    </row>
    <row r="815" spans="2:27" s="25" customFormat="1" ht="15.75" customHeight="1" x14ac:dyDescent="0.2">
      <c r="B815" s="89"/>
      <c r="C815"/>
      <c r="D815"/>
      <c r="E815" s="69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  <c r="V815"/>
      <c r="W815"/>
      <c r="X815"/>
      <c r="Y815"/>
      <c r="Z815"/>
      <c r="AA815"/>
    </row>
    <row r="816" spans="2:27" s="25" customFormat="1" ht="15.75" customHeight="1" x14ac:dyDescent="0.2">
      <c r="B816" s="89"/>
      <c r="C816"/>
      <c r="D816"/>
      <c r="E816" s="69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  <c r="V816"/>
      <c r="W816"/>
      <c r="X816"/>
      <c r="Y816"/>
      <c r="Z816"/>
      <c r="AA816"/>
    </row>
    <row r="817" spans="2:27" s="25" customFormat="1" ht="15.75" customHeight="1" x14ac:dyDescent="0.2">
      <c r="B817" s="89"/>
      <c r="C817"/>
      <c r="D817"/>
      <c r="E817" s="69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  <c r="V817"/>
      <c r="W817"/>
      <c r="X817"/>
      <c r="Y817"/>
      <c r="Z817"/>
      <c r="AA817"/>
    </row>
    <row r="818" spans="2:27" s="25" customFormat="1" ht="15.75" customHeight="1" x14ac:dyDescent="0.2">
      <c r="B818" s="89"/>
      <c r="C818"/>
      <c r="D818"/>
      <c r="E818" s="69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  <c r="U818"/>
      <c r="V818"/>
      <c r="W818"/>
      <c r="X818"/>
      <c r="Y818"/>
      <c r="Z818"/>
      <c r="AA818"/>
    </row>
    <row r="819" spans="2:27" s="25" customFormat="1" ht="15.75" customHeight="1" x14ac:dyDescent="0.2">
      <c r="B819" s="89"/>
      <c r="C819"/>
      <c r="D819"/>
      <c r="E819" s="6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/>
      <c r="U819"/>
      <c r="V819"/>
      <c r="W819"/>
      <c r="X819"/>
      <c r="Y819"/>
      <c r="Z819"/>
      <c r="AA819"/>
    </row>
    <row r="820" spans="2:27" s="25" customFormat="1" ht="15.75" customHeight="1" x14ac:dyDescent="0.2">
      <c r="B820" s="89"/>
      <c r="C820"/>
      <c r="D820"/>
      <c r="E820" s="69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  <c r="U820"/>
      <c r="V820"/>
      <c r="W820"/>
      <c r="X820"/>
      <c r="Y820"/>
      <c r="Z820"/>
      <c r="AA820"/>
    </row>
    <row r="821" spans="2:27" s="25" customFormat="1" ht="15.75" customHeight="1" x14ac:dyDescent="0.2">
      <c r="B821" s="89"/>
      <c r="C821"/>
      <c r="D821"/>
      <c r="E821" s="69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  <c r="V821"/>
      <c r="W821"/>
      <c r="X821"/>
      <c r="Y821"/>
      <c r="Z821"/>
      <c r="AA821"/>
    </row>
    <row r="822" spans="2:27" s="25" customFormat="1" ht="15.75" customHeight="1" x14ac:dyDescent="0.2">
      <c r="B822" s="89"/>
      <c r="C822"/>
      <c r="D822"/>
      <c r="E822" s="69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  <c r="V822"/>
      <c r="W822"/>
      <c r="X822"/>
      <c r="Y822"/>
      <c r="Z822"/>
      <c r="AA822"/>
    </row>
    <row r="823" spans="2:27" s="25" customFormat="1" ht="15.75" customHeight="1" x14ac:dyDescent="0.2">
      <c r="B823" s="89"/>
      <c r="C823"/>
      <c r="D823"/>
      <c r="E823" s="69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  <c r="V823"/>
      <c r="W823"/>
      <c r="X823"/>
      <c r="Y823"/>
      <c r="Z823"/>
      <c r="AA823"/>
    </row>
    <row r="824" spans="2:27" s="25" customFormat="1" ht="15.75" customHeight="1" x14ac:dyDescent="0.2">
      <c r="B824" s="89"/>
      <c r="C824"/>
      <c r="D824"/>
      <c r="E824" s="69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  <c r="U824"/>
      <c r="V824"/>
      <c r="W824"/>
      <c r="X824"/>
      <c r="Y824"/>
      <c r="Z824"/>
      <c r="AA824"/>
    </row>
    <row r="825" spans="2:27" s="25" customFormat="1" ht="15.75" customHeight="1" x14ac:dyDescent="0.2">
      <c r="B825" s="89"/>
      <c r="C825"/>
      <c r="D825"/>
      <c r="E825" s="69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  <c r="V825"/>
      <c r="W825"/>
      <c r="X825"/>
      <c r="Y825"/>
      <c r="Z825"/>
      <c r="AA825"/>
    </row>
    <row r="826" spans="2:27" s="25" customFormat="1" ht="15.75" customHeight="1" x14ac:dyDescent="0.2">
      <c r="B826" s="89"/>
      <c r="C826"/>
      <c r="D826"/>
      <c r="E826" s="69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  <c r="U826"/>
      <c r="V826"/>
      <c r="W826"/>
      <c r="X826"/>
      <c r="Y826"/>
      <c r="Z826"/>
      <c r="AA826"/>
    </row>
    <row r="827" spans="2:27" s="25" customFormat="1" ht="15.75" customHeight="1" x14ac:dyDescent="0.2">
      <c r="B827" s="89"/>
      <c r="C827"/>
      <c r="D827"/>
      <c r="E827" s="69"/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  <c r="U827"/>
      <c r="V827"/>
      <c r="W827"/>
      <c r="X827"/>
      <c r="Y827"/>
      <c r="Z827"/>
      <c r="AA827"/>
    </row>
    <row r="828" spans="2:27" s="25" customFormat="1" ht="15.75" customHeight="1" x14ac:dyDescent="0.2">
      <c r="B828" s="89"/>
      <c r="C828"/>
      <c r="D828"/>
      <c r="E828" s="69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  <c r="V828"/>
      <c r="W828"/>
      <c r="X828"/>
      <c r="Y828"/>
      <c r="Z828"/>
      <c r="AA828"/>
    </row>
    <row r="829" spans="2:27" s="25" customFormat="1" ht="15.75" customHeight="1" x14ac:dyDescent="0.2">
      <c r="B829" s="89"/>
      <c r="C829"/>
      <c r="D829"/>
      <c r="E829" s="6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  <c r="V829"/>
      <c r="W829"/>
      <c r="X829"/>
      <c r="Y829"/>
      <c r="Z829"/>
      <c r="AA829"/>
    </row>
    <row r="830" spans="2:27" s="25" customFormat="1" ht="15.75" customHeight="1" x14ac:dyDescent="0.2">
      <c r="B830" s="89"/>
      <c r="C830"/>
      <c r="D830"/>
      <c r="E830" s="69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  <c r="V830"/>
      <c r="W830"/>
      <c r="X830"/>
      <c r="Y830"/>
      <c r="Z830"/>
      <c r="AA830"/>
    </row>
    <row r="831" spans="2:27" s="25" customFormat="1" ht="15.75" customHeight="1" x14ac:dyDescent="0.2">
      <c r="B831" s="89"/>
      <c r="C831"/>
      <c r="D831"/>
      <c r="E831" s="69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  <c r="V831"/>
      <c r="W831"/>
      <c r="X831"/>
      <c r="Y831"/>
      <c r="Z831"/>
      <c r="AA831"/>
    </row>
    <row r="832" spans="2:27" s="25" customFormat="1" ht="15.75" customHeight="1" x14ac:dyDescent="0.2">
      <c r="B832" s="89"/>
      <c r="C832"/>
      <c r="D832"/>
      <c r="E832" s="69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  <c r="V832"/>
      <c r="W832"/>
      <c r="X832"/>
      <c r="Y832"/>
      <c r="Z832"/>
      <c r="AA832"/>
    </row>
    <row r="833" spans="2:27" s="25" customFormat="1" ht="15.75" customHeight="1" x14ac:dyDescent="0.2">
      <c r="B833" s="89"/>
      <c r="C833"/>
      <c r="D833"/>
      <c r="E833" s="69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  <c r="V833"/>
      <c r="W833"/>
      <c r="X833"/>
      <c r="Y833"/>
      <c r="Z833"/>
      <c r="AA833"/>
    </row>
    <row r="834" spans="2:27" s="25" customFormat="1" ht="15.75" customHeight="1" x14ac:dyDescent="0.2">
      <c r="B834" s="89"/>
      <c r="C834"/>
      <c r="D834"/>
      <c r="E834" s="69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  <c r="V834"/>
      <c r="W834"/>
      <c r="X834"/>
      <c r="Y834"/>
      <c r="Z834"/>
      <c r="AA834"/>
    </row>
    <row r="835" spans="2:27" s="25" customFormat="1" ht="15.75" customHeight="1" x14ac:dyDescent="0.2">
      <c r="B835" s="89"/>
      <c r="C835"/>
      <c r="D835"/>
      <c r="E835" s="69"/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  <c r="U835"/>
      <c r="V835"/>
      <c r="W835"/>
      <c r="X835"/>
      <c r="Y835"/>
      <c r="Z835"/>
      <c r="AA835"/>
    </row>
    <row r="836" spans="2:27" s="25" customFormat="1" ht="15.75" customHeight="1" x14ac:dyDescent="0.2">
      <c r="B836" s="89"/>
      <c r="C836"/>
      <c r="D836"/>
      <c r="E836" s="69"/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  <c r="U836"/>
      <c r="V836"/>
      <c r="W836"/>
      <c r="X836"/>
      <c r="Y836"/>
      <c r="Z836"/>
      <c r="AA836"/>
    </row>
    <row r="837" spans="2:27" s="25" customFormat="1" ht="15.75" customHeight="1" x14ac:dyDescent="0.2">
      <c r="B837" s="89"/>
      <c r="C837"/>
      <c r="D837"/>
      <c r="E837" s="69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  <c r="U837"/>
      <c r="V837"/>
      <c r="W837"/>
      <c r="X837"/>
      <c r="Y837"/>
      <c r="Z837"/>
      <c r="AA837"/>
    </row>
    <row r="838" spans="2:27" s="25" customFormat="1" ht="15.75" customHeight="1" x14ac:dyDescent="0.2">
      <c r="B838" s="89"/>
      <c r="C838"/>
      <c r="D838"/>
      <c r="E838" s="69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  <c r="V838"/>
      <c r="W838"/>
      <c r="X838"/>
      <c r="Y838"/>
      <c r="Z838"/>
      <c r="AA838"/>
    </row>
    <row r="839" spans="2:27" s="25" customFormat="1" ht="15.75" customHeight="1" x14ac:dyDescent="0.2">
      <c r="B839" s="89"/>
      <c r="C839"/>
      <c r="D839"/>
      <c r="E839" s="6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  <c r="V839"/>
      <c r="W839"/>
      <c r="X839"/>
      <c r="Y839"/>
      <c r="Z839"/>
      <c r="AA839"/>
    </row>
    <row r="840" spans="2:27" s="25" customFormat="1" ht="15.75" customHeight="1" x14ac:dyDescent="0.2">
      <c r="B840" s="89"/>
      <c r="C840"/>
      <c r="D840"/>
      <c r="E840" s="69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  <c r="V840"/>
      <c r="W840"/>
      <c r="X840"/>
      <c r="Y840"/>
      <c r="Z840"/>
      <c r="AA840"/>
    </row>
    <row r="841" spans="2:27" s="25" customFormat="1" ht="15.75" customHeight="1" x14ac:dyDescent="0.2">
      <c r="B841" s="89"/>
      <c r="C841"/>
      <c r="D841"/>
      <c r="E841" s="69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  <c r="V841"/>
      <c r="W841"/>
      <c r="X841"/>
      <c r="Y841"/>
      <c r="Z841"/>
      <c r="AA841"/>
    </row>
    <row r="842" spans="2:27" s="25" customFormat="1" ht="15.75" customHeight="1" x14ac:dyDescent="0.2">
      <c r="B842" s="89"/>
      <c r="C842"/>
      <c r="D842"/>
      <c r="E842" s="69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  <c r="U842"/>
      <c r="V842"/>
      <c r="W842"/>
      <c r="X842"/>
      <c r="Y842"/>
      <c r="Z842"/>
      <c r="AA842"/>
    </row>
    <row r="843" spans="2:27" s="25" customFormat="1" ht="15.75" customHeight="1" x14ac:dyDescent="0.2">
      <c r="B843" s="89"/>
      <c r="C843"/>
      <c r="D843"/>
      <c r="E843" s="69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  <c r="V843"/>
      <c r="W843"/>
      <c r="X843"/>
      <c r="Y843"/>
      <c r="Z843"/>
      <c r="AA843"/>
    </row>
    <row r="844" spans="2:27" s="25" customFormat="1" ht="15.75" customHeight="1" x14ac:dyDescent="0.2">
      <c r="B844" s="89"/>
      <c r="C844"/>
      <c r="D844"/>
      <c r="E844" s="69"/>
      <c r="F844"/>
      <c r="G844"/>
      <c r="H844"/>
      <c r="I844"/>
      <c r="J844"/>
      <c r="K844"/>
      <c r="L844"/>
      <c r="M844"/>
      <c r="N844"/>
      <c r="O844"/>
      <c r="P844"/>
      <c r="Q844"/>
      <c r="R844"/>
      <c r="S844"/>
      <c r="T844"/>
      <c r="U844"/>
      <c r="V844"/>
      <c r="W844"/>
      <c r="X844"/>
      <c r="Y844"/>
      <c r="Z844"/>
      <c r="AA844"/>
    </row>
    <row r="845" spans="2:27" s="25" customFormat="1" ht="15.75" customHeight="1" x14ac:dyDescent="0.2">
      <c r="B845" s="89"/>
      <c r="C845"/>
      <c r="D845"/>
      <c r="E845" s="69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  <c r="U845"/>
      <c r="V845"/>
      <c r="W845"/>
      <c r="X845"/>
      <c r="Y845"/>
      <c r="Z845"/>
      <c r="AA845"/>
    </row>
    <row r="846" spans="2:27" s="25" customFormat="1" ht="15.75" customHeight="1" x14ac:dyDescent="0.2">
      <c r="B846" s="89"/>
      <c r="C846"/>
      <c r="D846"/>
      <c r="E846" s="69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  <c r="V846"/>
      <c r="W846"/>
      <c r="X846"/>
      <c r="Y846"/>
      <c r="Z846"/>
      <c r="AA846"/>
    </row>
    <row r="847" spans="2:27" s="25" customFormat="1" ht="15.75" customHeight="1" x14ac:dyDescent="0.2">
      <c r="B847" s="89"/>
      <c r="C847"/>
      <c r="D847"/>
      <c r="E847" s="69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  <c r="U847"/>
      <c r="V847"/>
      <c r="W847"/>
      <c r="X847"/>
      <c r="Y847"/>
      <c r="Z847"/>
      <c r="AA847"/>
    </row>
    <row r="848" spans="2:27" s="25" customFormat="1" ht="15.75" customHeight="1" x14ac:dyDescent="0.2">
      <c r="B848" s="89"/>
      <c r="C848"/>
      <c r="D848"/>
      <c r="E848" s="69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/>
      <c r="U848"/>
      <c r="V848"/>
      <c r="W848"/>
      <c r="X848"/>
      <c r="Y848"/>
      <c r="Z848"/>
      <c r="AA848"/>
    </row>
    <row r="849" spans="2:27" s="25" customFormat="1" ht="15.75" customHeight="1" x14ac:dyDescent="0.2">
      <c r="B849" s="89"/>
      <c r="C849"/>
      <c r="D849"/>
      <c r="E849" s="6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  <c r="V849"/>
      <c r="W849"/>
      <c r="X849"/>
      <c r="Y849"/>
      <c r="Z849"/>
      <c r="AA849"/>
    </row>
    <row r="850" spans="2:27" s="25" customFormat="1" ht="15.75" customHeight="1" x14ac:dyDescent="0.2">
      <c r="B850" s="89"/>
      <c r="C850"/>
      <c r="D850"/>
      <c r="E850" s="69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  <c r="V850"/>
      <c r="W850"/>
      <c r="X850"/>
      <c r="Y850"/>
      <c r="Z850"/>
      <c r="AA850"/>
    </row>
    <row r="851" spans="2:27" s="25" customFormat="1" ht="15.75" customHeight="1" x14ac:dyDescent="0.2">
      <c r="B851" s="89"/>
      <c r="C851"/>
      <c r="D851"/>
      <c r="E851" s="69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  <c r="U851"/>
      <c r="V851"/>
      <c r="W851"/>
      <c r="X851"/>
      <c r="Y851"/>
      <c r="Z851"/>
      <c r="AA851"/>
    </row>
    <row r="852" spans="2:27" s="25" customFormat="1" ht="15.75" customHeight="1" x14ac:dyDescent="0.2">
      <c r="B852" s="89"/>
      <c r="C852"/>
      <c r="D852"/>
      <c r="E852" s="69"/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  <c r="U852"/>
      <c r="V852"/>
      <c r="W852"/>
      <c r="X852"/>
      <c r="Y852"/>
      <c r="Z852"/>
      <c r="AA852"/>
    </row>
    <row r="853" spans="2:27" s="25" customFormat="1" ht="15.75" customHeight="1" x14ac:dyDescent="0.2">
      <c r="B853" s="89"/>
      <c r="C853"/>
      <c r="D853"/>
      <c r="E853" s="69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  <c r="V853"/>
      <c r="W853"/>
      <c r="X853"/>
      <c r="Y853"/>
      <c r="Z853"/>
      <c r="AA853"/>
    </row>
    <row r="854" spans="2:27" s="25" customFormat="1" ht="15.75" customHeight="1" x14ac:dyDescent="0.2">
      <c r="B854" s="89"/>
      <c r="C854"/>
      <c r="D854"/>
      <c r="E854" s="69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  <c r="V854"/>
      <c r="W854"/>
      <c r="X854"/>
      <c r="Y854"/>
      <c r="Z854"/>
      <c r="AA854"/>
    </row>
    <row r="855" spans="2:27" s="25" customFormat="1" ht="15.75" customHeight="1" x14ac:dyDescent="0.2">
      <c r="B855" s="89"/>
      <c r="C855"/>
      <c r="D855"/>
      <c r="E855" s="69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  <c r="U855"/>
      <c r="V855"/>
      <c r="W855"/>
      <c r="X855"/>
      <c r="Y855"/>
      <c r="Z855"/>
      <c r="AA855"/>
    </row>
    <row r="856" spans="2:27" s="25" customFormat="1" ht="15.75" customHeight="1" x14ac:dyDescent="0.2">
      <c r="B856" s="89"/>
      <c r="C856"/>
      <c r="D856"/>
      <c r="E856" s="69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  <c r="U856"/>
      <c r="V856"/>
      <c r="W856"/>
      <c r="X856"/>
      <c r="Y856"/>
      <c r="Z856"/>
      <c r="AA856"/>
    </row>
    <row r="857" spans="2:27" s="25" customFormat="1" ht="15.75" customHeight="1" x14ac:dyDescent="0.2">
      <c r="B857" s="89"/>
      <c r="C857"/>
      <c r="D857"/>
      <c r="E857" s="69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  <c r="U857"/>
      <c r="V857"/>
      <c r="W857"/>
      <c r="X857"/>
      <c r="Y857"/>
      <c r="Z857"/>
      <c r="AA857"/>
    </row>
    <row r="858" spans="2:27" s="25" customFormat="1" ht="15.75" customHeight="1" x14ac:dyDescent="0.2">
      <c r="B858" s="89"/>
      <c r="C858"/>
      <c r="D858"/>
      <c r="E858" s="69"/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  <c r="U858"/>
      <c r="V858"/>
      <c r="W858"/>
      <c r="X858"/>
      <c r="Y858"/>
      <c r="Z858"/>
      <c r="AA858"/>
    </row>
    <row r="859" spans="2:27" s="25" customFormat="1" ht="15.75" customHeight="1" x14ac:dyDescent="0.2">
      <c r="B859" s="89"/>
      <c r="C859"/>
      <c r="D859"/>
      <c r="E859" s="69"/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  <c r="U859"/>
      <c r="V859"/>
      <c r="W859"/>
      <c r="X859"/>
      <c r="Y859"/>
      <c r="Z859"/>
      <c r="AA859"/>
    </row>
    <row r="860" spans="2:27" s="25" customFormat="1" ht="15.75" customHeight="1" x14ac:dyDescent="0.2">
      <c r="B860" s="89"/>
      <c r="C860"/>
      <c r="D860"/>
      <c r="E860" s="69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  <c r="U860"/>
      <c r="V860"/>
      <c r="W860"/>
      <c r="X860"/>
      <c r="Y860"/>
      <c r="Z860"/>
      <c r="AA860"/>
    </row>
    <row r="861" spans="2:27" s="25" customFormat="1" ht="15.75" customHeight="1" x14ac:dyDescent="0.2">
      <c r="B861" s="89"/>
      <c r="C861"/>
      <c r="D861"/>
      <c r="E861" s="69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  <c r="V861"/>
      <c r="W861"/>
      <c r="X861"/>
      <c r="Y861"/>
      <c r="Z861"/>
      <c r="AA861"/>
    </row>
    <row r="862" spans="2:27" s="25" customFormat="1" ht="15.75" customHeight="1" x14ac:dyDescent="0.2">
      <c r="B862" s="89"/>
      <c r="C862"/>
      <c r="D862"/>
      <c r="E862" s="69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  <c r="V862"/>
      <c r="W862"/>
      <c r="X862"/>
      <c r="Y862"/>
      <c r="Z862"/>
      <c r="AA862"/>
    </row>
    <row r="863" spans="2:27" s="25" customFormat="1" ht="15.75" customHeight="1" x14ac:dyDescent="0.2">
      <c r="B863" s="89"/>
      <c r="C863"/>
      <c r="D863"/>
      <c r="E863" s="69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  <c r="V863"/>
      <c r="W863"/>
      <c r="X863"/>
      <c r="Y863"/>
      <c r="Z863"/>
      <c r="AA863"/>
    </row>
    <row r="864" spans="2:27" s="25" customFormat="1" ht="15.75" customHeight="1" x14ac:dyDescent="0.2">
      <c r="B864" s="89"/>
      <c r="C864"/>
      <c r="D864"/>
      <c r="E864" s="69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/>
      <c r="U864"/>
      <c r="V864"/>
      <c r="W864"/>
      <c r="X864"/>
      <c r="Y864"/>
      <c r="Z864"/>
      <c r="AA864"/>
    </row>
    <row r="865" spans="2:27" s="25" customFormat="1" ht="15.75" customHeight="1" x14ac:dyDescent="0.2">
      <c r="B865" s="89"/>
      <c r="C865"/>
      <c r="D865"/>
      <c r="E865" s="69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  <c r="V865"/>
      <c r="W865"/>
      <c r="X865"/>
      <c r="Y865"/>
      <c r="Z865"/>
      <c r="AA865"/>
    </row>
    <row r="866" spans="2:27" s="25" customFormat="1" ht="15.75" customHeight="1" x14ac:dyDescent="0.2">
      <c r="B866" s="89"/>
      <c r="C866"/>
      <c r="D866"/>
      <c r="E866" s="69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  <c r="U866"/>
      <c r="V866"/>
      <c r="W866"/>
      <c r="X866"/>
      <c r="Y866"/>
      <c r="Z866"/>
      <c r="AA866"/>
    </row>
    <row r="867" spans="2:27" s="25" customFormat="1" ht="15.75" customHeight="1" x14ac:dyDescent="0.2">
      <c r="B867" s="89"/>
      <c r="C867"/>
      <c r="D867"/>
      <c r="E867" s="69"/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  <c r="T867"/>
      <c r="U867"/>
      <c r="V867"/>
      <c r="W867"/>
      <c r="X867"/>
      <c r="Y867"/>
      <c r="Z867"/>
      <c r="AA867"/>
    </row>
    <row r="868" spans="2:27" s="25" customFormat="1" ht="15.75" customHeight="1" x14ac:dyDescent="0.2">
      <c r="B868" s="89"/>
      <c r="C868"/>
      <c r="D868"/>
      <c r="E868" s="69"/>
      <c r="F868"/>
      <c r="G868"/>
      <c r="H868"/>
      <c r="I868"/>
      <c r="J868"/>
      <c r="K868"/>
      <c r="L868"/>
      <c r="M868"/>
      <c r="N868"/>
      <c r="O868"/>
      <c r="P868"/>
      <c r="Q868"/>
      <c r="R868"/>
      <c r="S868"/>
      <c r="T868"/>
      <c r="U868"/>
      <c r="V868"/>
      <c r="W868"/>
      <c r="X868"/>
      <c r="Y868"/>
      <c r="Z868"/>
      <c r="AA868"/>
    </row>
    <row r="869" spans="2:27" s="25" customFormat="1" ht="15.75" customHeight="1" x14ac:dyDescent="0.2">
      <c r="B869" s="89"/>
      <c r="C869"/>
      <c r="D869"/>
      <c r="E869" s="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  <c r="V869"/>
      <c r="W869"/>
      <c r="X869"/>
      <c r="Y869"/>
      <c r="Z869"/>
      <c r="AA869"/>
    </row>
    <row r="870" spans="2:27" s="25" customFormat="1" ht="15.75" customHeight="1" x14ac:dyDescent="0.2">
      <c r="B870" s="89"/>
      <c r="C870"/>
      <c r="D870"/>
      <c r="E870" s="69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  <c r="V870"/>
      <c r="W870"/>
      <c r="X870"/>
      <c r="Y870"/>
      <c r="Z870"/>
      <c r="AA870"/>
    </row>
    <row r="871" spans="2:27" s="25" customFormat="1" ht="15.75" customHeight="1" x14ac:dyDescent="0.2">
      <c r="B871" s="89"/>
      <c r="C871"/>
      <c r="D871"/>
      <c r="E871" s="69"/>
      <c r="F871"/>
      <c r="G871"/>
      <c r="H871"/>
      <c r="I871"/>
      <c r="J871"/>
      <c r="K871"/>
      <c r="L871"/>
      <c r="M871"/>
      <c r="N871"/>
      <c r="O871"/>
      <c r="P871"/>
      <c r="Q871"/>
      <c r="R871"/>
      <c r="S871"/>
      <c r="T871"/>
      <c r="U871"/>
      <c r="V871"/>
      <c r="W871"/>
      <c r="X871"/>
      <c r="Y871"/>
      <c r="Z871"/>
      <c r="AA871"/>
    </row>
    <row r="872" spans="2:27" s="25" customFormat="1" ht="15.75" customHeight="1" x14ac:dyDescent="0.2">
      <c r="B872" s="89"/>
      <c r="C872"/>
      <c r="D872"/>
      <c r="E872" s="69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  <c r="U872"/>
      <c r="V872"/>
      <c r="W872"/>
      <c r="X872"/>
      <c r="Y872"/>
      <c r="Z872"/>
      <c r="AA872"/>
    </row>
    <row r="873" spans="2:27" s="25" customFormat="1" ht="15.75" customHeight="1" x14ac:dyDescent="0.2">
      <c r="B873" s="89"/>
      <c r="C873"/>
      <c r="D873"/>
      <c r="E873" s="69"/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  <c r="T873"/>
      <c r="U873"/>
      <c r="V873"/>
      <c r="W873"/>
      <c r="X873"/>
      <c r="Y873"/>
      <c r="Z873"/>
      <c r="AA873"/>
    </row>
    <row r="874" spans="2:27" s="25" customFormat="1" ht="15.75" customHeight="1" x14ac:dyDescent="0.2">
      <c r="B874" s="89"/>
      <c r="C874"/>
      <c r="D874"/>
      <c r="E874" s="69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  <c r="V874"/>
      <c r="W874"/>
      <c r="X874"/>
      <c r="Y874"/>
      <c r="Z874"/>
      <c r="AA874"/>
    </row>
    <row r="875" spans="2:27" s="25" customFormat="1" ht="15.75" customHeight="1" x14ac:dyDescent="0.2">
      <c r="B875" s="89"/>
      <c r="C875"/>
      <c r="D875"/>
      <c r="E875" s="69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  <c r="V875"/>
      <c r="W875"/>
      <c r="X875"/>
      <c r="Y875"/>
      <c r="Z875"/>
      <c r="AA875"/>
    </row>
    <row r="876" spans="2:27" s="25" customFormat="1" ht="15.75" customHeight="1" x14ac:dyDescent="0.2">
      <c r="B876" s="89"/>
      <c r="C876"/>
      <c r="D876"/>
      <c r="E876" s="69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  <c r="V876"/>
      <c r="W876"/>
      <c r="X876"/>
      <c r="Y876"/>
      <c r="Z876"/>
      <c r="AA876"/>
    </row>
    <row r="877" spans="2:27" s="25" customFormat="1" ht="15.75" customHeight="1" x14ac:dyDescent="0.2">
      <c r="B877" s="89"/>
      <c r="C877"/>
      <c r="D877"/>
      <c r="E877" s="69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  <c r="U877"/>
      <c r="V877"/>
      <c r="W877"/>
      <c r="X877"/>
      <c r="Y877"/>
      <c r="Z877"/>
      <c r="AA877"/>
    </row>
    <row r="878" spans="2:27" s="25" customFormat="1" ht="15.75" customHeight="1" x14ac:dyDescent="0.2">
      <c r="B878" s="89"/>
      <c r="C878"/>
      <c r="D878"/>
      <c r="E878" s="69"/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  <c r="T878"/>
      <c r="U878"/>
      <c r="V878"/>
      <c r="W878"/>
      <c r="X878"/>
      <c r="Y878"/>
      <c r="Z878"/>
      <c r="AA878"/>
    </row>
    <row r="879" spans="2:27" s="25" customFormat="1" ht="15.75" customHeight="1" x14ac:dyDescent="0.2">
      <c r="B879" s="89"/>
      <c r="C879"/>
      <c r="D879"/>
      <c r="E879" s="6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  <c r="U879"/>
      <c r="V879"/>
      <c r="W879"/>
      <c r="X879"/>
      <c r="Y879"/>
      <c r="Z879"/>
      <c r="AA879"/>
    </row>
    <row r="880" spans="2:27" s="25" customFormat="1" ht="15.75" customHeight="1" x14ac:dyDescent="0.2">
      <c r="B880" s="89"/>
      <c r="C880"/>
      <c r="D880"/>
      <c r="E880" s="69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  <c r="U880"/>
      <c r="V880"/>
      <c r="W880"/>
      <c r="X880"/>
      <c r="Y880"/>
      <c r="Z880"/>
      <c r="AA880"/>
    </row>
    <row r="881" spans="2:27" s="25" customFormat="1" ht="15.75" customHeight="1" x14ac:dyDescent="0.2">
      <c r="B881" s="89"/>
      <c r="C881"/>
      <c r="D881"/>
      <c r="E881" s="69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  <c r="U881"/>
      <c r="V881"/>
      <c r="W881"/>
      <c r="X881"/>
      <c r="Y881"/>
      <c r="Z881"/>
      <c r="AA881"/>
    </row>
    <row r="882" spans="2:27" s="25" customFormat="1" ht="15.75" customHeight="1" x14ac:dyDescent="0.2">
      <c r="B882" s="89"/>
      <c r="C882"/>
      <c r="D882"/>
      <c r="E882" s="69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  <c r="U882"/>
      <c r="V882"/>
      <c r="W882"/>
      <c r="X882"/>
      <c r="Y882"/>
      <c r="Z882"/>
      <c r="AA882"/>
    </row>
    <row r="883" spans="2:27" s="25" customFormat="1" ht="15.75" customHeight="1" x14ac:dyDescent="0.2">
      <c r="B883" s="89"/>
      <c r="C883"/>
      <c r="D883"/>
      <c r="E883" s="69"/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  <c r="T883"/>
      <c r="U883"/>
      <c r="V883"/>
      <c r="W883"/>
      <c r="X883"/>
      <c r="Y883"/>
      <c r="Z883"/>
      <c r="AA883"/>
    </row>
    <row r="884" spans="2:27" s="25" customFormat="1" ht="15.75" customHeight="1" x14ac:dyDescent="0.2">
      <c r="B884" s="89"/>
      <c r="C884"/>
      <c r="D884"/>
      <c r="E884" s="69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  <c r="V884"/>
      <c r="W884"/>
      <c r="X884"/>
      <c r="Y884"/>
      <c r="Z884"/>
      <c r="AA884"/>
    </row>
    <row r="885" spans="2:27" s="25" customFormat="1" ht="15.75" customHeight="1" x14ac:dyDescent="0.2">
      <c r="B885" s="89"/>
      <c r="C885"/>
      <c r="D885"/>
      <c r="E885" s="69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  <c r="V885"/>
      <c r="W885"/>
      <c r="X885"/>
      <c r="Y885"/>
      <c r="Z885"/>
      <c r="AA885"/>
    </row>
    <row r="886" spans="2:27" s="25" customFormat="1" ht="15.75" customHeight="1" x14ac:dyDescent="0.2">
      <c r="B886" s="89"/>
      <c r="C886"/>
      <c r="D886"/>
      <c r="E886" s="69"/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  <c r="T886"/>
      <c r="U886"/>
      <c r="V886"/>
      <c r="W886"/>
      <c r="X886"/>
      <c r="Y886"/>
      <c r="Z886"/>
      <c r="AA886"/>
    </row>
    <row r="887" spans="2:27" s="25" customFormat="1" ht="15.75" customHeight="1" x14ac:dyDescent="0.2">
      <c r="B887" s="89"/>
      <c r="C887"/>
      <c r="D887"/>
      <c r="E887" s="69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  <c r="V887"/>
      <c r="W887"/>
      <c r="X887"/>
      <c r="Y887"/>
      <c r="Z887"/>
      <c r="AA887"/>
    </row>
    <row r="888" spans="2:27" s="25" customFormat="1" ht="15.75" customHeight="1" x14ac:dyDescent="0.2">
      <c r="B888" s="89"/>
      <c r="C888"/>
      <c r="D888"/>
      <c r="E888" s="69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  <c r="U888"/>
      <c r="V888"/>
      <c r="W888"/>
      <c r="X888"/>
      <c r="Y888"/>
      <c r="Z888"/>
      <c r="AA888"/>
    </row>
    <row r="889" spans="2:27" s="25" customFormat="1" ht="15.75" customHeight="1" x14ac:dyDescent="0.2">
      <c r="B889" s="89"/>
      <c r="C889"/>
      <c r="D889"/>
      <c r="E889" s="6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  <c r="V889"/>
      <c r="W889"/>
      <c r="X889"/>
      <c r="Y889"/>
      <c r="Z889"/>
      <c r="AA889"/>
    </row>
    <row r="890" spans="2:27" s="25" customFormat="1" ht="15.75" customHeight="1" x14ac:dyDescent="0.2">
      <c r="B890" s="89"/>
      <c r="C890"/>
      <c r="D890"/>
      <c r="E890" s="69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  <c r="V890"/>
      <c r="W890"/>
      <c r="X890"/>
      <c r="Y890"/>
      <c r="Z890"/>
      <c r="AA890"/>
    </row>
    <row r="891" spans="2:27" s="25" customFormat="1" ht="15.75" customHeight="1" x14ac:dyDescent="0.2">
      <c r="B891" s="89"/>
      <c r="C891"/>
      <c r="D891"/>
      <c r="E891" s="69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  <c r="V891"/>
      <c r="W891"/>
      <c r="X891"/>
      <c r="Y891"/>
      <c r="Z891"/>
      <c r="AA891"/>
    </row>
    <row r="892" spans="2:27" s="25" customFormat="1" ht="15.75" customHeight="1" x14ac:dyDescent="0.2">
      <c r="B892" s="89"/>
      <c r="C892"/>
      <c r="D892"/>
      <c r="E892" s="69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  <c r="V892"/>
      <c r="W892"/>
      <c r="X892"/>
      <c r="Y892"/>
      <c r="Z892"/>
      <c r="AA892"/>
    </row>
    <row r="893" spans="2:27" s="25" customFormat="1" ht="15.75" customHeight="1" x14ac:dyDescent="0.2">
      <c r="B893" s="89"/>
      <c r="C893"/>
      <c r="D893"/>
      <c r="E893" s="69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  <c r="U893"/>
      <c r="V893"/>
      <c r="W893"/>
      <c r="X893"/>
      <c r="Y893"/>
      <c r="Z893"/>
      <c r="AA893"/>
    </row>
    <row r="894" spans="2:27" s="25" customFormat="1" ht="15.75" customHeight="1" x14ac:dyDescent="0.2">
      <c r="B894" s="89"/>
      <c r="C894"/>
      <c r="D894"/>
      <c r="E894" s="69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  <c r="V894"/>
      <c r="W894"/>
      <c r="X894"/>
      <c r="Y894"/>
      <c r="Z894"/>
      <c r="AA894"/>
    </row>
    <row r="895" spans="2:27" s="25" customFormat="1" ht="15.75" customHeight="1" x14ac:dyDescent="0.2">
      <c r="B895" s="89"/>
      <c r="C895"/>
      <c r="D895"/>
      <c r="E895" s="69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  <c r="V895"/>
      <c r="W895"/>
      <c r="X895"/>
      <c r="Y895"/>
      <c r="Z895"/>
      <c r="AA895"/>
    </row>
    <row r="896" spans="2:27" s="25" customFormat="1" ht="15.75" customHeight="1" x14ac:dyDescent="0.2">
      <c r="B896" s="89"/>
      <c r="C896"/>
      <c r="D896"/>
      <c r="E896" s="69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  <c r="V896"/>
      <c r="W896"/>
      <c r="X896"/>
      <c r="Y896"/>
      <c r="Z896"/>
      <c r="AA896"/>
    </row>
    <row r="897" spans="2:27" s="25" customFormat="1" ht="15.75" customHeight="1" x14ac:dyDescent="0.2">
      <c r="B897" s="89"/>
      <c r="C897"/>
      <c r="D897"/>
      <c r="E897" s="69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  <c r="V897"/>
      <c r="W897"/>
      <c r="X897"/>
      <c r="Y897"/>
      <c r="Z897"/>
      <c r="AA897"/>
    </row>
    <row r="898" spans="2:27" s="25" customFormat="1" ht="15.75" customHeight="1" x14ac:dyDescent="0.2">
      <c r="B898" s="89"/>
      <c r="C898"/>
      <c r="D898"/>
      <c r="E898" s="69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  <c r="V898"/>
      <c r="W898"/>
      <c r="X898"/>
      <c r="Y898"/>
      <c r="Z898"/>
      <c r="AA898"/>
    </row>
    <row r="899" spans="2:27" s="25" customFormat="1" ht="15.75" customHeight="1" x14ac:dyDescent="0.2">
      <c r="B899" s="89"/>
      <c r="C899"/>
      <c r="D899"/>
      <c r="E899" s="6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  <c r="V899"/>
      <c r="W899"/>
      <c r="X899"/>
      <c r="Y899"/>
      <c r="Z899"/>
      <c r="AA899"/>
    </row>
    <row r="900" spans="2:27" s="25" customFormat="1" ht="15.75" customHeight="1" x14ac:dyDescent="0.2">
      <c r="B900" s="89"/>
      <c r="C900"/>
      <c r="D900"/>
      <c r="E900" s="69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  <c r="V900"/>
      <c r="W900"/>
      <c r="X900"/>
      <c r="Y900"/>
      <c r="Z900"/>
      <c r="AA900"/>
    </row>
    <row r="901" spans="2:27" s="25" customFormat="1" ht="15.75" customHeight="1" x14ac:dyDescent="0.2">
      <c r="B901" s="89"/>
      <c r="C901"/>
      <c r="D901"/>
      <c r="E901" s="69"/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/>
      <c r="U901"/>
      <c r="V901"/>
      <c r="W901"/>
      <c r="X901"/>
      <c r="Y901"/>
      <c r="Z901"/>
      <c r="AA901"/>
    </row>
    <row r="902" spans="2:27" s="25" customFormat="1" ht="15.75" customHeight="1" x14ac:dyDescent="0.2">
      <c r="B902" s="89"/>
      <c r="C902"/>
      <c r="D902"/>
      <c r="E902" s="69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  <c r="V902"/>
      <c r="W902"/>
      <c r="X902"/>
      <c r="Y902"/>
      <c r="Z902"/>
      <c r="AA902"/>
    </row>
    <row r="903" spans="2:27" s="25" customFormat="1" ht="15.75" customHeight="1" x14ac:dyDescent="0.2">
      <c r="B903" s="89"/>
      <c r="C903"/>
      <c r="D903"/>
      <c r="E903" s="69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  <c r="V903"/>
      <c r="W903"/>
      <c r="X903"/>
      <c r="Y903"/>
      <c r="Z903"/>
      <c r="AA903"/>
    </row>
    <row r="904" spans="2:27" s="25" customFormat="1" ht="15.75" customHeight="1" x14ac:dyDescent="0.2">
      <c r="B904" s="89"/>
      <c r="C904"/>
      <c r="D904"/>
      <c r="E904" s="69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  <c r="V904"/>
      <c r="W904"/>
      <c r="X904"/>
      <c r="Y904"/>
      <c r="Z904"/>
      <c r="AA904"/>
    </row>
    <row r="905" spans="2:27" s="25" customFormat="1" ht="15.75" customHeight="1" x14ac:dyDescent="0.2">
      <c r="B905" s="89"/>
      <c r="C905"/>
      <c r="D905"/>
      <c r="E905" s="69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  <c r="V905"/>
      <c r="W905"/>
      <c r="X905"/>
      <c r="Y905"/>
      <c r="Z905"/>
      <c r="AA905"/>
    </row>
    <row r="906" spans="2:27" s="25" customFormat="1" ht="15.75" customHeight="1" x14ac:dyDescent="0.2">
      <c r="B906" s="89"/>
      <c r="C906"/>
      <c r="D906"/>
      <c r="E906" s="69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  <c r="V906"/>
      <c r="W906"/>
      <c r="X906"/>
      <c r="Y906"/>
      <c r="Z906"/>
      <c r="AA906"/>
    </row>
    <row r="907" spans="2:27" s="25" customFormat="1" ht="15.75" customHeight="1" x14ac:dyDescent="0.2">
      <c r="B907" s="89"/>
      <c r="C907"/>
      <c r="D907"/>
      <c r="E907" s="69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  <c r="V907"/>
      <c r="W907"/>
      <c r="X907"/>
      <c r="Y907"/>
      <c r="Z907"/>
      <c r="AA907"/>
    </row>
    <row r="908" spans="2:27" s="25" customFormat="1" ht="15.75" customHeight="1" x14ac:dyDescent="0.2">
      <c r="B908" s="89"/>
      <c r="C908"/>
      <c r="D908"/>
      <c r="E908" s="69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  <c r="V908"/>
      <c r="W908"/>
      <c r="X908"/>
      <c r="Y908"/>
      <c r="Z908"/>
      <c r="AA908"/>
    </row>
    <row r="909" spans="2:27" s="25" customFormat="1" ht="15.75" customHeight="1" x14ac:dyDescent="0.2">
      <c r="B909" s="89"/>
      <c r="C909"/>
      <c r="D909"/>
      <c r="E909" s="6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  <c r="V909"/>
      <c r="W909"/>
      <c r="X909"/>
      <c r="Y909"/>
      <c r="Z909"/>
      <c r="AA909"/>
    </row>
    <row r="910" spans="2:27" s="25" customFormat="1" ht="15.75" customHeight="1" x14ac:dyDescent="0.2">
      <c r="B910" s="89"/>
      <c r="C910"/>
      <c r="D910"/>
      <c r="E910" s="69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  <c r="V910"/>
      <c r="W910"/>
      <c r="X910"/>
      <c r="Y910"/>
      <c r="Z910"/>
      <c r="AA910"/>
    </row>
    <row r="911" spans="2:27" s="25" customFormat="1" ht="15.75" customHeight="1" x14ac:dyDescent="0.2">
      <c r="B911" s="89"/>
      <c r="C911"/>
      <c r="D911"/>
      <c r="E911" s="69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  <c r="V911"/>
      <c r="W911"/>
      <c r="X911"/>
      <c r="Y911"/>
      <c r="Z911"/>
      <c r="AA911"/>
    </row>
    <row r="912" spans="2:27" s="25" customFormat="1" ht="15.75" customHeight="1" x14ac:dyDescent="0.2">
      <c r="B912" s="89"/>
      <c r="C912"/>
      <c r="D912"/>
      <c r="E912" s="69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  <c r="V912"/>
      <c r="W912"/>
      <c r="X912"/>
      <c r="Y912"/>
      <c r="Z912"/>
      <c r="AA912"/>
    </row>
    <row r="913" spans="2:27" s="25" customFormat="1" ht="15.75" customHeight="1" x14ac:dyDescent="0.2">
      <c r="B913" s="89"/>
      <c r="C913"/>
      <c r="D913"/>
      <c r="E913" s="69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  <c r="V913"/>
      <c r="W913"/>
      <c r="X913"/>
      <c r="Y913"/>
      <c r="Z913"/>
      <c r="AA913"/>
    </row>
    <row r="914" spans="2:27" s="25" customFormat="1" ht="15.75" customHeight="1" x14ac:dyDescent="0.2">
      <c r="B914" s="89"/>
      <c r="C914"/>
      <c r="D914"/>
      <c r="E914" s="69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  <c r="V914"/>
      <c r="W914"/>
      <c r="X914"/>
      <c r="Y914"/>
      <c r="Z914"/>
      <c r="AA914"/>
    </row>
    <row r="915" spans="2:27" s="25" customFormat="1" ht="15.75" customHeight="1" x14ac:dyDescent="0.2">
      <c r="B915" s="89"/>
      <c r="C915"/>
      <c r="D915"/>
      <c r="E915" s="69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  <c r="V915"/>
      <c r="W915"/>
      <c r="X915"/>
      <c r="Y915"/>
      <c r="Z915"/>
      <c r="AA915"/>
    </row>
    <row r="916" spans="2:27" s="25" customFormat="1" ht="15.75" customHeight="1" x14ac:dyDescent="0.2">
      <c r="B916" s="89"/>
      <c r="C916"/>
      <c r="D916"/>
      <c r="E916" s="69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  <c r="V916"/>
      <c r="W916"/>
      <c r="X916"/>
      <c r="Y916"/>
      <c r="Z916"/>
      <c r="AA916"/>
    </row>
    <row r="917" spans="2:27" s="25" customFormat="1" ht="15.75" customHeight="1" x14ac:dyDescent="0.2">
      <c r="B917" s="89"/>
      <c r="C917"/>
      <c r="D917"/>
      <c r="E917" s="69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  <c r="V917"/>
      <c r="W917"/>
      <c r="X917"/>
      <c r="Y917"/>
      <c r="Z917"/>
      <c r="AA917"/>
    </row>
    <row r="918" spans="2:27" s="25" customFormat="1" ht="15.75" customHeight="1" x14ac:dyDescent="0.2">
      <c r="B918" s="89"/>
      <c r="C918"/>
      <c r="D918"/>
      <c r="E918" s="69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  <c r="V918"/>
      <c r="W918"/>
      <c r="X918"/>
      <c r="Y918"/>
      <c r="Z918"/>
      <c r="AA918"/>
    </row>
    <row r="919" spans="2:27" s="25" customFormat="1" ht="15.75" customHeight="1" x14ac:dyDescent="0.2">
      <c r="B919" s="89"/>
      <c r="C919"/>
      <c r="D919"/>
      <c r="E919" s="6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  <c r="V919"/>
      <c r="W919"/>
      <c r="X919"/>
      <c r="Y919"/>
      <c r="Z919"/>
      <c r="AA919"/>
    </row>
    <row r="920" spans="2:27" s="25" customFormat="1" ht="15.75" customHeight="1" x14ac:dyDescent="0.2">
      <c r="B920" s="89"/>
      <c r="C920"/>
      <c r="D920"/>
      <c r="E920" s="69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  <c r="V920"/>
      <c r="W920"/>
      <c r="X920"/>
      <c r="Y920"/>
      <c r="Z920"/>
      <c r="AA920"/>
    </row>
    <row r="921" spans="2:27" s="25" customFormat="1" ht="15.75" customHeight="1" x14ac:dyDescent="0.2">
      <c r="B921" s="89"/>
      <c r="C921"/>
      <c r="D921"/>
      <c r="E921" s="69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  <c r="V921"/>
      <c r="W921"/>
      <c r="X921"/>
      <c r="Y921"/>
      <c r="Z921"/>
      <c r="AA921"/>
    </row>
    <row r="922" spans="2:27" s="25" customFormat="1" ht="15.75" customHeight="1" x14ac:dyDescent="0.2">
      <c r="B922" s="89"/>
      <c r="C922"/>
      <c r="D922"/>
      <c r="E922" s="69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  <c r="V922"/>
      <c r="W922"/>
      <c r="X922"/>
      <c r="Y922"/>
      <c r="Z922"/>
      <c r="AA922"/>
    </row>
    <row r="923" spans="2:27" s="25" customFormat="1" ht="15.75" customHeight="1" x14ac:dyDescent="0.2">
      <c r="B923" s="89"/>
      <c r="C923"/>
      <c r="D923"/>
      <c r="E923" s="69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  <c r="V923"/>
      <c r="W923"/>
      <c r="X923"/>
      <c r="Y923"/>
      <c r="Z923"/>
      <c r="AA923"/>
    </row>
    <row r="924" spans="2:27" s="25" customFormat="1" ht="15.75" customHeight="1" x14ac:dyDescent="0.2">
      <c r="B924" s="89"/>
      <c r="C924"/>
      <c r="D924"/>
      <c r="E924" s="69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  <c r="V924"/>
      <c r="W924"/>
      <c r="X924"/>
      <c r="Y924"/>
      <c r="Z924"/>
      <c r="AA924"/>
    </row>
    <row r="925" spans="2:27" s="25" customFormat="1" ht="15.75" customHeight="1" x14ac:dyDescent="0.2">
      <c r="B925" s="89"/>
      <c r="C925"/>
      <c r="D925"/>
      <c r="E925" s="69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  <c r="V925"/>
      <c r="W925"/>
      <c r="X925"/>
      <c r="Y925"/>
      <c r="Z925"/>
      <c r="AA925"/>
    </row>
    <row r="926" spans="2:27" s="25" customFormat="1" ht="15.75" customHeight="1" x14ac:dyDescent="0.2">
      <c r="B926" s="89"/>
      <c r="C926"/>
      <c r="D926"/>
      <c r="E926" s="69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  <c r="V926"/>
      <c r="W926"/>
      <c r="X926"/>
      <c r="Y926"/>
      <c r="Z926"/>
      <c r="AA926"/>
    </row>
    <row r="927" spans="2:27" s="25" customFormat="1" ht="15.75" customHeight="1" x14ac:dyDescent="0.2">
      <c r="B927" s="89"/>
      <c r="C927"/>
      <c r="D927"/>
      <c r="E927" s="69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  <c r="V927"/>
      <c r="W927"/>
      <c r="X927"/>
      <c r="Y927"/>
      <c r="Z927"/>
      <c r="AA927"/>
    </row>
    <row r="928" spans="2:27" s="25" customFormat="1" ht="15.75" customHeight="1" x14ac:dyDescent="0.2">
      <c r="B928" s="89"/>
      <c r="C928"/>
      <c r="D928"/>
      <c r="E928" s="69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  <c r="V928"/>
      <c r="W928"/>
      <c r="X928"/>
      <c r="Y928"/>
      <c r="Z928"/>
      <c r="AA928"/>
    </row>
    <row r="929" spans="2:27" s="25" customFormat="1" ht="15.75" customHeight="1" x14ac:dyDescent="0.2">
      <c r="B929" s="89"/>
      <c r="C929"/>
      <c r="D929"/>
      <c r="E929" s="6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  <c r="V929"/>
      <c r="W929"/>
      <c r="X929"/>
      <c r="Y929"/>
      <c r="Z929"/>
      <c r="AA929"/>
    </row>
    <row r="930" spans="2:27" s="25" customFormat="1" ht="15.75" customHeight="1" x14ac:dyDescent="0.2">
      <c r="B930" s="89"/>
      <c r="C930"/>
      <c r="D930"/>
      <c r="E930" s="69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  <c r="V930"/>
      <c r="W930"/>
      <c r="X930"/>
      <c r="Y930"/>
      <c r="Z930"/>
      <c r="AA930"/>
    </row>
    <row r="931" spans="2:27" s="25" customFormat="1" ht="15.75" customHeight="1" x14ac:dyDescent="0.2">
      <c r="B931" s="89"/>
      <c r="C931"/>
      <c r="D931"/>
      <c r="E931" s="69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  <c r="V931"/>
      <c r="W931"/>
      <c r="X931"/>
      <c r="Y931"/>
      <c r="Z931"/>
      <c r="AA931"/>
    </row>
    <row r="932" spans="2:27" s="25" customFormat="1" ht="15.75" customHeight="1" x14ac:dyDescent="0.2">
      <c r="B932" s="89"/>
      <c r="C932"/>
      <c r="D932"/>
      <c r="E932" s="69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  <c r="V932"/>
      <c r="W932"/>
      <c r="X932"/>
      <c r="Y932"/>
      <c r="Z932"/>
      <c r="AA932"/>
    </row>
    <row r="933" spans="2:27" s="25" customFormat="1" ht="15.75" customHeight="1" x14ac:dyDescent="0.2">
      <c r="B933" s="89"/>
      <c r="C933"/>
      <c r="D933"/>
      <c r="E933" s="69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  <c r="V933"/>
      <c r="W933"/>
      <c r="X933"/>
      <c r="Y933"/>
      <c r="Z933"/>
      <c r="AA933"/>
    </row>
    <row r="934" spans="2:27" s="25" customFormat="1" ht="15.75" customHeight="1" x14ac:dyDescent="0.2">
      <c r="B934" s="89"/>
      <c r="C934"/>
      <c r="D934"/>
      <c r="E934" s="69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  <c r="V934"/>
      <c r="W934"/>
      <c r="X934"/>
      <c r="Y934"/>
      <c r="Z934"/>
      <c r="AA934"/>
    </row>
    <row r="935" spans="2:27" s="25" customFormat="1" ht="15.75" customHeight="1" x14ac:dyDescent="0.2">
      <c r="B935" s="89"/>
      <c r="C935"/>
      <c r="D935"/>
      <c r="E935" s="69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  <c r="V935"/>
      <c r="W935"/>
      <c r="X935"/>
      <c r="Y935"/>
      <c r="Z935"/>
      <c r="AA935"/>
    </row>
    <row r="936" spans="2:27" s="25" customFormat="1" ht="15.75" customHeight="1" x14ac:dyDescent="0.2">
      <c r="B936" s="89"/>
      <c r="C936"/>
      <c r="D936"/>
      <c r="E936" s="69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  <c r="V936"/>
      <c r="W936"/>
      <c r="X936"/>
      <c r="Y936"/>
      <c r="Z936"/>
      <c r="AA936"/>
    </row>
    <row r="937" spans="2:27" s="25" customFormat="1" ht="15.75" customHeight="1" x14ac:dyDescent="0.2">
      <c r="B937" s="89"/>
      <c r="C937"/>
      <c r="D937"/>
      <c r="E937" s="69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  <c r="V937"/>
      <c r="W937"/>
      <c r="X937"/>
      <c r="Y937"/>
      <c r="Z937"/>
      <c r="AA937"/>
    </row>
    <row r="938" spans="2:27" s="25" customFormat="1" ht="15.75" customHeight="1" x14ac:dyDescent="0.2">
      <c r="B938" s="89"/>
      <c r="C938"/>
      <c r="D938"/>
      <c r="E938" s="69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  <c r="V938"/>
      <c r="W938"/>
      <c r="X938"/>
      <c r="Y938"/>
      <c r="Z938"/>
      <c r="AA938"/>
    </row>
    <row r="939" spans="2:27" s="25" customFormat="1" ht="15.75" customHeight="1" x14ac:dyDescent="0.2">
      <c r="B939" s="89"/>
      <c r="C939"/>
      <c r="D939"/>
      <c r="E939" s="6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  <c r="V939"/>
      <c r="W939"/>
      <c r="X939"/>
      <c r="Y939"/>
      <c r="Z939"/>
      <c r="AA939"/>
    </row>
    <row r="940" spans="2:27" s="25" customFormat="1" ht="15.75" customHeight="1" x14ac:dyDescent="0.2">
      <c r="B940" s="89"/>
      <c r="C940"/>
      <c r="D940"/>
      <c r="E940" s="69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  <c r="V940"/>
      <c r="W940"/>
      <c r="X940"/>
      <c r="Y940"/>
      <c r="Z940"/>
      <c r="AA940"/>
    </row>
    <row r="941" spans="2:27" s="25" customFormat="1" ht="15.75" customHeight="1" x14ac:dyDescent="0.2">
      <c r="B941" s="89"/>
      <c r="C941"/>
      <c r="D941"/>
      <c r="E941" s="69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  <c r="V941"/>
      <c r="W941"/>
      <c r="X941"/>
      <c r="Y941"/>
      <c r="Z941"/>
      <c r="AA941"/>
    </row>
    <row r="942" spans="2:27" s="25" customFormat="1" ht="15.75" customHeight="1" x14ac:dyDescent="0.2">
      <c r="B942" s="89"/>
      <c r="C942"/>
      <c r="D942"/>
      <c r="E942" s="69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  <c r="V942"/>
      <c r="W942"/>
      <c r="X942"/>
      <c r="Y942"/>
      <c r="Z942"/>
      <c r="AA942"/>
    </row>
    <row r="943" spans="2:27" s="25" customFormat="1" ht="15.75" customHeight="1" x14ac:dyDescent="0.2">
      <c r="B943" s="89"/>
      <c r="C943"/>
      <c r="D943"/>
      <c r="E943" s="69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  <c r="V943"/>
      <c r="W943"/>
      <c r="X943"/>
      <c r="Y943"/>
      <c r="Z943"/>
      <c r="AA943"/>
    </row>
    <row r="944" spans="2:27" s="25" customFormat="1" ht="15.75" customHeight="1" x14ac:dyDescent="0.2">
      <c r="B944" s="89"/>
      <c r="C944"/>
      <c r="D944"/>
      <c r="E944" s="69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  <c r="V944"/>
      <c r="W944"/>
      <c r="X944"/>
      <c r="Y944"/>
      <c r="Z944"/>
      <c r="AA944"/>
    </row>
    <row r="945" spans="2:27" s="25" customFormat="1" ht="15.75" customHeight="1" x14ac:dyDescent="0.2">
      <c r="B945" s="89"/>
      <c r="C945"/>
      <c r="D945"/>
      <c r="E945" s="69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  <c r="U945"/>
      <c r="V945"/>
      <c r="W945"/>
      <c r="X945"/>
      <c r="Y945"/>
      <c r="Z945"/>
      <c r="AA945"/>
    </row>
    <row r="946" spans="2:27" s="25" customFormat="1" ht="15.75" customHeight="1" x14ac:dyDescent="0.2">
      <c r="B946" s="89"/>
      <c r="C946"/>
      <c r="D946"/>
      <c r="E946" s="69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  <c r="V946"/>
      <c r="W946"/>
      <c r="X946"/>
      <c r="Y946"/>
      <c r="Z946"/>
      <c r="AA946"/>
    </row>
    <row r="947" spans="2:27" s="25" customFormat="1" ht="15.75" customHeight="1" x14ac:dyDescent="0.2">
      <c r="B947" s="89"/>
      <c r="C947"/>
      <c r="D947"/>
      <c r="E947" s="69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  <c r="U947"/>
      <c r="V947"/>
      <c r="W947"/>
      <c r="X947"/>
      <c r="Y947"/>
      <c r="Z947"/>
      <c r="AA947"/>
    </row>
    <row r="948" spans="2:27" s="25" customFormat="1" ht="15.75" customHeight="1" x14ac:dyDescent="0.2">
      <c r="B948" s="89"/>
      <c r="C948"/>
      <c r="D948"/>
      <c r="E948" s="69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  <c r="U948"/>
      <c r="V948"/>
      <c r="W948"/>
      <c r="X948"/>
      <c r="Y948"/>
      <c r="Z948"/>
      <c r="AA948"/>
    </row>
    <row r="949" spans="2:27" s="25" customFormat="1" ht="15.75" customHeight="1" x14ac:dyDescent="0.2">
      <c r="B949" s="89"/>
      <c r="C949"/>
      <c r="D949"/>
      <c r="E949" s="6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  <c r="V949"/>
      <c r="W949"/>
      <c r="X949"/>
      <c r="Y949"/>
      <c r="Z949"/>
      <c r="AA949"/>
    </row>
    <row r="950" spans="2:27" s="25" customFormat="1" ht="15.75" customHeight="1" x14ac:dyDescent="0.2">
      <c r="B950" s="89"/>
      <c r="C950"/>
      <c r="D950"/>
      <c r="E950" s="69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  <c r="U950"/>
      <c r="V950"/>
      <c r="W950"/>
      <c r="X950"/>
      <c r="Y950"/>
      <c r="Z950"/>
      <c r="AA950"/>
    </row>
    <row r="951" spans="2:27" s="25" customFormat="1" ht="15.75" customHeight="1" x14ac:dyDescent="0.2">
      <c r="B951" s="89"/>
      <c r="C951"/>
      <c r="D951"/>
      <c r="E951" s="69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  <c r="V951"/>
      <c r="W951"/>
      <c r="X951"/>
      <c r="Y951"/>
      <c r="Z951"/>
      <c r="AA951"/>
    </row>
    <row r="952" spans="2:27" s="25" customFormat="1" ht="15.75" customHeight="1" x14ac:dyDescent="0.2">
      <c r="B952" s="89"/>
      <c r="C952"/>
      <c r="D952"/>
      <c r="E952" s="69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  <c r="U952"/>
      <c r="V952"/>
      <c r="W952"/>
      <c r="X952"/>
      <c r="Y952"/>
      <c r="Z952"/>
      <c r="AA952"/>
    </row>
    <row r="953" spans="2:27" s="25" customFormat="1" ht="15.75" customHeight="1" x14ac:dyDescent="0.2">
      <c r="B953" s="89"/>
      <c r="C953"/>
      <c r="D953"/>
      <c r="E953" s="69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  <c r="U953"/>
      <c r="V953"/>
      <c r="W953"/>
      <c r="X953"/>
      <c r="Y953"/>
      <c r="Z953"/>
      <c r="AA953"/>
    </row>
    <row r="954" spans="2:27" s="25" customFormat="1" ht="15.75" customHeight="1" x14ac:dyDescent="0.2">
      <c r="B954" s="89"/>
      <c r="C954"/>
      <c r="D954"/>
      <c r="E954" s="69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  <c r="V954"/>
      <c r="W954"/>
      <c r="X954"/>
      <c r="Y954"/>
      <c r="Z954"/>
      <c r="AA954"/>
    </row>
    <row r="955" spans="2:27" s="25" customFormat="1" ht="15.75" customHeight="1" x14ac:dyDescent="0.2">
      <c r="B955" s="89"/>
      <c r="C955"/>
      <c r="D955"/>
      <c r="E955" s="69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  <c r="V955"/>
      <c r="W955"/>
      <c r="X955"/>
      <c r="Y955"/>
      <c r="Z955"/>
      <c r="AA955"/>
    </row>
    <row r="956" spans="2:27" s="25" customFormat="1" ht="15.75" customHeight="1" x14ac:dyDescent="0.2">
      <c r="B956" s="89"/>
      <c r="C956"/>
      <c r="D956"/>
      <c r="E956" s="69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  <c r="U956"/>
      <c r="V956"/>
      <c r="W956"/>
      <c r="X956"/>
      <c r="Y956"/>
      <c r="Z956"/>
      <c r="AA956"/>
    </row>
    <row r="957" spans="2:27" s="25" customFormat="1" ht="15.75" customHeight="1" x14ac:dyDescent="0.2">
      <c r="B957" s="89"/>
      <c r="C957"/>
      <c r="D957"/>
      <c r="E957" s="69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  <c r="V957"/>
      <c r="W957"/>
      <c r="X957"/>
      <c r="Y957"/>
      <c r="Z957"/>
      <c r="AA957"/>
    </row>
    <row r="958" spans="2:27" s="25" customFormat="1" ht="15.75" customHeight="1" x14ac:dyDescent="0.2">
      <c r="B958" s="89"/>
      <c r="C958"/>
      <c r="D958"/>
      <c r="E958" s="69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  <c r="V958"/>
      <c r="W958"/>
      <c r="X958"/>
      <c r="Y958"/>
      <c r="Z958"/>
      <c r="AA958"/>
    </row>
    <row r="959" spans="2:27" s="25" customFormat="1" ht="15.75" customHeight="1" x14ac:dyDescent="0.2">
      <c r="B959" s="89"/>
      <c r="C959"/>
      <c r="D959"/>
      <c r="E959" s="6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  <c r="V959"/>
      <c r="W959"/>
      <c r="X959"/>
      <c r="Y959"/>
      <c r="Z959"/>
      <c r="AA959"/>
    </row>
    <row r="960" spans="2:27" s="25" customFormat="1" ht="15.75" customHeight="1" x14ac:dyDescent="0.2">
      <c r="B960" s="89"/>
      <c r="C960"/>
      <c r="D960"/>
      <c r="E960" s="69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  <c r="U960"/>
      <c r="V960"/>
      <c r="W960"/>
      <c r="X960"/>
      <c r="Y960"/>
      <c r="Z960"/>
      <c r="AA960"/>
    </row>
    <row r="961" spans="2:27" s="25" customFormat="1" ht="15.75" customHeight="1" x14ac:dyDescent="0.2">
      <c r="B961" s="89"/>
      <c r="C961"/>
      <c r="D961"/>
      <c r="E961" s="69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  <c r="V961"/>
      <c r="W961"/>
      <c r="X961"/>
      <c r="Y961"/>
      <c r="Z961"/>
      <c r="AA961"/>
    </row>
    <row r="962" spans="2:27" s="25" customFormat="1" ht="15.75" customHeight="1" x14ac:dyDescent="0.2">
      <c r="B962" s="89"/>
      <c r="C962"/>
      <c r="D962"/>
      <c r="E962" s="69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  <c r="V962"/>
      <c r="W962"/>
      <c r="X962"/>
      <c r="Y962"/>
      <c r="Z962"/>
      <c r="AA962"/>
    </row>
    <row r="963" spans="2:27" s="25" customFormat="1" ht="15.75" customHeight="1" x14ac:dyDescent="0.2">
      <c r="B963" s="89"/>
      <c r="C963"/>
      <c r="D963"/>
      <c r="E963" s="69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  <c r="V963"/>
      <c r="W963"/>
      <c r="X963"/>
      <c r="Y963"/>
      <c r="Z963"/>
      <c r="AA963"/>
    </row>
    <row r="964" spans="2:27" s="25" customFormat="1" ht="15.75" customHeight="1" x14ac:dyDescent="0.2">
      <c r="B964" s="89"/>
      <c r="C964"/>
      <c r="D964"/>
      <c r="E964" s="69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  <c r="V964"/>
      <c r="W964"/>
      <c r="X964"/>
      <c r="Y964"/>
      <c r="Z964"/>
      <c r="AA964"/>
    </row>
    <row r="965" spans="2:27" s="25" customFormat="1" ht="15.75" customHeight="1" x14ac:dyDescent="0.2">
      <c r="B965" s="89"/>
      <c r="C965"/>
      <c r="D965"/>
      <c r="E965" s="69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  <c r="T965"/>
      <c r="U965"/>
      <c r="V965"/>
      <c r="W965"/>
      <c r="X965"/>
      <c r="Y965"/>
      <c r="Z965"/>
      <c r="AA965"/>
    </row>
    <row r="966" spans="2:27" s="25" customFormat="1" ht="15.75" customHeight="1" x14ac:dyDescent="0.2">
      <c r="B966" s="89"/>
      <c r="C966"/>
      <c r="D966"/>
      <c r="E966" s="69"/>
      <c r="F966"/>
      <c r="G966"/>
      <c r="H966"/>
      <c r="I966"/>
      <c r="J966"/>
      <c r="K966"/>
      <c r="L966"/>
      <c r="M966"/>
      <c r="N966"/>
      <c r="O966"/>
      <c r="P966"/>
      <c r="Q966"/>
      <c r="R966"/>
      <c r="S966"/>
      <c r="T966"/>
      <c r="U966"/>
      <c r="V966"/>
      <c r="W966"/>
      <c r="X966"/>
      <c r="Y966"/>
      <c r="Z966"/>
      <c r="AA966"/>
    </row>
    <row r="967" spans="2:27" s="25" customFormat="1" ht="15.75" customHeight="1" x14ac:dyDescent="0.2">
      <c r="B967" s="89"/>
      <c r="C967"/>
      <c r="D967"/>
      <c r="E967" s="69"/>
      <c r="F967"/>
      <c r="G967"/>
      <c r="H967"/>
      <c r="I967"/>
      <c r="J967"/>
      <c r="K967"/>
      <c r="L967"/>
      <c r="M967"/>
      <c r="N967"/>
      <c r="O967"/>
      <c r="P967"/>
      <c r="Q967"/>
      <c r="R967"/>
      <c r="S967"/>
      <c r="T967"/>
      <c r="U967"/>
      <c r="V967"/>
      <c r="W967"/>
      <c r="X967"/>
      <c r="Y967"/>
      <c r="Z967"/>
      <c r="AA967"/>
    </row>
    <row r="968" spans="2:27" s="25" customFormat="1" ht="15.75" customHeight="1" x14ac:dyDescent="0.2">
      <c r="B968" s="89"/>
      <c r="C968"/>
      <c r="D968"/>
      <c r="E968" s="69"/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  <c r="U968"/>
      <c r="V968"/>
      <c r="W968"/>
      <c r="X968"/>
      <c r="Y968"/>
      <c r="Z968"/>
      <c r="AA968"/>
    </row>
    <row r="969" spans="2:27" s="25" customFormat="1" ht="15.75" customHeight="1" x14ac:dyDescent="0.2">
      <c r="B969" s="89"/>
      <c r="C969"/>
      <c r="D969"/>
      <c r="E969" s="69"/>
      <c r="F969"/>
      <c r="G969"/>
      <c r="H969"/>
      <c r="I969"/>
      <c r="J969"/>
      <c r="K969"/>
      <c r="L969"/>
      <c r="M969"/>
      <c r="N969"/>
      <c r="O969"/>
      <c r="P969"/>
      <c r="Q969"/>
      <c r="R969"/>
      <c r="S969"/>
      <c r="T969"/>
      <c r="U969"/>
      <c r="V969"/>
      <c r="W969"/>
      <c r="X969"/>
      <c r="Y969"/>
      <c r="Z969"/>
      <c r="AA969"/>
    </row>
    <row r="970" spans="2:27" s="25" customFormat="1" ht="15.75" customHeight="1" x14ac:dyDescent="0.2">
      <c r="B970" s="89"/>
      <c r="C970"/>
      <c r="D970"/>
      <c r="E970" s="69"/>
      <c r="F970"/>
      <c r="G970"/>
      <c r="H970"/>
      <c r="I970"/>
      <c r="J970"/>
      <c r="K970"/>
      <c r="L970"/>
      <c r="M970"/>
      <c r="N970"/>
      <c r="O970"/>
      <c r="P970"/>
      <c r="Q970"/>
      <c r="R970"/>
      <c r="S970"/>
      <c r="T970"/>
      <c r="U970"/>
      <c r="V970"/>
      <c r="W970"/>
      <c r="X970"/>
      <c r="Y970"/>
      <c r="Z970"/>
      <c r="AA970"/>
    </row>
    <row r="971" spans="2:27" s="25" customFormat="1" ht="15.75" customHeight="1" x14ac:dyDescent="0.2">
      <c r="B971" s="89"/>
      <c r="C971"/>
      <c r="D971"/>
      <c r="E971" s="69"/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  <c r="T971"/>
      <c r="U971"/>
      <c r="V971"/>
      <c r="W971"/>
      <c r="X971"/>
      <c r="Y971"/>
      <c r="Z971"/>
      <c r="AA971"/>
    </row>
    <row r="972" spans="2:27" s="25" customFormat="1" ht="15.75" customHeight="1" x14ac:dyDescent="0.2">
      <c r="B972" s="89"/>
      <c r="C972"/>
      <c r="D972"/>
      <c r="E972" s="69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  <c r="U972"/>
      <c r="V972"/>
      <c r="W972"/>
      <c r="X972"/>
      <c r="Y972"/>
      <c r="Z972"/>
      <c r="AA972"/>
    </row>
    <row r="973" spans="2:27" s="25" customFormat="1" ht="15.75" customHeight="1" x14ac:dyDescent="0.2">
      <c r="B973" s="89"/>
      <c r="C973"/>
      <c r="D973"/>
      <c r="E973" s="69"/>
      <c r="F973"/>
      <c r="G973"/>
      <c r="H973"/>
      <c r="I973"/>
      <c r="J973"/>
      <c r="K973"/>
      <c r="L973"/>
      <c r="M973"/>
      <c r="N973"/>
      <c r="O973"/>
      <c r="P973"/>
      <c r="Q973"/>
      <c r="R973"/>
      <c r="S973"/>
      <c r="T973"/>
      <c r="U973"/>
      <c r="V973"/>
      <c r="W973"/>
      <c r="X973"/>
      <c r="Y973"/>
      <c r="Z973"/>
      <c r="AA973"/>
    </row>
    <row r="974" spans="2:27" s="25" customFormat="1" ht="15.75" customHeight="1" x14ac:dyDescent="0.2">
      <c r="B974" s="89"/>
      <c r="C974"/>
      <c r="D974"/>
      <c r="E974" s="69"/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  <c r="T974"/>
      <c r="U974"/>
      <c r="V974"/>
      <c r="W974"/>
      <c r="X974"/>
      <c r="Y974"/>
      <c r="Z974"/>
      <c r="AA974"/>
    </row>
    <row r="975" spans="2:27" s="25" customFormat="1" ht="15.75" customHeight="1" x14ac:dyDescent="0.2">
      <c r="B975" s="89"/>
      <c r="C975"/>
      <c r="D975"/>
      <c r="E975" s="69"/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  <c r="U975"/>
      <c r="V975"/>
      <c r="W975"/>
      <c r="X975"/>
      <c r="Y975"/>
      <c r="Z975"/>
      <c r="AA975"/>
    </row>
    <row r="976" spans="2:27" s="25" customFormat="1" ht="15.75" customHeight="1" x14ac:dyDescent="0.2">
      <c r="B976" s="89"/>
      <c r="C976"/>
      <c r="D976"/>
      <c r="E976" s="69"/>
      <c r="F976"/>
      <c r="G976"/>
      <c r="H976"/>
      <c r="I976"/>
      <c r="J976"/>
      <c r="K976"/>
      <c r="L976"/>
      <c r="M976"/>
      <c r="N976"/>
      <c r="O976"/>
      <c r="P976"/>
      <c r="Q976"/>
      <c r="R976"/>
      <c r="S976"/>
      <c r="T976"/>
      <c r="U976"/>
      <c r="V976"/>
      <c r="W976"/>
      <c r="X976"/>
      <c r="Y976"/>
      <c r="Z976"/>
      <c r="AA976"/>
    </row>
    <row r="977" spans="2:27" s="25" customFormat="1" ht="15.75" customHeight="1" x14ac:dyDescent="0.2">
      <c r="B977" s="89"/>
      <c r="C977"/>
      <c r="D977"/>
      <c r="E977" s="69"/>
      <c r="F977"/>
      <c r="G977"/>
      <c r="H977"/>
      <c r="I977"/>
      <c r="J977"/>
      <c r="K977"/>
      <c r="L977"/>
      <c r="M977"/>
      <c r="N977"/>
      <c r="O977"/>
      <c r="P977"/>
      <c r="Q977"/>
      <c r="R977"/>
      <c r="S977"/>
      <c r="T977"/>
      <c r="U977"/>
      <c r="V977"/>
      <c r="W977"/>
      <c r="X977"/>
      <c r="Y977"/>
      <c r="Z977"/>
      <c r="AA977"/>
    </row>
    <row r="978" spans="2:27" s="25" customFormat="1" ht="15.75" customHeight="1" x14ac:dyDescent="0.2">
      <c r="B978" s="89"/>
      <c r="C978"/>
      <c r="D978"/>
      <c r="E978" s="69"/>
      <c r="F978"/>
      <c r="G978"/>
      <c r="H978"/>
      <c r="I978"/>
      <c r="J978"/>
      <c r="K978"/>
      <c r="L978"/>
      <c r="M978"/>
      <c r="N978"/>
      <c r="O978"/>
      <c r="P978"/>
      <c r="Q978"/>
      <c r="R978"/>
      <c r="S978"/>
      <c r="T978"/>
      <c r="U978"/>
      <c r="V978"/>
      <c r="W978"/>
      <c r="X978"/>
      <c r="Y978"/>
      <c r="Z978"/>
      <c r="AA978"/>
    </row>
    <row r="979" spans="2:27" s="25" customFormat="1" ht="15.75" customHeight="1" x14ac:dyDescent="0.2">
      <c r="B979" s="89"/>
      <c r="C979"/>
      <c r="D979"/>
      <c r="E979" s="69"/>
      <c r="F979"/>
      <c r="G979"/>
      <c r="H979"/>
      <c r="I979"/>
      <c r="J979"/>
      <c r="K979"/>
      <c r="L979"/>
      <c r="M979"/>
      <c r="N979"/>
      <c r="O979"/>
      <c r="P979"/>
      <c r="Q979"/>
      <c r="R979"/>
      <c r="S979"/>
      <c r="T979"/>
      <c r="U979"/>
      <c r="V979"/>
      <c r="W979"/>
      <c r="X979"/>
      <c r="Y979"/>
      <c r="Z979"/>
      <c r="AA979"/>
    </row>
    <row r="980" spans="2:27" s="25" customFormat="1" ht="15.75" customHeight="1" x14ac:dyDescent="0.2">
      <c r="B980" s="89"/>
      <c r="C980"/>
      <c r="D980"/>
      <c r="E980" s="69"/>
      <c r="F980"/>
      <c r="G980"/>
      <c r="H980"/>
      <c r="I980"/>
      <c r="J980"/>
      <c r="K980"/>
      <c r="L980"/>
      <c r="M980"/>
      <c r="N980"/>
      <c r="O980"/>
      <c r="P980"/>
      <c r="Q980"/>
      <c r="R980"/>
      <c r="S980"/>
      <c r="T980"/>
      <c r="U980"/>
      <c r="V980"/>
      <c r="W980"/>
      <c r="X980"/>
      <c r="Y980"/>
      <c r="Z980"/>
      <c r="AA980"/>
    </row>
    <row r="981" spans="2:27" s="25" customFormat="1" ht="15.75" customHeight="1" x14ac:dyDescent="0.2">
      <c r="B981" s="89"/>
      <c r="C981"/>
      <c r="D981"/>
      <c r="E981" s="69"/>
      <c r="F981"/>
      <c r="G981"/>
      <c r="H981"/>
      <c r="I981"/>
      <c r="J981"/>
      <c r="K981"/>
      <c r="L981"/>
      <c r="M981"/>
      <c r="N981"/>
      <c r="O981"/>
      <c r="P981"/>
      <c r="Q981"/>
      <c r="R981"/>
      <c r="S981"/>
      <c r="T981"/>
      <c r="U981"/>
      <c r="V981"/>
      <c r="W981"/>
      <c r="X981"/>
      <c r="Y981"/>
      <c r="Z981"/>
      <c r="AA981"/>
    </row>
    <row r="982" spans="2:27" s="25" customFormat="1" ht="15.75" customHeight="1" x14ac:dyDescent="0.2">
      <c r="B982" s="89"/>
      <c r="C982"/>
      <c r="D982"/>
      <c r="E982" s="69"/>
      <c r="F982"/>
      <c r="G982"/>
      <c r="H982"/>
      <c r="I982"/>
      <c r="J982"/>
      <c r="K982"/>
      <c r="L982"/>
      <c r="M982"/>
      <c r="N982"/>
      <c r="O982"/>
      <c r="P982"/>
      <c r="Q982"/>
      <c r="R982"/>
      <c r="S982"/>
      <c r="T982"/>
      <c r="U982"/>
      <c r="V982"/>
      <c r="W982"/>
      <c r="X982"/>
      <c r="Y982"/>
      <c r="Z982"/>
      <c r="AA982"/>
    </row>
    <row r="983" spans="2:27" s="25" customFormat="1" ht="15.75" customHeight="1" x14ac:dyDescent="0.2">
      <c r="B983" s="89"/>
      <c r="C983"/>
      <c r="D983"/>
      <c r="E983" s="69"/>
      <c r="F983"/>
      <c r="G983"/>
      <c r="H983"/>
      <c r="I983"/>
      <c r="J983"/>
      <c r="K983"/>
      <c r="L983"/>
      <c r="M983"/>
      <c r="N983"/>
      <c r="O983"/>
      <c r="P983"/>
      <c r="Q983"/>
      <c r="R983"/>
      <c r="S983"/>
      <c r="T983"/>
      <c r="U983"/>
      <c r="V983"/>
      <c r="W983"/>
      <c r="X983"/>
      <c r="Y983"/>
      <c r="Z983"/>
      <c r="AA983"/>
    </row>
    <row r="984" spans="2:27" s="25" customFormat="1" ht="15.75" customHeight="1" x14ac:dyDescent="0.2">
      <c r="B984" s="89"/>
      <c r="C984"/>
      <c r="D984"/>
      <c r="E984" s="69"/>
      <c r="F984"/>
      <c r="G984"/>
      <c r="H984"/>
      <c r="I984"/>
      <c r="J984"/>
      <c r="K984"/>
      <c r="L984"/>
      <c r="M984"/>
      <c r="N984"/>
      <c r="O984"/>
      <c r="P984"/>
      <c r="Q984"/>
      <c r="R984"/>
      <c r="S984"/>
      <c r="T984"/>
      <c r="U984"/>
      <c r="V984"/>
      <c r="W984"/>
      <c r="X984"/>
      <c r="Y984"/>
      <c r="Z984"/>
      <c r="AA984"/>
    </row>
    <row r="985" spans="2:27" s="25" customFormat="1" ht="15.75" customHeight="1" x14ac:dyDescent="0.2">
      <c r="B985" s="89"/>
      <c r="C985"/>
      <c r="D985"/>
      <c r="E985" s="69"/>
      <c r="F985"/>
      <c r="G985"/>
      <c r="H985"/>
      <c r="I985"/>
      <c r="J985"/>
      <c r="K985"/>
      <c r="L985"/>
      <c r="M985"/>
      <c r="N985"/>
      <c r="O985"/>
      <c r="P985"/>
      <c r="Q985"/>
      <c r="R985"/>
      <c r="S985"/>
      <c r="T985"/>
      <c r="U985"/>
      <c r="V985"/>
      <c r="W985"/>
      <c r="X985"/>
      <c r="Y985"/>
      <c r="Z985"/>
      <c r="AA985"/>
    </row>
    <row r="986" spans="2:27" s="25" customFormat="1" ht="15.75" customHeight="1" x14ac:dyDescent="0.2">
      <c r="B986" s="89"/>
      <c r="C986"/>
      <c r="D986"/>
      <c r="E986" s="69"/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  <c r="U986"/>
      <c r="V986"/>
      <c r="W986"/>
      <c r="X986"/>
      <c r="Y986"/>
      <c r="Z986"/>
      <c r="AA986"/>
    </row>
    <row r="987" spans="2:27" s="25" customFormat="1" ht="15.75" customHeight="1" x14ac:dyDescent="0.2">
      <c r="B987" s="89"/>
      <c r="C987"/>
      <c r="D987"/>
      <c r="E987" s="69"/>
      <c r="F987"/>
      <c r="G987"/>
      <c r="H987"/>
      <c r="I987"/>
      <c r="J987"/>
      <c r="K987"/>
      <c r="L987"/>
      <c r="M987"/>
      <c r="N987"/>
      <c r="O987"/>
      <c r="P987"/>
      <c r="Q987"/>
      <c r="R987"/>
      <c r="S987"/>
      <c r="T987"/>
      <c r="U987"/>
      <c r="V987"/>
      <c r="W987"/>
      <c r="X987"/>
      <c r="Y987"/>
      <c r="Z987"/>
      <c r="AA987"/>
    </row>
    <row r="988" spans="2:27" s="25" customFormat="1" ht="15.75" customHeight="1" x14ac:dyDescent="0.2">
      <c r="B988" s="89"/>
      <c r="C988"/>
      <c r="D988"/>
      <c r="E988" s="69"/>
      <c r="F988"/>
      <c r="G988"/>
      <c r="H988"/>
      <c r="I988"/>
      <c r="J988"/>
      <c r="K988"/>
      <c r="L988"/>
      <c r="M988"/>
      <c r="N988"/>
      <c r="O988"/>
      <c r="P988"/>
      <c r="Q988"/>
      <c r="R988"/>
      <c r="S988"/>
      <c r="T988"/>
      <c r="U988"/>
      <c r="V988"/>
      <c r="W988"/>
      <c r="X988"/>
      <c r="Y988"/>
      <c r="Z988"/>
      <c r="AA988"/>
    </row>
    <row r="989" spans="2:27" s="25" customFormat="1" ht="15.75" customHeight="1" x14ac:dyDescent="0.2">
      <c r="B989" s="89"/>
      <c r="C989"/>
      <c r="D989"/>
      <c r="E989" s="69"/>
      <c r="F989"/>
      <c r="G989"/>
      <c r="H989"/>
      <c r="I989"/>
      <c r="J989"/>
      <c r="K989"/>
      <c r="L989"/>
      <c r="M989"/>
      <c r="N989"/>
      <c r="O989"/>
      <c r="P989"/>
      <c r="Q989"/>
      <c r="R989"/>
      <c r="S989"/>
      <c r="T989"/>
      <c r="U989"/>
      <c r="V989"/>
      <c r="W989"/>
      <c r="X989"/>
      <c r="Y989"/>
      <c r="Z989"/>
      <c r="AA989"/>
    </row>
    <row r="990" spans="2:27" s="25" customFormat="1" ht="15.75" customHeight="1" x14ac:dyDescent="0.2">
      <c r="B990" s="89"/>
      <c r="C990"/>
      <c r="D990"/>
      <c r="E990" s="69"/>
      <c r="F990"/>
      <c r="G990"/>
      <c r="H990"/>
      <c r="I990"/>
      <c r="J990"/>
      <c r="K990"/>
      <c r="L990"/>
      <c r="M990"/>
      <c r="N990"/>
      <c r="O990"/>
      <c r="P990"/>
      <c r="Q990"/>
      <c r="R990"/>
      <c r="S990"/>
      <c r="T990"/>
      <c r="U990"/>
      <c r="V990"/>
      <c r="W990"/>
      <c r="X990"/>
      <c r="Y990"/>
      <c r="Z990"/>
      <c r="AA990"/>
    </row>
    <row r="991" spans="2:27" s="25" customFormat="1" ht="15.75" customHeight="1" x14ac:dyDescent="0.2">
      <c r="B991" s="89"/>
      <c r="C991"/>
      <c r="D991"/>
      <c r="E991" s="69"/>
      <c r="F991"/>
      <c r="G991"/>
      <c r="H991"/>
      <c r="I991"/>
      <c r="J991"/>
      <c r="K991"/>
      <c r="L991"/>
      <c r="M991"/>
      <c r="N991"/>
      <c r="O991"/>
      <c r="P991"/>
      <c r="Q991"/>
      <c r="R991"/>
      <c r="S991"/>
      <c r="T991"/>
      <c r="U991"/>
      <c r="V991"/>
      <c r="W991"/>
      <c r="X991"/>
      <c r="Y991"/>
      <c r="Z991"/>
      <c r="AA991"/>
    </row>
    <row r="992" spans="2:27" s="25" customFormat="1" ht="15.75" customHeight="1" x14ac:dyDescent="0.2">
      <c r="B992" s="89"/>
      <c r="C992"/>
      <c r="D992"/>
      <c r="E992" s="69"/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  <c r="T992"/>
      <c r="U992"/>
      <c r="V992"/>
      <c r="W992"/>
      <c r="X992"/>
      <c r="Y992"/>
      <c r="Z992"/>
      <c r="AA992"/>
    </row>
    <row r="993" spans="2:27" s="25" customFormat="1" ht="15.75" customHeight="1" x14ac:dyDescent="0.2">
      <c r="B993" s="89"/>
      <c r="C993"/>
      <c r="D993"/>
      <c r="E993" s="69"/>
      <c r="F993"/>
      <c r="G993"/>
      <c r="H993"/>
      <c r="I993"/>
      <c r="J993"/>
      <c r="K993"/>
      <c r="L993"/>
      <c r="M993"/>
      <c r="N993"/>
      <c r="O993"/>
      <c r="P993"/>
      <c r="Q993"/>
      <c r="R993"/>
      <c r="S993"/>
      <c r="T993"/>
      <c r="U993"/>
      <c r="V993"/>
      <c r="W993"/>
      <c r="X993"/>
      <c r="Y993"/>
      <c r="Z993"/>
      <c r="AA993"/>
    </row>
    <row r="994" spans="2:27" s="25" customFormat="1" ht="15.75" customHeight="1" x14ac:dyDescent="0.2">
      <c r="B994" s="89"/>
      <c r="C994"/>
      <c r="D994"/>
      <c r="E994" s="69"/>
      <c r="F994"/>
      <c r="G994"/>
      <c r="H994"/>
      <c r="I994"/>
      <c r="J994"/>
      <c r="K994"/>
      <c r="L994"/>
      <c r="M994"/>
      <c r="N994"/>
      <c r="O994"/>
      <c r="P994"/>
      <c r="Q994"/>
      <c r="R994"/>
      <c r="S994"/>
      <c r="T994"/>
      <c r="U994"/>
      <c r="V994"/>
      <c r="W994"/>
      <c r="X994"/>
      <c r="Y994"/>
      <c r="Z994"/>
      <c r="AA994"/>
    </row>
    <row r="995" spans="2:27" s="25" customFormat="1" ht="15.75" customHeight="1" x14ac:dyDescent="0.2">
      <c r="B995" s="89"/>
      <c r="C995"/>
      <c r="D995"/>
      <c r="E995" s="69"/>
      <c r="F995"/>
      <c r="G995"/>
      <c r="H995"/>
      <c r="I995"/>
      <c r="J995"/>
      <c r="K995"/>
      <c r="L995"/>
      <c r="M995"/>
      <c r="N995"/>
      <c r="O995"/>
      <c r="P995"/>
      <c r="Q995"/>
      <c r="R995"/>
      <c r="S995"/>
      <c r="T995"/>
      <c r="U995"/>
      <c r="V995"/>
      <c r="W995"/>
      <c r="X995"/>
      <c r="Y995"/>
      <c r="Z995"/>
      <c r="AA995"/>
    </row>
    <row r="996" spans="2:27" s="25" customFormat="1" ht="15.75" customHeight="1" x14ac:dyDescent="0.2">
      <c r="B996" s="89"/>
      <c r="C996"/>
      <c r="D996"/>
      <c r="E996" s="69"/>
      <c r="F996"/>
      <c r="G996"/>
      <c r="H996"/>
      <c r="I996"/>
      <c r="J996"/>
      <c r="K996"/>
      <c r="L996"/>
      <c r="M996"/>
      <c r="N996"/>
      <c r="O996"/>
      <c r="P996"/>
      <c r="Q996"/>
      <c r="R996"/>
      <c r="S996"/>
      <c r="T996"/>
      <c r="U996"/>
      <c r="V996"/>
      <c r="W996"/>
      <c r="X996"/>
      <c r="Y996"/>
      <c r="Z996"/>
      <c r="AA996"/>
    </row>
  </sheetData>
  <mergeCells count="11">
    <mergeCell ref="B7:E7"/>
    <mergeCell ref="F7:G7"/>
    <mergeCell ref="B8:E8"/>
    <mergeCell ref="F8:G8"/>
    <mergeCell ref="E1:E3"/>
    <mergeCell ref="B4:E4"/>
    <mergeCell ref="F4:G4"/>
    <mergeCell ref="B5:E5"/>
    <mergeCell ref="F5:G5"/>
    <mergeCell ref="B6:E6"/>
    <mergeCell ref="F6:G6"/>
  </mergeCells>
  <conditionalFormatting sqref="A4:B8 A9:H1048576">
    <cfRule type="expression" dxfId="35" priority="1">
      <formula>ISNUMBER(SEARCH("Holiday", $E4))</formula>
    </cfRule>
    <cfRule type="expression" dxfId="34" priority="2">
      <formula>AND(WEEKDAY($A4,2)&lt;6, $A4&lt;&gt;"")</formula>
    </cfRule>
  </conditionalFormatting>
  <conditionalFormatting sqref="A1:H3">
    <cfRule type="expression" dxfId="33" priority="9">
      <formula>ISNUMBER(SEARCH("Holiday", $E1))</formula>
    </cfRule>
    <cfRule type="expression" dxfId="32" priority="10">
      <formula>AND(WEEKDAY($A1,2)&lt;6, $A1&lt;&gt;"")</formula>
    </cfRule>
  </conditionalFormatting>
  <conditionalFormatting sqref="F4:H8">
    <cfRule type="expression" dxfId="31" priority="3">
      <formula>ISNUMBER(SEARCH("Holiday", $E4))</formula>
    </cfRule>
    <cfRule type="expression" dxfId="30" priority="4">
      <formula>AND(WEEKDAY($A4,2)&lt;6, $A4&lt;&gt;"")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B2630-7740-40D6-A270-1A69DAE72390}">
  <dimension ref="A1:AA999"/>
  <sheetViews>
    <sheetView topLeftCell="A8" workbookViewId="0">
      <selection activeCell="C52" sqref="C52"/>
    </sheetView>
  </sheetViews>
  <sheetFormatPr defaultColWidth="12.5" defaultRowHeight="14.25" x14ac:dyDescent="0.2"/>
  <cols>
    <col min="1" max="1" width="20.25" style="25" bestFit="1" customWidth="1"/>
    <col min="2" max="2" width="7.375" style="89" bestFit="1" customWidth="1"/>
    <col min="3" max="3" width="11" customWidth="1"/>
    <col min="4" max="4" width="11.25" customWidth="1"/>
    <col min="5" max="5" width="28" style="69" customWidth="1"/>
    <col min="7" max="7" width="12" customWidth="1"/>
    <col min="8" max="8" width="19" customWidth="1"/>
    <col min="9" max="9" width="7.75" customWidth="1"/>
    <col min="10" max="10" width="94.25" bestFit="1" customWidth="1"/>
    <col min="11" max="13" width="7.75" customWidth="1"/>
    <col min="14" max="14" width="9" customWidth="1"/>
    <col min="15" max="27" width="7.75" customWidth="1"/>
  </cols>
  <sheetData>
    <row r="1" spans="1:27" ht="17.25" customHeight="1" x14ac:dyDescent="0.25">
      <c r="A1" s="48"/>
      <c r="B1" s="81"/>
      <c r="C1" s="49"/>
      <c r="D1" s="49"/>
      <c r="E1" s="97" t="s">
        <v>0</v>
      </c>
      <c r="F1" s="50"/>
      <c r="G1" s="51"/>
      <c r="H1" s="52"/>
      <c r="K1" s="28"/>
      <c r="L1" s="28"/>
      <c r="M1" s="28"/>
      <c r="N1" s="28"/>
      <c r="O1" s="28"/>
      <c r="P1" s="28"/>
    </row>
    <row r="2" spans="1:27" ht="17.25" customHeight="1" x14ac:dyDescent="0.25">
      <c r="A2" s="53"/>
      <c r="B2" s="82"/>
      <c r="C2" s="54"/>
      <c r="D2" s="54"/>
      <c r="E2" s="98"/>
      <c r="F2" s="55"/>
      <c r="G2" s="56"/>
      <c r="H2" s="57"/>
      <c r="J2" s="26" t="s">
        <v>17</v>
      </c>
      <c r="K2" s="29"/>
      <c r="L2" s="29"/>
      <c r="M2" s="30"/>
      <c r="N2" s="31"/>
      <c r="O2" s="28"/>
      <c r="P2" s="28"/>
    </row>
    <row r="3" spans="1:27" ht="15.75" x14ac:dyDescent="0.25">
      <c r="A3" s="58"/>
      <c r="B3" s="83"/>
      <c r="C3" s="59"/>
      <c r="D3" s="59"/>
      <c r="E3" s="99"/>
      <c r="F3" s="60"/>
      <c r="G3" s="61"/>
      <c r="H3" s="62"/>
      <c r="J3" s="27" t="s">
        <v>18</v>
      </c>
      <c r="K3" s="29"/>
      <c r="L3" s="29"/>
      <c r="M3" s="32"/>
      <c r="N3" s="33"/>
      <c r="O3" s="34"/>
      <c r="P3" s="35"/>
    </row>
    <row r="4" spans="1:27" ht="15" x14ac:dyDescent="0.25">
      <c r="A4" s="21" t="s">
        <v>1</v>
      </c>
      <c r="B4" s="94"/>
      <c r="C4" s="95"/>
      <c r="D4" s="95"/>
      <c r="E4" s="96"/>
      <c r="F4" s="91" t="s">
        <v>2</v>
      </c>
      <c r="G4" s="92"/>
      <c r="H4" s="1"/>
      <c r="J4" s="25"/>
      <c r="K4" s="20"/>
      <c r="L4" s="20"/>
      <c r="M4" s="14"/>
      <c r="N4" s="15"/>
    </row>
    <row r="5" spans="1:27" ht="15" x14ac:dyDescent="0.25">
      <c r="A5" s="21" t="s">
        <v>43</v>
      </c>
      <c r="B5" s="94"/>
      <c r="C5" s="95"/>
      <c r="D5" s="95"/>
      <c r="E5" s="96"/>
      <c r="F5" s="91" t="s">
        <v>3</v>
      </c>
      <c r="G5" s="92"/>
      <c r="H5" s="1"/>
      <c r="J5" s="26" t="s">
        <v>19</v>
      </c>
      <c r="K5" s="19"/>
      <c r="L5" s="19"/>
      <c r="M5" s="14"/>
      <c r="N5" s="15"/>
    </row>
    <row r="6" spans="1:27" ht="15" x14ac:dyDescent="0.25">
      <c r="A6" s="21" t="s">
        <v>4</v>
      </c>
      <c r="B6" s="94"/>
      <c r="C6" s="95"/>
      <c r="D6" s="95"/>
      <c r="E6" s="96"/>
      <c r="F6" s="91" t="s">
        <v>6</v>
      </c>
      <c r="G6" s="92"/>
      <c r="H6" s="1"/>
      <c r="J6" s="26" t="s">
        <v>30</v>
      </c>
      <c r="K6" s="19"/>
      <c r="L6" s="19"/>
      <c r="M6" s="14"/>
      <c r="N6" s="15"/>
    </row>
    <row r="7" spans="1:27" ht="15" x14ac:dyDescent="0.25">
      <c r="A7" s="21" t="s">
        <v>5</v>
      </c>
      <c r="B7" s="94"/>
      <c r="C7" s="95"/>
      <c r="D7" s="95"/>
      <c r="E7" s="96"/>
      <c r="F7" s="91" t="s">
        <v>8</v>
      </c>
      <c r="G7" s="92"/>
      <c r="H7" s="1"/>
    </row>
    <row r="8" spans="1:27" ht="15" x14ac:dyDescent="0.25">
      <c r="A8" s="21" t="s">
        <v>7</v>
      </c>
      <c r="B8" s="94"/>
      <c r="C8" s="95"/>
      <c r="D8" s="95"/>
      <c r="E8" s="96"/>
      <c r="F8" s="93"/>
      <c r="G8" s="92"/>
      <c r="H8" s="2"/>
    </row>
    <row r="9" spans="1:27" ht="15" x14ac:dyDescent="0.25">
      <c r="A9" s="78"/>
      <c r="B9" s="84"/>
      <c r="C9" s="77"/>
      <c r="D9" s="77"/>
      <c r="E9" s="77"/>
      <c r="F9" s="77"/>
      <c r="G9" s="77"/>
      <c r="H9" s="77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ht="15" x14ac:dyDescent="0.25">
      <c r="A10" s="40" t="s">
        <v>9</v>
      </c>
      <c r="B10" s="85" t="s">
        <v>31</v>
      </c>
      <c r="C10" s="41" t="s">
        <v>10</v>
      </c>
      <c r="D10" s="41" t="s">
        <v>11</v>
      </c>
      <c r="E10" s="42" t="s">
        <v>12</v>
      </c>
      <c r="F10" s="43" t="s">
        <v>13</v>
      </c>
      <c r="G10" s="42" t="s">
        <v>14</v>
      </c>
      <c r="H10" s="42" t="s">
        <v>15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1:27" s="37" customFormat="1" ht="15" x14ac:dyDescent="0.25">
      <c r="A11" s="75">
        <f>'July 2026'!A53+1</f>
        <v>46235</v>
      </c>
      <c r="B11" s="79">
        <f>WEEKNUM(A11, 2)</f>
        <v>31</v>
      </c>
      <c r="C11" s="71"/>
      <c r="D11" s="71"/>
      <c r="E11" s="76"/>
      <c r="F11" s="73"/>
      <c r="G11" s="73"/>
      <c r="H11" s="73">
        <f t="shared" ref="H11" si="0">SUM(F11:G11)</f>
        <v>0</v>
      </c>
    </row>
    <row r="12" spans="1:27" s="37" customFormat="1" ht="15" x14ac:dyDescent="0.25">
      <c r="A12" s="70">
        <f>A11+1</f>
        <v>46236</v>
      </c>
      <c r="B12" s="79">
        <f t="shared" ref="B12:B18" si="1">WEEKNUM(A12, 2)</f>
        <v>31</v>
      </c>
      <c r="C12" s="71"/>
      <c r="D12" s="71"/>
      <c r="E12" s="72"/>
      <c r="F12" s="73"/>
      <c r="G12" s="73"/>
      <c r="H12" s="73">
        <f>SUM(F12:G12)</f>
        <v>0</v>
      </c>
    </row>
    <row r="13" spans="1:27" s="28" customFormat="1" ht="15.75" customHeight="1" x14ac:dyDescent="0.2">
      <c r="A13" s="44" t="s">
        <v>38</v>
      </c>
      <c r="B13" s="80"/>
      <c r="C13" s="45"/>
      <c r="D13" s="45"/>
      <c r="E13" s="63"/>
      <c r="F13" s="46">
        <f ca="1">SUMIF($B:$E,RIGHT($A13,2),F:F)</f>
        <v>0</v>
      </c>
      <c r="G13" s="46">
        <f ca="1">SUMIF($B:$E,RIGHT($A13,2),G:G)</f>
        <v>0</v>
      </c>
      <c r="H13" s="47">
        <f ca="1">SUMIF($B:$E,RIGHT($A13,2),H:H)</f>
        <v>0</v>
      </c>
    </row>
    <row r="14" spans="1:27" s="28" customFormat="1" ht="15.75" customHeight="1" x14ac:dyDescent="0.2">
      <c r="A14" s="36"/>
      <c r="B14" s="86"/>
      <c r="C14" s="34"/>
      <c r="D14" s="34"/>
      <c r="E14" s="64"/>
      <c r="F14" s="38"/>
      <c r="G14" s="38"/>
      <c r="H14" s="39"/>
    </row>
    <row r="15" spans="1:27" ht="15" x14ac:dyDescent="0.25">
      <c r="A15" s="40" t="s">
        <v>9</v>
      </c>
      <c r="B15" s="85" t="s">
        <v>31</v>
      </c>
      <c r="C15" s="41" t="s">
        <v>10</v>
      </c>
      <c r="D15" s="41" t="s">
        <v>11</v>
      </c>
      <c r="E15" s="42" t="s">
        <v>12</v>
      </c>
      <c r="F15" s="43" t="s">
        <v>13</v>
      </c>
      <c r="G15" s="42" t="s">
        <v>14</v>
      </c>
      <c r="H15" s="42" t="s">
        <v>15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spans="1:27" s="37" customFormat="1" ht="15" x14ac:dyDescent="0.25">
      <c r="A16" s="70">
        <f>A12+1</f>
        <v>46237</v>
      </c>
      <c r="B16" s="79">
        <f t="shared" si="1"/>
        <v>32</v>
      </c>
      <c r="C16" s="71"/>
      <c r="D16" s="71"/>
      <c r="E16" s="72" t="s">
        <v>24</v>
      </c>
      <c r="F16" s="73"/>
      <c r="G16" s="73"/>
      <c r="H16" s="73">
        <f t="shared" ref="H16:H18" si="2">SUM(F16:G16)</f>
        <v>0</v>
      </c>
    </row>
    <row r="17" spans="1:27" s="37" customFormat="1" ht="15" x14ac:dyDescent="0.25">
      <c r="A17" s="70">
        <f>A16+1</f>
        <v>46238</v>
      </c>
      <c r="B17" s="79">
        <f t="shared" si="1"/>
        <v>32</v>
      </c>
      <c r="C17" s="71"/>
      <c r="D17" s="71"/>
      <c r="E17" s="72"/>
      <c r="F17" s="73"/>
      <c r="G17" s="73"/>
      <c r="H17" s="73">
        <f t="shared" si="2"/>
        <v>0</v>
      </c>
    </row>
    <row r="18" spans="1:27" ht="15.75" customHeight="1" x14ac:dyDescent="0.25">
      <c r="A18" s="70">
        <f t="shared" ref="A18:A22" si="3">A17+1</f>
        <v>46239</v>
      </c>
      <c r="B18" s="79">
        <f t="shared" si="1"/>
        <v>32</v>
      </c>
      <c r="C18" s="71"/>
      <c r="D18" s="71"/>
      <c r="E18" s="72"/>
      <c r="F18" s="73"/>
      <c r="G18" s="73"/>
      <c r="H18" s="73">
        <f t="shared" si="2"/>
        <v>0</v>
      </c>
    </row>
    <row r="19" spans="1:27" ht="15.75" customHeight="1" x14ac:dyDescent="0.25">
      <c r="A19" s="70">
        <f t="shared" si="3"/>
        <v>46240</v>
      </c>
      <c r="B19" s="79">
        <f>WEEKNUM(A19, 2)</f>
        <v>32</v>
      </c>
      <c r="C19" s="71"/>
      <c r="D19" s="71"/>
      <c r="E19" s="74"/>
      <c r="F19" s="73"/>
      <c r="G19" s="73"/>
      <c r="H19" s="73">
        <f>SUM(F19:G19)</f>
        <v>0</v>
      </c>
    </row>
    <row r="20" spans="1:27" ht="15.75" customHeight="1" x14ac:dyDescent="0.25">
      <c r="A20" s="70">
        <f t="shared" si="3"/>
        <v>46241</v>
      </c>
      <c r="B20" s="79">
        <f t="shared" ref="B20:B28" si="4">WEEKNUM(A20, 2)</f>
        <v>32</v>
      </c>
      <c r="C20" s="71"/>
      <c r="D20" s="71"/>
      <c r="E20" s="72"/>
      <c r="F20" s="73"/>
      <c r="G20" s="73"/>
      <c r="H20" s="73">
        <f>SUM(F20:G20)</f>
        <v>0</v>
      </c>
    </row>
    <row r="21" spans="1:27" ht="15.75" customHeight="1" x14ac:dyDescent="0.25">
      <c r="A21" s="70">
        <f t="shared" si="3"/>
        <v>46242</v>
      </c>
      <c r="B21" s="79">
        <f t="shared" si="4"/>
        <v>32</v>
      </c>
      <c r="C21" s="71"/>
      <c r="D21" s="71"/>
      <c r="E21" s="74"/>
      <c r="F21" s="73"/>
      <c r="G21" s="73"/>
      <c r="H21" s="73">
        <f t="shared" ref="H21:H28" si="5">SUM(F21:G21)</f>
        <v>0</v>
      </c>
    </row>
    <row r="22" spans="1:27" ht="15.75" customHeight="1" x14ac:dyDescent="0.25">
      <c r="A22" s="70">
        <f t="shared" si="3"/>
        <v>46243</v>
      </c>
      <c r="B22" s="79">
        <f t="shared" si="4"/>
        <v>32</v>
      </c>
      <c r="C22" s="71"/>
      <c r="D22" s="71"/>
      <c r="E22" s="72"/>
      <c r="F22" s="73"/>
      <c r="G22" s="73"/>
      <c r="H22" s="73">
        <f t="shared" si="5"/>
        <v>0</v>
      </c>
    </row>
    <row r="23" spans="1:27" s="28" customFormat="1" ht="15.75" customHeight="1" x14ac:dyDescent="0.2">
      <c r="A23" s="44" t="str">
        <f>"Total of Week "&amp;RIGHT(A13,2)+1</f>
        <v>Total of Week 32</v>
      </c>
      <c r="B23" s="80"/>
      <c r="C23" s="45"/>
      <c r="D23" s="45"/>
      <c r="E23" s="63"/>
      <c r="F23" s="46">
        <f ca="1">SUMIF($B:$E,RIGHT($A23,2),F:F)</f>
        <v>0</v>
      </c>
      <c r="G23" s="46">
        <f ca="1">SUMIF($B:$E,RIGHT($A23,2),G:G)</f>
        <v>0</v>
      </c>
      <c r="H23" s="47">
        <f ca="1">SUMIF($B:$E,RIGHT($A23,2),H:H)</f>
        <v>0</v>
      </c>
    </row>
    <row r="24" spans="1:27" ht="15.75" customHeight="1" x14ac:dyDescent="0.25">
      <c r="A24" s="22"/>
      <c r="B24" s="87"/>
      <c r="C24" s="5"/>
      <c r="D24" s="5"/>
      <c r="E24" s="65"/>
      <c r="F24" s="6"/>
      <c r="G24" s="5"/>
      <c r="H24" s="7"/>
    </row>
    <row r="25" spans="1:27" ht="15" x14ac:dyDescent="0.25">
      <c r="A25" s="40" t="s">
        <v>9</v>
      </c>
      <c r="B25" s="85" t="s">
        <v>31</v>
      </c>
      <c r="C25" s="41" t="s">
        <v>10</v>
      </c>
      <c r="D25" s="41" t="s">
        <v>11</v>
      </c>
      <c r="E25" s="42" t="s">
        <v>12</v>
      </c>
      <c r="F25" s="43" t="s">
        <v>13</v>
      </c>
      <c r="G25" s="42" t="s">
        <v>14</v>
      </c>
      <c r="H25" s="42" t="s">
        <v>15</v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spans="1:27" ht="15.75" customHeight="1" x14ac:dyDescent="0.25">
      <c r="A26" s="70">
        <f>A22+1</f>
        <v>46244</v>
      </c>
      <c r="B26" s="79">
        <f t="shared" si="4"/>
        <v>33</v>
      </c>
      <c r="C26" s="71"/>
      <c r="D26" s="71"/>
      <c r="E26" s="74"/>
      <c r="F26" s="73"/>
      <c r="G26" s="73"/>
      <c r="H26" s="73">
        <f t="shared" si="5"/>
        <v>0</v>
      </c>
    </row>
    <row r="27" spans="1:27" ht="15.75" customHeight="1" x14ac:dyDescent="0.25">
      <c r="A27" s="70">
        <f>A26+1</f>
        <v>46245</v>
      </c>
      <c r="B27" s="79">
        <f>WEEKNUM(A27, 2)</f>
        <v>33</v>
      </c>
      <c r="C27" s="71"/>
      <c r="D27" s="71"/>
      <c r="E27" s="72"/>
      <c r="F27" s="73"/>
      <c r="G27" s="73"/>
      <c r="H27" s="73">
        <f t="shared" si="5"/>
        <v>0</v>
      </c>
    </row>
    <row r="28" spans="1:27" ht="15.75" customHeight="1" x14ac:dyDescent="0.25">
      <c r="A28" s="70">
        <f t="shared" ref="A28:A32" si="6">A27+1</f>
        <v>46246</v>
      </c>
      <c r="B28" s="79">
        <f t="shared" si="4"/>
        <v>33</v>
      </c>
      <c r="C28" s="71"/>
      <c r="D28" s="71"/>
      <c r="E28" s="72"/>
      <c r="F28" s="73"/>
      <c r="G28" s="73"/>
      <c r="H28" s="73">
        <f t="shared" si="5"/>
        <v>0</v>
      </c>
    </row>
    <row r="29" spans="1:27" ht="15.75" customHeight="1" x14ac:dyDescent="0.25">
      <c r="A29" s="70">
        <f t="shared" si="6"/>
        <v>46247</v>
      </c>
      <c r="B29" s="79">
        <f>WEEKNUM(A29, 2)</f>
        <v>33</v>
      </c>
      <c r="C29" s="71"/>
      <c r="D29" s="71"/>
      <c r="E29" s="74"/>
      <c r="F29" s="73"/>
      <c r="G29" s="73"/>
      <c r="H29" s="73">
        <f>SUM(F29:G29)</f>
        <v>0</v>
      </c>
    </row>
    <row r="30" spans="1:27" ht="15.75" customHeight="1" x14ac:dyDescent="0.25">
      <c r="A30" s="70">
        <f t="shared" si="6"/>
        <v>46248</v>
      </c>
      <c r="B30" s="79">
        <f t="shared" ref="B30:B38" si="7">WEEKNUM(A30, 2)</f>
        <v>33</v>
      </c>
      <c r="C30" s="71"/>
      <c r="D30" s="71"/>
      <c r="E30" s="72"/>
      <c r="F30" s="73"/>
      <c r="G30" s="73"/>
      <c r="H30" s="73">
        <f>SUM(F30:G30)</f>
        <v>0</v>
      </c>
    </row>
    <row r="31" spans="1:27" ht="15.75" customHeight="1" x14ac:dyDescent="0.25">
      <c r="A31" s="70">
        <f t="shared" si="6"/>
        <v>46249</v>
      </c>
      <c r="B31" s="79">
        <f t="shared" si="7"/>
        <v>33</v>
      </c>
      <c r="C31" s="71"/>
      <c r="D31" s="71"/>
      <c r="E31" s="74"/>
      <c r="F31" s="73"/>
      <c r="G31" s="73"/>
      <c r="H31" s="73">
        <f t="shared" ref="H31:H38" si="8">SUM(F31:G31)</f>
        <v>0</v>
      </c>
    </row>
    <row r="32" spans="1:27" ht="15.75" customHeight="1" x14ac:dyDescent="0.25">
      <c r="A32" s="70">
        <f t="shared" si="6"/>
        <v>46250</v>
      </c>
      <c r="B32" s="79">
        <f t="shared" si="7"/>
        <v>33</v>
      </c>
      <c r="C32" s="71"/>
      <c r="D32" s="71"/>
      <c r="E32" s="72"/>
      <c r="F32" s="73"/>
      <c r="G32" s="73"/>
      <c r="H32" s="73">
        <f t="shared" si="8"/>
        <v>0</v>
      </c>
    </row>
    <row r="33" spans="1:27" s="28" customFormat="1" ht="15.75" customHeight="1" x14ac:dyDescent="0.2">
      <c r="A33" s="44" t="str">
        <f>"Total of Week "&amp;RIGHT(A23,2)+1</f>
        <v>Total of Week 33</v>
      </c>
      <c r="B33" s="80"/>
      <c r="C33" s="45"/>
      <c r="D33" s="45"/>
      <c r="E33" s="63"/>
      <c r="F33" s="46">
        <f ca="1">SUMIF($B:$E,RIGHT($A33,2),F:F)</f>
        <v>0</v>
      </c>
      <c r="G33" s="46">
        <f ca="1">SUMIF($B:$E,RIGHT($A33,2),G:G)</f>
        <v>0</v>
      </c>
      <c r="H33" s="47">
        <f ca="1">SUMIF($B:$E,RIGHT($A33,2),H:H)</f>
        <v>0</v>
      </c>
    </row>
    <row r="34" spans="1:27" ht="15.75" customHeight="1" x14ac:dyDescent="0.25">
      <c r="A34" s="22"/>
      <c r="B34" s="87"/>
      <c r="C34" s="5"/>
      <c r="D34" s="5"/>
      <c r="E34" s="65"/>
      <c r="F34" s="6"/>
      <c r="G34" s="5"/>
      <c r="H34" s="7"/>
    </row>
    <row r="35" spans="1:27" ht="15" x14ac:dyDescent="0.25">
      <c r="A35" s="40" t="s">
        <v>9</v>
      </c>
      <c r="B35" s="85" t="s">
        <v>31</v>
      </c>
      <c r="C35" s="41" t="s">
        <v>10</v>
      </c>
      <c r="D35" s="41" t="s">
        <v>11</v>
      </c>
      <c r="E35" s="42" t="s">
        <v>12</v>
      </c>
      <c r="F35" s="43" t="s">
        <v>13</v>
      </c>
      <c r="G35" s="42" t="s">
        <v>14</v>
      </c>
      <c r="H35" s="42" t="s">
        <v>15</v>
      </c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spans="1:27" ht="15.75" customHeight="1" x14ac:dyDescent="0.25">
      <c r="A36" s="70">
        <f>A32+1</f>
        <v>46251</v>
      </c>
      <c r="B36" s="79">
        <f t="shared" si="7"/>
        <v>34</v>
      </c>
      <c r="C36" s="71"/>
      <c r="D36" s="71"/>
      <c r="E36" s="74"/>
      <c r="F36" s="73"/>
      <c r="G36" s="73"/>
      <c r="H36" s="73">
        <f t="shared" si="8"/>
        <v>0</v>
      </c>
    </row>
    <row r="37" spans="1:27" ht="15.75" customHeight="1" x14ac:dyDescent="0.25">
      <c r="A37" s="70">
        <f>A36+1</f>
        <v>46252</v>
      </c>
      <c r="B37" s="79">
        <f>WEEKNUM(A37, 2)</f>
        <v>34</v>
      </c>
      <c r="C37" s="71"/>
      <c r="D37" s="71"/>
      <c r="E37" s="72"/>
      <c r="F37" s="73"/>
      <c r="G37" s="73"/>
      <c r="H37" s="73">
        <f t="shared" si="8"/>
        <v>0</v>
      </c>
    </row>
    <row r="38" spans="1:27" ht="15.75" customHeight="1" x14ac:dyDescent="0.25">
      <c r="A38" s="70">
        <f t="shared" ref="A38:A42" si="9">A37+1</f>
        <v>46253</v>
      </c>
      <c r="B38" s="79">
        <f t="shared" si="7"/>
        <v>34</v>
      </c>
      <c r="C38" s="71"/>
      <c r="D38" s="71"/>
      <c r="E38" s="72"/>
      <c r="F38" s="73"/>
      <c r="G38" s="73"/>
      <c r="H38" s="73">
        <f t="shared" si="8"/>
        <v>0</v>
      </c>
    </row>
    <row r="39" spans="1:27" ht="15.75" customHeight="1" x14ac:dyDescent="0.25">
      <c r="A39" s="70">
        <f t="shared" si="9"/>
        <v>46254</v>
      </c>
      <c r="B39" s="79">
        <f>WEEKNUM(A39, 2)</f>
        <v>34</v>
      </c>
      <c r="C39" s="71"/>
      <c r="D39" s="71"/>
      <c r="E39" s="74"/>
      <c r="F39" s="73"/>
      <c r="G39" s="73"/>
      <c r="H39" s="73">
        <f>SUM(F39:G39)</f>
        <v>0</v>
      </c>
    </row>
    <row r="40" spans="1:27" ht="15.75" customHeight="1" x14ac:dyDescent="0.25">
      <c r="A40" s="70">
        <f t="shared" si="9"/>
        <v>46255</v>
      </c>
      <c r="B40" s="79">
        <f t="shared" ref="B40:B46" si="10">WEEKNUM(A40, 2)</f>
        <v>34</v>
      </c>
      <c r="C40" s="71"/>
      <c r="D40" s="71"/>
      <c r="E40" s="72"/>
      <c r="F40" s="73"/>
      <c r="G40" s="73"/>
      <c r="H40" s="73">
        <f>SUM(F40:G40)</f>
        <v>0</v>
      </c>
    </row>
    <row r="41" spans="1:27" ht="15.75" customHeight="1" x14ac:dyDescent="0.25">
      <c r="A41" s="70">
        <f t="shared" si="9"/>
        <v>46256</v>
      </c>
      <c r="B41" s="79">
        <f t="shared" si="10"/>
        <v>34</v>
      </c>
      <c r="C41" s="71"/>
      <c r="D41" s="71"/>
      <c r="E41" s="74"/>
      <c r="F41" s="73"/>
      <c r="G41" s="73"/>
      <c r="H41" s="73">
        <f t="shared" ref="H41:H47" si="11">SUM(F41:G41)</f>
        <v>0</v>
      </c>
    </row>
    <row r="42" spans="1:27" ht="15.75" customHeight="1" x14ac:dyDescent="0.25">
      <c r="A42" s="70">
        <f t="shared" si="9"/>
        <v>46257</v>
      </c>
      <c r="B42" s="79">
        <f t="shared" si="10"/>
        <v>34</v>
      </c>
      <c r="C42" s="71"/>
      <c r="D42" s="71"/>
      <c r="E42" s="72"/>
      <c r="F42" s="73"/>
      <c r="G42" s="73"/>
      <c r="H42" s="73">
        <f t="shared" si="11"/>
        <v>0</v>
      </c>
    </row>
    <row r="43" spans="1:27" s="28" customFormat="1" ht="15.75" customHeight="1" x14ac:dyDescent="0.2">
      <c r="A43" s="44" t="str">
        <f>"Total of Week "&amp;RIGHT(A33,2)+1</f>
        <v>Total of Week 34</v>
      </c>
      <c r="B43" s="80"/>
      <c r="C43" s="45"/>
      <c r="D43" s="45"/>
      <c r="E43" s="63"/>
      <c r="F43" s="46">
        <f ca="1">SUMIF($B:$E,RIGHT($A43,2),F:F)</f>
        <v>0</v>
      </c>
      <c r="G43" s="46">
        <f ca="1">SUMIF($B:$E,RIGHT($A43,2),G:G)</f>
        <v>0</v>
      </c>
      <c r="H43" s="47">
        <f ca="1">SUMIF($B:$E,RIGHT($A43,2),H:H)</f>
        <v>0</v>
      </c>
    </row>
    <row r="44" spans="1:27" ht="15.75" customHeight="1" x14ac:dyDescent="0.25">
      <c r="A44" s="22"/>
      <c r="B44" s="87"/>
      <c r="C44" s="5"/>
      <c r="D44" s="5"/>
      <c r="E44" s="65"/>
      <c r="F44" s="6"/>
      <c r="G44" s="5"/>
      <c r="H44" s="7"/>
    </row>
    <row r="45" spans="1:27" ht="15" x14ac:dyDescent="0.25">
      <c r="A45" s="40" t="s">
        <v>9</v>
      </c>
      <c r="B45" s="85" t="s">
        <v>31</v>
      </c>
      <c r="C45" s="41" t="s">
        <v>10</v>
      </c>
      <c r="D45" s="41" t="s">
        <v>11</v>
      </c>
      <c r="E45" s="42" t="s">
        <v>12</v>
      </c>
      <c r="F45" s="43" t="s">
        <v>13</v>
      </c>
      <c r="G45" s="42" t="s">
        <v>14</v>
      </c>
      <c r="H45" s="42" t="s">
        <v>15</v>
      </c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spans="1:27" ht="15.75" customHeight="1" x14ac:dyDescent="0.25">
      <c r="A46" s="70">
        <f>A42+1</f>
        <v>46258</v>
      </c>
      <c r="B46" s="79">
        <f t="shared" si="10"/>
        <v>35</v>
      </c>
      <c r="C46" s="71"/>
      <c r="D46" s="71"/>
      <c r="E46" s="74"/>
      <c r="F46" s="73"/>
      <c r="G46" s="73"/>
      <c r="H46" s="73">
        <f t="shared" si="11"/>
        <v>0</v>
      </c>
    </row>
    <row r="47" spans="1:27" ht="15.75" customHeight="1" x14ac:dyDescent="0.25">
      <c r="A47" s="70">
        <f>A46+1</f>
        <v>46259</v>
      </c>
      <c r="B47" s="79">
        <f>WEEKNUM(A47, 2)</f>
        <v>35</v>
      </c>
      <c r="C47" s="71"/>
      <c r="D47" s="71"/>
      <c r="E47" s="72"/>
      <c r="F47" s="73"/>
      <c r="G47" s="73"/>
      <c r="H47" s="73">
        <f t="shared" si="11"/>
        <v>0</v>
      </c>
    </row>
    <row r="48" spans="1:27" ht="15.75" customHeight="1" x14ac:dyDescent="0.25">
      <c r="A48" s="70">
        <f t="shared" ref="A48:A49" si="12">A47+1</f>
        <v>46260</v>
      </c>
      <c r="B48" s="79">
        <f>WEEKNUM(A48, 2)</f>
        <v>35</v>
      </c>
      <c r="C48" s="71"/>
      <c r="D48" s="71"/>
      <c r="E48" s="74"/>
      <c r="F48" s="73"/>
      <c r="G48" s="73"/>
      <c r="H48" s="73">
        <f>SUM(F48:G48)</f>
        <v>0</v>
      </c>
    </row>
    <row r="49" spans="1:27" ht="15.75" customHeight="1" x14ac:dyDescent="0.25">
      <c r="A49" s="70">
        <f t="shared" si="12"/>
        <v>46261</v>
      </c>
      <c r="B49" s="79">
        <f t="shared" ref="B49:B52" si="13">WEEKNUM(A49, 2)</f>
        <v>35</v>
      </c>
      <c r="C49" s="71"/>
      <c r="D49" s="71"/>
      <c r="E49" s="72"/>
      <c r="F49" s="73"/>
      <c r="G49" s="73"/>
      <c r="H49" s="73">
        <f>SUM(F49:G49)</f>
        <v>0</v>
      </c>
    </row>
    <row r="50" spans="1:27" ht="15.75" customHeight="1" x14ac:dyDescent="0.25">
      <c r="A50" s="70">
        <f>A49+1</f>
        <v>46262</v>
      </c>
      <c r="B50" s="79">
        <f t="shared" si="13"/>
        <v>35</v>
      </c>
      <c r="C50" s="71"/>
      <c r="D50" s="71"/>
      <c r="E50" s="74"/>
      <c r="F50" s="73"/>
      <c r="G50" s="73"/>
      <c r="H50" s="73">
        <f t="shared" ref="H50" si="14">SUM(F50:G50)</f>
        <v>0</v>
      </c>
    </row>
    <row r="51" spans="1:27" ht="15.75" customHeight="1" x14ac:dyDescent="0.25">
      <c r="A51" s="70">
        <f>A50+1</f>
        <v>46263</v>
      </c>
      <c r="B51" s="79">
        <f>WEEKNUM(A51, 2)</f>
        <v>35</v>
      </c>
      <c r="C51" s="71"/>
      <c r="D51" s="71"/>
      <c r="E51" s="72"/>
      <c r="F51" s="73"/>
      <c r="G51" s="73"/>
      <c r="H51" s="73">
        <f>SUM(F51:G51)</f>
        <v>0</v>
      </c>
    </row>
    <row r="52" spans="1:27" ht="15.75" customHeight="1" x14ac:dyDescent="0.25">
      <c r="A52" s="70">
        <f t="shared" ref="A52" si="15">A51+1</f>
        <v>46264</v>
      </c>
      <c r="B52" s="79">
        <f t="shared" si="13"/>
        <v>35</v>
      </c>
      <c r="C52" s="71"/>
      <c r="D52" s="71"/>
      <c r="E52" s="74"/>
      <c r="F52" s="73"/>
      <c r="G52" s="73"/>
      <c r="H52" s="73">
        <f t="shared" ref="H52" si="16">SUM(F52:G52)</f>
        <v>0</v>
      </c>
    </row>
    <row r="53" spans="1:27" s="28" customFormat="1" ht="15.75" customHeight="1" x14ac:dyDescent="0.2">
      <c r="A53" s="44" t="str">
        <f>"Total of Week "&amp;RIGHT(A43,2)+1</f>
        <v>Total of Week 35</v>
      </c>
      <c r="B53" s="80"/>
      <c r="C53" s="45"/>
      <c r="D53" s="45"/>
      <c r="E53" s="63"/>
      <c r="F53" s="46">
        <f ca="1">SUMIF($B:$E,RIGHT($A53,2),F:F)</f>
        <v>0</v>
      </c>
      <c r="G53" s="46">
        <f ca="1">SUMIF($B:$E,RIGHT($A53,2),G:G)</f>
        <v>0</v>
      </c>
      <c r="H53" s="47">
        <f ca="1">SUMIF($B:$E,RIGHT($A53,2),H:H)</f>
        <v>0</v>
      </c>
    </row>
    <row r="54" spans="1:27" ht="15.75" customHeight="1" x14ac:dyDescent="0.25">
      <c r="A54" s="22"/>
      <c r="B54" s="87"/>
      <c r="C54" s="5"/>
      <c r="D54" s="5"/>
      <c r="E54" s="65"/>
      <c r="F54" s="6"/>
      <c r="G54" s="5"/>
      <c r="H54" s="7"/>
    </row>
    <row r="55" spans="1:27" ht="15" x14ac:dyDescent="0.25">
      <c r="A55" s="40" t="s">
        <v>9</v>
      </c>
      <c r="B55" s="85" t="s">
        <v>31</v>
      </c>
      <c r="C55" s="41" t="s">
        <v>10</v>
      </c>
      <c r="D55" s="41" t="s">
        <v>11</v>
      </c>
      <c r="E55" s="42" t="s">
        <v>12</v>
      </c>
      <c r="F55" s="43" t="s">
        <v>13</v>
      </c>
      <c r="G55" s="42" t="s">
        <v>14</v>
      </c>
      <c r="H55" s="42" t="s">
        <v>15</v>
      </c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spans="1:27" ht="15.75" customHeight="1" x14ac:dyDescent="0.25">
      <c r="A56" s="70">
        <f>A52+1</f>
        <v>46265</v>
      </c>
      <c r="B56" s="79">
        <f>WEEKNUM(A56, 2)</f>
        <v>36</v>
      </c>
      <c r="C56" s="71"/>
      <c r="D56" s="71"/>
      <c r="E56" s="72"/>
      <c r="F56" s="73"/>
      <c r="G56" s="73"/>
      <c r="H56" s="73">
        <f>SUM(F56:G56)</f>
        <v>0</v>
      </c>
    </row>
    <row r="57" spans="1:27" s="28" customFormat="1" ht="15.75" customHeight="1" x14ac:dyDescent="0.2">
      <c r="A57" s="44" t="str">
        <f>"Total of Week "&amp;RIGHT(B56,2)</f>
        <v>Total of Week 36</v>
      </c>
      <c r="B57" s="80"/>
      <c r="C57" s="45"/>
      <c r="D57" s="45"/>
      <c r="E57" s="63"/>
      <c r="F57" s="46">
        <f ca="1">SUMIF($B:$E,RIGHT($A57,2),F:F)</f>
        <v>0</v>
      </c>
      <c r="G57" s="46">
        <f ca="1">SUMIF($B:$E,RIGHT($A57,2),G:G)</f>
        <v>0</v>
      </c>
      <c r="H57" s="47">
        <f ca="1">SUMIF($B:$E,RIGHT($A57,2),H:H)</f>
        <v>0</v>
      </c>
    </row>
    <row r="58" spans="1:27" ht="12" customHeight="1" x14ac:dyDescent="0.25">
      <c r="A58" s="23"/>
      <c r="B58" s="84"/>
      <c r="C58" s="8"/>
      <c r="D58" s="8"/>
      <c r="E58" s="66"/>
      <c r="F58" s="9"/>
      <c r="G58" s="9"/>
      <c r="H58" s="10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 ht="15.75" customHeight="1" x14ac:dyDescent="0.25">
      <c r="A59" s="24" t="s">
        <v>16</v>
      </c>
      <c r="B59" s="88"/>
      <c r="C59" s="11"/>
      <c r="D59" s="11"/>
      <c r="E59" s="67"/>
      <c r="F59" s="12"/>
      <c r="G59" s="11"/>
      <c r="H59" s="13">
        <f ca="1">SUMIF(A7:A58,"*Total of week*",H7:H58)</f>
        <v>0</v>
      </c>
      <c r="I59" s="3"/>
      <c r="J59" s="3"/>
      <c r="K59" s="3"/>
      <c r="L59" s="3"/>
      <c r="M59" s="3"/>
      <c r="N59" s="3"/>
      <c r="O59" s="3"/>
      <c r="P59" s="3"/>
      <c r="Q59" s="3"/>
      <c r="R59" s="3"/>
    </row>
    <row r="60" spans="1:27" ht="15.75" customHeight="1" x14ac:dyDescent="0.25">
      <c r="E60" s="4"/>
      <c r="F60" s="15"/>
      <c r="O60" s="3"/>
      <c r="P60" s="3"/>
      <c r="R60" s="3"/>
    </row>
    <row r="61" spans="1:27" ht="15.75" customHeight="1" x14ac:dyDescent="0.25">
      <c r="E61" s="4"/>
      <c r="F61" s="15"/>
      <c r="O61" s="3"/>
    </row>
    <row r="62" spans="1:27" ht="15.75" customHeight="1" x14ac:dyDescent="0.25">
      <c r="A62" s="26"/>
      <c r="B62" s="90"/>
      <c r="C62" s="17"/>
      <c r="D62" s="16"/>
      <c r="E62" s="4"/>
      <c r="F62" s="15"/>
    </row>
    <row r="63" spans="1:27" ht="15.75" customHeight="1" x14ac:dyDescent="0.25">
      <c r="A63" s="26"/>
      <c r="B63" s="90"/>
      <c r="C63" s="16"/>
      <c r="D63" s="16"/>
      <c r="E63" s="68"/>
      <c r="F63" s="18"/>
      <c r="G63" s="16"/>
      <c r="H63" s="3"/>
    </row>
    <row r="64" spans="1:27" ht="15.75" customHeight="1" x14ac:dyDescent="0.25">
      <c r="A64" s="26"/>
      <c r="B64" s="90"/>
      <c r="C64" s="19"/>
      <c r="D64" s="19"/>
      <c r="E64" s="4"/>
      <c r="F64" s="15"/>
    </row>
    <row r="65" spans="1:8" s="28" customFormat="1" ht="15.75" customHeight="1" x14ac:dyDescent="0.25">
      <c r="A65" s="36"/>
      <c r="B65" s="86"/>
      <c r="C65" s="29"/>
      <c r="D65" s="29"/>
      <c r="E65" s="64"/>
      <c r="F65" s="33"/>
      <c r="G65" s="34"/>
      <c r="H65" s="35"/>
    </row>
    <row r="66" spans="1:8" ht="15.75" customHeight="1" x14ac:dyDescent="0.25">
      <c r="C66" s="20"/>
      <c r="D66" s="20"/>
      <c r="E66" s="4"/>
      <c r="F66" s="15"/>
    </row>
    <row r="67" spans="1:8" ht="15.75" customHeight="1" x14ac:dyDescent="0.25">
      <c r="A67" s="26"/>
      <c r="B67" s="90"/>
      <c r="C67" s="19"/>
      <c r="D67" s="19"/>
      <c r="E67" s="4"/>
      <c r="F67" s="15"/>
    </row>
    <row r="68" spans="1:8" ht="15.75" customHeight="1" x14ac:dyDescent="0.25">
      <c r="A68" s="26"/>
      <c r="B68" s="90"/>
      <c r="C68" s="19"/>
      <c r="D68" s="19"/>
      <c r="E68" s="4"/>
      <c r="F68" s="15"/>
    </row>
    <row r="69" spans="1:8" ht="15.75" customHeight="1" x14ac:dyDescent="0.2"/>
    <row r="70" spans="1:8" ht="15.75" customHeight="1" x14ac:dyDescent="0.2"/>
    <row r="71" spans="1:8" ht="15.75" customHeight="1" x14ac:dyDescent="0.2"/>
    <row r="72" spans="1:8" ht="15.75" customHeight="1" x14ac:dyDescent="0.2"/>
    <row r="73" spans="1:8" ht="15.75" customHeight="1" x14ac:dyDescent="0.2"/>
    <row r="74" spans="1:8" ht="15.75" customHeight="1" x14ac:dyDescent="0.2"/>
    <row r="75" spans="1:8" ht="15.75" customHeight="1" x14ac:dyDescent="0.2"/>
    <row r="76" spans="1:8" ht="15.75" customHeight="1" x14ac:dyDescent="0.2"/>
    <row r="77" spans="1:8" ht="15.75" customHeight="1" x14ac:dyDescent="0.2"/>
    <row r="78" spans="1:8" ht="15.75" customHeight="1" x14ac:dyDescent="0.2"/>
    <row r="79" spans="1:8" ht="15.75" customHeight="1" x14ac:dyDescent="0.2"/>
    <row r="80" spans="1:8" ht="15.75" customHeight="1" x14ac:dyDescent="0.2"/>
    <row r="81" spans="2:27" ht="15.75" customHeight="1" x14ac:dyDescent="0.2"/>
    <row r="82" spans="2:27" ht="15.75" customHeight="1" x14ac:dyDescent="0.2"/>
    <row r="83" spans="2:27" ht="15.75" customHeight="1" x14ac:dyDescent="0.2"/>
    <row r="84" spans="2:27" s="25" customFormat="1" ht="15.75" customHeight="1" x14ac:dyDescent="0.2">
      <c r="B84" s="89"/>
      <c r="C84"/>
      <c r="D84"/>
      <c r="E84" s="69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</row>
    <row r="85" spans="2:27" s="25" customFormat="1" ht="15.75" customHeight="1" x14ac:dyDescent="0.2">
      <c r="B85" s="89"/>
      <c r="C85"/>
      <c r="D85"/>
      <c r="E85" s="69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</row>
    <row r="86" spans="2:27" s="25" customFormat="1" ht="15.75" customHeight="1" x14ac:dyDescent="0.2">
      <c r="B86" s="89"/>
      <c r="C86"/>
      <c r="D86"/>
      <c r="E86" s="69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</row>
    <row r="87" spans="2:27" s="25" customFormat="1" ht="15.75" customHeight="1" x14ac:dyDescent="0.2">
      <c r="B87" s="89"/>
      <c r="C87"/>
      <c r="D87"/>
      <c r="E87" s="69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</row>
    <row r="88" spans="2:27" s="25" customFormat="1" ht="15.75" customHeight="1" x14ac:dyDescent="0.2">
      <c r="B88" s="89"/>
      <c r="C88"/>
      <c r="D88"/>
      <c r="E88" s="69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</row>
    <row r="89" spans="2:27" s="25" customFormat="1" ht="15.75" customHeight="1" x14ac:dyDescent="0.2">
      <c r="B89" s="89"/>
      <c r="C89"/>
      <c r="D89"/>
      <c r="E89" s="6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</row>
    <row r="90" spans="2:27" s="25" customFormat="1" ht="15.75" customHeight="1" x14ac:dyDescent="0.2">
      <c r="B90" s="89"/>
      <c r="C90"/>
      <c r="D90"/>
      <c r="E90" s="69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2:27" s="25" customFormat="1" ht="15.75" customHeight="1" x14ac:dyDescent="0.2">
      <c r="B91" s="89"/>
      <c r="C91"/>
      <c r="D91"/>
      <c r="E91" s="69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</row>
    <row r="92" spans="2:27" s="25" customFormat="1" ht="15.75" customHeight="1" x14ac:dyDescent="0.2">
      <c r="B92" s="89"/>
      <c r="C92"/>
      <c r="D92"/>
      <c r="E92" s="69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2:27" s="25" customFormat="1" ht="15.75" customHeight="1" x14ac:dyDescent="0.2">
      <c r="B93" s="89"/>
      <c r="C93"/>
      <c r="D93"/>
      <c r="E93" s="69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</row>
    <row r="94" spans="2:27" s="25" customFormat="1" ht="15.75" customHeight="1" x14ac:dyDescent="0.2">
      <c r="B94" s="89"/>
      <c r="C94"/>
      <c r="D94"/>
      <c r="E94" s="69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</row>
    <row r="95" spans="2:27" s="25" customFormat="1" ht="15.75" customHeight="1" x14ac:dyDescent="0.2">
      <c r="B95" s="89"/>
      <c r="C95"/>
      <c r="D95"/>
      <c r="E95" s="69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</row>
    <row r="96" spans="2:27" s="25" customFormat="1" ht="15.75" customHeight="1" x14ac:dyDescent="0.2">
      <c r="B96" s="89"/>
      <c r="C96"/>
      <c r="D96"/>
      <c r="E96" s="69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</row>
    <row r="97" spans="2:27" s="25" customFormat="1" ht="15.75" customHeight="1" x14ac:dyDescent="0.2">
      <c r="B97" s="89"/>
      <c r="C97"/>
      <c r="D97"/>
      <c r="E97" s="69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</row>
    <row r="98" spans="2:27" s="25" customFormat="1" ht="15.75" customHeight="1" x14ac:dyDescent="0.2">
      <c r="B98" s="89"/>
      <c r="C98"/>
      <c r="D98"/>
      <c r="E98" s="69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</row>
    <row r="99" spans="2:27" s="25" customFormat="1" ht="15.75" customHeight="1" x14ac:dyDescent="0.2">
      <c r="B99" s="89"/>
      <c r="C99"/>
      <c r="D99"/>
      <c r="E99" s="6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</row>
    <row r="100" spans="2:27" s="25" customFormat="1" ht="15.75" customHeight="1" x14ac:dyDescent="0.2">
      <c r="B100" s="89"/>
      <c r="C100"/>
      <c r="D100"/>
      <c r="E100" s="69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</row>
    <row r="101" spans="2:27" s="25" customFormat="1" ht="15.75" customHeight="1" x14ac:dyDescent="0.2">
      <c r="B101" s="89"/>
      <c r="C101"/>
      <c r="D101"/>
      <c r="E101" s="69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</row>
    <row r="102" spans="2:27" s="25" customFormat="1" ht="15.75" customHeight="1" x14ac:dyDescent="0.2">
      <c r="B102" s="89"/>
      <c r="C102"/>
      <c r="D102"/>
      <c r="E102" s="69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2:27" s="25" customFormat="1" ht="15.75" customHeight="1" x14ac:dyDescent="0.2">
      <c r="B103" s="89"/>
      <c r="C103"/>
      <c r="D103"/>
      <c r="E103" s="69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</row>
    <row r="104" spans="2:27" s="25" customFormat="1" ht="15.75" customHeight="1" x14ac:dyDescent="0.2">
      <c r="B104" s="89"/>
      <c r="C104"/>
      <c r="D104"/>
      <c r="E104" s="69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</row>
    <row r="105" spans="2:27" s="25" customFormat="1" ht="15.75" customHeight="1" x14ac:dyDescent="0.2">
      <c r="B105" s="89"/>
      <c r="C105"/>
      <c r="D105"/>
      <c r="E105" s="69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</row>
    <row r="106" spans="2:27" s="25" customFormat="1" ht="15.75" customHeight="1" x14ac:dyDescent="0.2">
      <c r="B106" s="89"/>
      <c r="C106"/>
      <c r="D106"/>
      <c r="E106" s="69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</row>
    <row r="107" spans="2:27" s="25" customFormat="1" ht="15.75" customHeight="1" x14ac:dyDescent="0.2">
      <c r="B107" s="89"/>
      <c r="C107"/>
      <c r="D107"/>
      <c r="E107" s="69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</row>
    <row r="108" spans="2:27" s="25" customFormat="1" ht="15.75" customHeight="1" x14ac:dyDescent="0.2">
      <c r="B108" s="89"/>
      <c r="C108"/>
      <c r="D108"/>
      <c r="E108" s="69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</row>
    <row r="109" spans="2:27" s="25" customFormat="1" ht="15.75" customHeight="1" x14ac:dyDescent="0.2">
      <c r="B109" s="89"/>
      <c r="C109"/>
      <c r="D109"/>
      <c r="E109" s="6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</row>
    <row r="110" spans="2:27" s="25" customFormat="1" ht="15.75" customHeight="1" x14ac:dyDescent="0.2">
      <c r="B110" s="89"/>
      <c r="C110"/>
      <c r="D110"/>
      <c r="E110" s="69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</row>
    <row r="111" spans="2:27" s="25" customFormat="1" ht="15.75" customHeight="1" x14ac:dyDescent="0.2">
      <c r="B111" s="89"/>
      <c r="C111"/>
      <c r="D111"/>
      <c r="E111" s="69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2:27" s="25" customFormat="1" ht="15.75" customHeight="1" x14ac:dyDescent="0.2">
      <c r="B112" s="89"/>
      <c r="C112"/>
      <c r="D112"/>
      <c r="E112" s="69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</row>
    <row r="113" spans="2:27" s="25" customFormat="1" ht="15.75" customHeight="1" x14ac:dyDescent="0.2">
      <c r="B113" s="89"/>
      <c r="C113"/>
      <c r="D113"/>
      <c r="E113" s="69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</row>
    <row r="114" spans="2:27" s="25" customFormat="1" ht="15.75" customHeight="1" x14ac:dyDescent="0.2">
      <c r="B114" s="89"/>
      <c r="C114"/>
      <c r="D114"/>
      <c r="E114" s="69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2:27" s="25" customFormat="1" ht="15.75" customHeight="1" x14ac:dyDescent="0.2">
      <c r="B115" s="89"/>
      <c r="C115"/>
      <c r="D115"/>
      <c r="E115" s="69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</row>
    <row r="116" spans="2:27" s="25" customFormat="1" ht="15.75" customHeight="1" x14ac:dyDescent="0.2">
      <c r="B116" s="89"/>
      <c r="C116"/>
      <c r="D116"/>
      <c r="E116" s="69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</row>
    <row r="117" spans="2:27" s="25" customFormat="1" ht="15.75" customHeight="1" x14ac:dyDescent="0.2">
      <c r="B117" s="89"/>
      <c r="C117"/>
      <c r="D117"/>
      <c r="E117" s="69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</row>
    <row r="118" spans="2:27" s="25" customFormat="1" ht="15.75" customHeight="1" x14ac:dyDescent="0.2">
      <c r="B118" s="89"/>
      <c r="C118"/>
      <c r="D118"/>
      <c r="E118" s="69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</row>
    <row r="119" spans="2:27" s="25" customFormat="1" ht="15.75" customHeight="1" x14ac:dyDescent="0.2">
      <c r="B119" s="89"/>
      <c r="C119"/>
      <c r="D119"/>
      <c r="E119" s="6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</row>
    <row r="120" spans="2:27" s="25" customFormat="1" ht="15.75" customHeight="1" x14ac:dyDescent="0.2">
      <c r="B120" s="89"/>
      <c r="C120"/>
      <c r="D120"/>
      <c r="E120" s="69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</row>
    <row r="121" spans="2:27" s="25" customFormat="1" ht="15.75" customHeight="1" x14ac:dyDescent="0.2">
      <c r="B121" s="89"/>
      <c r="C121"/>
      <c r="D121"/>
      <c r="E121" s="69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</row>
    <row r="122" spans="2:27" s="25" customFormat="1" ht="15.75" customHeight="1" x14ac:dyDescent="0.2">
      <c r="B122" s="89"/>
      <c r="C122"/>
      <c r="D122"/>
      <c r="E122" s="69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</row>
    <row r="123" spans="2:27" s="25" customFormat="1" ht="15.75" customHeight="1" x14ac:dyDescent="0.2">
      <c r="B123" s="89"/>
      <c r="C123"/>
      <c r="D123"/>
      <c r="E123" s="69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2:27" s="25" customFormat="1" ht="15.75" customHeight="1" x14ac:dyDescent="0.2">
      <c r="B124" s="89"/>
      <c r="C124"/>
      <c r="D124"/>
      <c r="E124" s="69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</row>
    <row r="125" spans="2:27" s="25" customFormat="1" ht="15.75" customHeight="1" x14ac:dyDescent="0.2">
      <c r="B125" s="89"/>
      <c r="C125"/>
      <c r="D125"/>
      <c r="E125" s="69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</row>
    <row r="126" spans="2:27" s="25" customFormat="1" ht="15.75" customHeight="1" x14ac:dyDescent="0.2">
      <c r="B126" s="89"/>
      <c r="C126"/>
      <c r="D126"/>
      <c r="E126" s="69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</row>
    <row r="127" spans="2:27" s="25" customFormat="1" ht="15.75" customHeight="1" x14ac:dyDescent="0.2">
      <c r="B127" s="89"/>
      <c r="C127"/>
      <c r="D127"/>
      <c r="E127" s="69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</row>
    <row r="128" spans="2:27" s="25" customFormat="1" ht="15.75" customHeight="1" x14ac:dyDescent="0.2">
      <c r="B128" s="89"/>
      <c r="C128"/>
      <c r="D128"/>
      <c r="E128" s="69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</row>
    <row r="129" spans="2:27" s="25" customFormat="1" ht="15.75" customHeight="1" x14ac:dyDescent="0.2">
      <c r="B129" s="89"/>
      <c r="C129"/>
      <c r="D129"/>
      <c r="E129" s="6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</row>
    <row r="130" spans="2:27" s="25" customFormat="1" ht="15.75" customHeight="1" x14ac:dyDescent="0.2">
      <c r="B130" s="89"/>
      <c r="C130"/>
      <c r="D130"/>
      <c r="E130" s="69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</row>
    <row r="131" spans="2:27" s="25" customFormat="1" ht="15.75" customHeight="1" x14ac:dyDescent="0.2">
      <c r="B131" s="89"/>
      <c r="C131"/>
      <c r="D131"/>
      <c r="E131" s="69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</row>
    <row r="132" spans="2:27" s="25" customFormat="1" ht="15.75" customHeight="1" x14ac:dyDescent="0.2">
      <c r="B132" s="89"/>
      <c r="C132"/>
      <c r="D132"/>
      <c r="E132" s="69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</row>
    <row r="133" spans="2:27" s="25" customFormat="1" ht="15.75" customHeight="1" x14ac:dyDescent="0.2">
      <c r="B133" s="89"/>
      <c r="C133"/>
      <c r="D133"/>
      <c r="E133" s="69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</row>
    <row r="134" spans="2:27" s="25" customFormat="1" ht="15.75" customHeight="1" x14ac:dyDescent="0.2">
      <c r="B134" s="89"/>
      <c r="C134"/>
      <c r="D134"/>
      <c r="E134" s="69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</row>
    <row r="135" spans="2:27" s="25" customFormat="1" ht="15.75" customHeight="1" x14ac:dyDescent="0.2">
      <c r="B135" s="89"/>
      <c r="C135"/>
      <c r="D135"/>
      <c r="E135" s="69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</row>
    <row r="136" spans="2:27" s="25" customFormat="1" ht="15.75" customHeight="1" x14ac:dyDescent="0.2">
      <c r="B136" s="89"/>
      <c r="C136"/>
      <c r="D136"/>
      <c r="E136" s="69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</row>
    <row r="137" spans="2:27" s="25" customFormat="1" ht="15.75" customHeight="1" x14ac:dyDescent="0.2">
      <c r="B137" s="89"/>
      <c r="C137"/>
      <c r="D137"/>
      <c r="E137" s="69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</row>
    <row r="138" spans="2:27" s="25" customFormat="1" ht="15.75" customHeight="1" x14ac:dyDescent="0.2">
      <c r="B138" s="89"/>
      <c r="C138"/>
      <c r="D138"/>
      <c r="E138" s="69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</row>
    <row r="139" spans="2:27" s="25" customFormat="1" ht="15.75" customHeight="1" x14ac:dyDescent="0.2">
      <c r="B139" s="89"/>
      <c r="C139"/>
      <c r="D139"/>
      <c r="E139" s="6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</row>
    <row r="140" spans="2:27" s="25" customFormat="1" ht="15.75" customHeight="1" x14ac:dyDescent="0.2">
      <c r="B140" s="89"/>
      <c r="C140"/>
      <c r="D140"/>
      <c r="E140" s="69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</row>
    <row r="141" spans="2:27" s="25" customFormat="1" ht="15.75" customHeight="1" x14ac:dyDescent="0.2">
      <c r="B141" s="89"/>
      <c r="C141"/>
      <c r="D141"/>
      <c r="E141" s="69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</row>
    <row r="142" spans="2:27" s="25" customFormat="1" ht="15.75" customHeight="1" x14ac:dyDescent="0.2">
      <c r="B142" s="89"/>
      <c r="C142"/>
      <c r="D142"/>
      <c r="E142" s="69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</row>
    <row r="143" spans="2:27" s="25" customFormat="1" ht="15.75" customHeight="1" x14ac:dyDescent="0.2">
      <c r="B143" s="89"/>
      <c r="C143"/>
      <c r="D143"/>
      <c r="E143" s="69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</row>
    <row r="144" spans="2:27" s="25" customFormat="1" ht="15.75" customHeight="1" x14ac:dyDescent="0.2">
      <c r="B144" s="89"/>
      <c r="C144"/>
      <c r="D144"/>
      <c r="E144" s="69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</row>
    <row r="145" spans="2:27" s="25" customFormat="1" ht="15.75" customHeight="1" x14ac:dyDescent="0.2">
      <c r="B145" s="89"/>
      <c r="C145"/>
      <c r="D145"/>
      <c r="E145" s="69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</row>
    <row r="146" spans="2:27" s="25" customFormat="1" ht="15.75" customHeight="1" x14ac:dyDescent="0.2">
      <c r="B146" s="89"/>
      <c r="C146"/>
      <c r="D146"/>
      <c r="E146" s="69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</row>
    <row r="147" spans="2:27" s="25" customFormat="1" ht="15.75" customHeight="1" x14ac:dyDescent="0.2">
      <c r="B147" s="89"/>
      <c r="C147"/>
      <c r="D147"/>
      <c r="E147" s="69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</row>
    <row r="148" spans="2:27" s="25" customFormat="1" ht="15.75" customHeight="1" x14ac:dyDescent="0.2">
      <c r="B148" s="89"/>
      <c r="C148"/>
      <c r="D148"/>
      <c r="E148" s="69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</row>
    <row r="149" spans="2:27" s="25" customFormat="1" ht="15.75" customHeight="1" x14ac:dyDescent="0.2">
      <c r="B149" s="89"/>
      <c r="C149"/>
      <c r="D149"/>
      <c r="E149" s="6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</row>
    <row r="150" spans="2:27" s="25" customFormat="1" ht="15.75" customHeight="1" x14ac:dyDescent="0.2">
      <c r="B150" s="89"/>
      <c r="C150"/>
      <c r="D150"/>
      <c r="E150" s="69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</row>
    <row r="151" spans="2:27" s="25" customFormat="1" ht="15.75" customHeight="1" x14ac:dyDescent="0.2">
      <c r="B151" s="89"/>
      <c r="C151"/>
      <c r="D151"/>
      <c r="E151" s="69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</row>
    <row r="152" spans="2:27" s="25" customFormat="1" ht="15.75" customHeight="1" x14ac:dyDescent="0.2">
      <c r="B152" s="89"/>
      <c r="C152"/>
      <c r="D152"/>
      <c r="E152" s="69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</row>
    <row r="153" spans="2:27" s="25" customFormat="1" ht="15.75" customHeight="1" x14ac:dyDescent="0.2">
      <c r="B153" s="89"/>
      <c r="C153"/>
      <c r="D153"/>
      <c r="E153" s="69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</row>
    <row r="154" spans="2:27" s="25" customFormat="1" ht="15.75" customHeight="1" x14ac:dyDescent="0.2">
      <c r="B154" s="89"/>
      <c r="C154"/>
      <c r="D154"/>
      <c r="E154" s="69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</row>
    <row r="155" spans="2:27" s="25" customFormat="1" ht="15.75" customHeight="1" x14ac:dyDescent="0.2">
      <c r="B155" s="89"/>
      <c r="C155"/>
      <c r="D155"/>
      <c r="E155" s="69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</row>
    <row r="156" spans="2:27" s="25" customFormat="1" ht="15.75" customHeight="1" x14ac:dyDescent="0.2">
      <c r="B156" s="89"/>
      <c r="C156"/>
      <c r="D156"/>
      <c r="E156" s="69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</row>
    <row r="157" spans="2:27" s="25" customFormat="1" ht="15.75" customHeight="1" x14ac:dyDescent="0.2">
      <c r="B157" s="89"/>
      <c r="C157"/>
      <c r="D157"/>
      <c r="E157" s="69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</row>
    <row r="158" spans="2:27" s="25" customFormat="1" ht="15.75" customHeight="1" x14ac:dyDescent="0.2">
      <c r="B158" s="89"/>
      <c r="C158"/>
      <c r="D158"/>
      <c r="E158" s="69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</row>
    <row r="159" spans="2:27" s="25" customFormat="1" ht="15.75" customHeight="1" x14ac:dyDescent="0.2">
      <c r="B159" s="89"/>
      <c r="C159"/>
      <c r="D159"/>
      <c r="E159" s="6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</row>
    <row r="160" spans="2:27" s="25" customFormat="1" ht="15.75" customHeight="1" x14ac:dyDescent="0.2">
      <c r="B160" s="89"/>
      <c r="C160"/>
      <c r="D160"/>
      <c r="E160" s="69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</row>
    <row r="161" spans="2:27" s="25" customFormat="1" ht="15.75" customHeight="1" x14ac:dyDescent="0.2">
      <c r="B161" s="89"/>
      <c r="C161"/>
      <c r="D161"/>
      <c r="E161" s="69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</row>
    <row r="162" spans="2:27" s="25" customFormat="1" ht="15.75" customHeight="1" x14ac:dyDescent="0.2">
      <c r="B162" s="89"/>
      <c r="C162"/>
      <c r="D162"/>
      <c r="E162" s="69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</row>
    <row r="163" spans="2:27" s="25" customFormat="1" ht="15.75" customHeight="1" x14ac:dyDescent="0.2">
      <c r="B163" s="89"/>
      <c r="C163"/>
      <c r="D163"/>
      <c r="E163" s="69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</row>
    <row r="164" spans="2:27" s="25" customFormat="1" ht="15.75" customHeight="1" x14ac:dyDescent="0.2">
      <c r="B164" s="89"/>
      <c r="C164"/>
      <c r="D164"/>
      <c r="E164" s="69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</row>
    <row r="165" spans="2:27" s="25" customFormat="1" ht="15.75" customHeight="1" x14ac:dyDescent="0.2">
      <c r="B165" s="89"/>
      <c r="C165"/>
      <c r="D165"/>
      <c r="E165" s="69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</row>
    <row r="166" spans="2:27" s="25" customFormat="1" ht="15.75" customHeight="1" x14ac:dyDescent="0.2">
      <c r="B166" s="89"/>
      <c r="C166"/>
      <c r="D166"/>
      <c r="E166" s="69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</row>
    <row r="167" spans="2:27" s="25" customFormat="1" ht="15.75" customHeight="1" x14ac:dyDescent="0.2">
      <c r="B167" s="89"/>
      <c r="C167"/>
      <c r="D167"/>
      <c r="E167" s="69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</row>
    <row r="168" spans="2:27" s="25" customFormat="1" ht="15.75" customHeight="1" x14ac:dyDescent="0.2">
      <c r="B168" s="89"/>
      <c r="C168"/>
      <c r="D168"/>
      <c r="E168" s="69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</row>
    <row r="169" spans="2:27" s="25" customFormat="1" ht="15.75" customHeight="1" x14ac:dyDescent="0.2">
      <c r="B169" s="89"/>
      <c r="C169"/>
      <c r="D169"/>
      <c r="E169" s="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</row>
    <row r="170" spans="2:27" s="25" customFormat="1" ht="15.75" customHeight="1" x14ac:dyDescent="0.2">
      <c r="B170" s="89"/>
      <c r="C170"/>
      <c r="D170"/>
      <c r="E170" s="69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</row>
    <row r="171" spans="2:27" s="25" customFormat="1" ht="15.75" customHeight="1" x14ac:dyDescent="0.2">
      <c r="B171" s="89"/>
      <c r="C171"/>
      <c r="D171"/>
      <c r="E171" s="69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</row>
    <row r="172" spans="2:27" s="25" customFormat="1" ht="15.75" customHeight="1" x14ac:dyDescent="0.2">
      <c r="B172" s="89"/>
      <c r="C172"/>
      <c r="D172"/>
      <c r="E172" s="69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</row>
    <row r="173" spans="2:27" s="25" customFormat="1" ht="15.75" customHeight="1" x14ac:dyDescent="0.2">
      <c r="B173" s="89"/>
      <c r="C173"/>
      <c r="D173"/>
      <c r="E173" s="69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</row>
    <row r="174" spans="2:27" s="25" customFormat="1" ht="15.75" customHeight="1" x14ac:dyDescent="0.2">
      <c r="B174" s="89"/>
      <c r="C174"/>
      <c r="D174"/>
      <c r="E174" s="69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</row>
    <row r="175" spans="2:27" s="25" customFormat="1" ht="15.75" customHeight="1" x14ac:dyDescent="0.2">
      <c r="B175" s="89"/>
      <c r="C175"/>
      <c r="D175"/>
      <c r="E175" s="69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</row>
    <row r="176" spans="2:27" s="25" customFormat="1" ht="15.75" customHeight="1" x14ac:dyDescent="0.2">
      <c r="B176" s="89"/>
      <c r="C176"/>
      <c r="D176"/>
      <c r="E176" s="69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</row>
    <row r="177" spans="2:27" s="25" customFormat="1" ht="15.75" customHeight="1" x14ac:dyDescent="0.2">
      <c r="B177" s="89"/>
      <c r="C177"/>
      <c r="D177"/>
      <c r="E177" s="69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</row>
    <row r="178" spans="2:27" s="25" customFormat="1" ht="15.75" customHeight="1" x14ac:dyDescent="0.2">
      <c r="B178" s="89"/>
      <c r="C178"/>
      <c r="D178"/>
      <c r="E178" s="69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</row>
    <row r="179" spans="2:27" s="25" customFormat="1" ht="15.75" customHeight="1" x14ac:dyDescent="0.2">
      <c r="B179" s="89"/>
      <c r="C179"/>
      <c r="D179"/>
      <c r="E179" s="6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</row>
    <row r="180" spans="2:27" s="25" customFormat="1" ht="15.75" customHeight="1" x14ac:dyDescent="0.2">
      <c r="B180" s="89"/>
      <c r="C180"/>
      <c r="D180"/>
      <c r="E180" s="69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</row>
    <row r="181" spans="2:27" s="25" customFormat="1" ht="15.75" customHeight="1" x14ac:dyDescent="0.2">
      <c r="B181" s="89"/>
      <c r="C181"/>
      <c r="D181"/>
      <c r="E181" s="69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</row>
    <row r="182" spans="2:27" s="25" customFormat="1" ht="15.75" customHeight="1" x14ac:dyDescent="0.2">
      <c r="B182" s="89"/>
      <c r="C182"/>
      <c r="D182"/>
      <c r="E182" s="69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</row>
    <row r="183" spans="2:27" s="25" customFormat="1" ht="15.75" customHeight="1" x14ac:dyDescent="0.2">
      <c r="B183" s="89"/>
      <c r="C183"/>
      <c r="D183"/>
      <c r="E183" s="69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</row>
    <row r="184" spans="2:27" s="25" customFormat="1" ht="15.75" customHeight="1" x14ac:dyDescent="0.2">
      <c r="B184" s="89"/>
      <c r="C184"/>
      <c r="D184"/>
      <c r="E184" s="69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</row>
    <row r="185" spans="2:27" s="25" customFormat="1" ht="15.75" customHeight="1" x14ac:dyDescent="0.2">
      <c r="B185" s="89"/>
      <c r="C185"/>
      <c r="D185"/>
      <c r="E185" s="69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</row>
    <row r="186" spans="2:27" s="25" customFormat="1" ht="15.75" customHeight="1" x14ac:dyDescent="0.2">
      <c r="B186" s="89"/>
      <c r="C186"/>
      <c r="D186"/>
      <c r="E186" s="69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</row>
    <row r="187" spans="2:27" s="25" customFormat="1" ht="15.75" customHeight="1" x14ac:dyDescent="0.2">
      <c r="B187" s="89"/>
      <c r="C187"/>
      <c r="D187"/>
      <c r="E187" s="69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</row>
    <row r="188" spans="2:27" s="25" customFormat="1" ht="15.75" customHeight="1" x14ac:dyDescent="0.2">
      <c r="B188" s="89"/>
      <c r="C188"/>
      <c r="D188"/>
      <c r="E188" s="69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</row>
    <row r="189" spans="2:27" s="25" customFormat="1" ht="15.75" customHeight="1" x14ac:dyDescent="0.2">
      <c r="B189" s="89"/>
      <c r="C189"/>
      <c r="D189"/>
      <c r="E189" s="6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</row>
    <row r="190" spans="2:27" s="25" customFormat="1" ht="15.75" customHeight="1" x14ac:dyDescent="0.2">
      <c r="B190" s="89"/>
      <c r="C190"/>
      <c r="D190"/>
      <c r="E190" s="69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</row>
    <row r="191" spans="2:27" s="25" customFormat="1" ht="15.75" customHeight="1" x14ac:dyDescent="0.2">
      <c r="B191" s="89"/>
      <c r="C191"/>
      <c r="D191"/>
      <c r="E191" s="69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</row>
    <row r="192" spans="2:27" s="25" customFormat="1" ht="15.75" customHeight="1" x14ac:dyDescent="0.2">
      <c r="B192" s="89"/>
      <c r="C192"/>
      <c r="D192"/>
      <c r="E192" s="69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</row>
    <row r="193" spans="2:27" s="25" customFormat="1" ht="15.75" customHeight="1" x14ac:dyDescent="0.2">
      <c r="B193" s="89"/>
      <c r="C193"/>
      <c r="D193"/>
      <c r="E193" s="69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</row>
    <row r="194" spans="2:27" s="25" customFormat="1" ht="15.75" customHeight="1" x14ac:dyDescent="0.2">
      <c r="B194" s="89"/>
      <c r="C194"/>
      <c r="D194"/>
      <c r="E194" s="69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</row>
    <row r="195" spans="2:27" s="25" customFormat="1" ht="15.75" customHeight="1" x14ac:dyDescent="0.2">
      <c r="B195" s="89"/>
      <c r="C195"/>
      <c r="D195"/>
      <c r="E195" s="69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</row>
    <row r="196" spans="2:27" s="25" customFormat="1" ht="15.75" customHeight="1" x14ac:dyDescent="0.2">
      <c r="B196" s="89"/>
      <c r="C196"/>
      <c r="D196"/>
      <c r="E196" s="69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</row>
    <row r="197" spans="2:27" s="25" customFormat="1" ht="15.75" customHeight="1" x14ac:dyDescent="0.2">
      <c r="B197" s="89"/>
      <c r="C197"/>
      <c r="D197"/>
      <c r="E197" s="69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</row>
    <row r="198" spans="2:27" s="25" customFormat="1" ht="15.75" customHeight="1" x14ac:dyDescent="0.2">
      <c r="B198" s="89"/>
      <c r="C198"/>
      <c r="D198"/>
      <c r="E198" s="69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</row>
    <row r="199" spans="2:27" s="25" customFormat="1" ht="15.75" customHeight="1" x14ac:dyDescent="0.2">
      <c r="B199" s="89"/>
      <c r="C199"/>
      <c r="D199"/>
      <c r="E199" s="6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</row>
    <row r="200" spans="2:27" s="25" customFormat="1" ht="15.75" customHeight="1" x14ac:dyDescent="0.2">
      <c r="B200" s="89"/>
      <c r="C200"/>
      <c r="D200"/>
      <c r="E200" s="69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</row>
    <row r="201" spans="2:27" s="25" customFormat="1" ht="15.75" customHeight="1" x14ac:dyDescent="0.2">
      <c r="B201" s="89"/>
      <c r="C201"/>
      <c r="D201"/>
      <c r="E201" s="69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</row>
    <row r="202" spans="2:27" s="25" customFormat="1" ht="15.75" customHeight="1" x14ac:dyDescent="0.2">
      <c r="B202" s="89"/>
      <c r="C202"/>
      <c r="D202"/>
      <c r="E202" s="69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</row>
    <row r="203" spans="2:27" s="25" customFormat="1" ht="15.75" customHeight="1" x14ac:dyDescent="0.2">
      <c r="B203" s="89"/>
      <c r="C203"/>
      <c r="D203"/>
      <c r="E203" s="69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</row>
    <row r="204" spans="2:27" s="25" customFormat="1" ht="15.75" customHeight="1" x14ac:dyDescent="0.2">
      <c r="B204" s="89"/>
      <c r="C204"/>
      <c r="D204"/>
      <c r="E204" s="69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</row>
    <row r="205" spans="2:27" s="25" customFormat="1" ht="15.75" customHeight="1" x14ac:dyDescent="0.2">
      <c r="B205" s="89"/>
      <c r="C205"/>
      <c r="D205"/>
      <c r="E205" s="69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</row>
    <row r="206" spans="2:27" s="25" customFormat="1" ht="15.75" customHeight="1" x14ac:dyDescent="0.2">
      <c r="B206" s="89"/>
      <c r="C206"/>
      <c r="D206"/>
      <c r="E206" s="69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</row>
    <row r="207" spans="2:27" s="25" customFormat="1" ht="15.75" customHeight="1" x14ac:dyDescent="0.2">
      <c r="B207" s="89"/>
      <c r="C207"/>
      <c r="D207"/>
      <c r="E207" s="69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</row>
    <row r="208" spans="2:27" s="25" customFormat="1" ht="15.75" customHeight="1" x14ac:dyDescent="0.2">
      <c r="B208" s="89"/>
      <c r="C208"/>
      <c r="D208"/>
      <c r="E208" s="69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</row>
    <row r="209" spans="2:27" s="25" customFormat="1" ht="15.75" customHeight="1" x14ac:dyDescent="0.2">
      <c r="B209" s="89"/>
      <c r="C209"/>
      <c r="D209"/>
      <c r="E209" s="6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</row>
    <row r="210" spans="2:27" s="25" customFormat="1" ht="15.75" customHeight="1" x14ac:dyDescent="0.2">
      <c r="B210" s="89"/>
      <c r="C210"/>
      <c r="D210"/>
      <c r="E210" s="69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</row>
    <row r="211" spans="2:27" s="25" customFormat="1" ht="15.75" customHeight="1" x14ac:dyDescent="0.2">
      <c r="B211" s="89"/>
      <c r="C211"/>
      <c r="D211"/>
      <c r="E211" s="69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</row>
    <row r="212" spans="2:27" s="25" customFormat="1" ht="15.75" customHeight="1" x14ac:dyDescent="0.2">
      <c r="B212" s="89"/>
      <c r="C212"/>
      <c r="D212"/>
      <c r="E212" s="69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</row>
    <row r="213" spans="2:27" s="25" customFormat="1" ht="15.75" customHeight="1" x14ac:dyDescent="0.2">
      <c r="B213" s="89"/>
      <c r="C213"/>
      <c r="D213"/>
      <c r="E213" s="69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</row>
    <row r="214" spans="2:27" s="25" customFormat="1" ht="15.75" customHeight="1" x14ac:dyDescent="0.2">
      <c r="B214" s="89"/>
      <c r="C214"/>
      <c r="D214"/>
      <c r="E214" s="69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</row>
    <row r="215" spans="2:27" s="25" customFormat="1" ht="15.75" customHeight="1" x14ac:dyDescent="0.2">
      <c r="B215" s="89"/>
      <c r="C215"/>
      <c r="D215"/>
      <c r="E215" s="69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</row>
    <row r="216" spans="2:27" s="25" customFormat="1" ht="15.75" customHeight="1" x14ac:dyDescent="0.2">
      <c r="B216" s="89"/>
      <c r="C216"/>
      <c r="D216"/>
      <c r="E216" s="69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</row>
    <row r="217" spans="2:27" s="25" customFormat="1" ht="15.75" customHeight="1" x14ac:dyDescent="0.2">
      <c r="B217" s="89"/>
      <c r="C217"/>
      <c r="D217"/>
      <c r="E217" s="69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</row>
    <row r="218" spans="2:27" s="25" customFormat="1" ht="15.75" customHeight="1" x14ac:dyDescent="0.2">
      <c r="B218" s="89"/>
      <c r="C218"/>
      <c r="D218"/>
      <c r="E218" s="69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</row>
    <row r="219" spans="2:27" s="25" customFormat="1" ht="15.75" customHeight="1" x14ac:dyDescent="0.2">
      <c r="B219" s="89"/>
      <c r="C219"/>
      <c r="D219"/>
      <c r="E219" s="6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</row>
    <row r="220" spans="2:27" s="25" customFormat="1" ht="15.75" customHeight="1" x14ac:dyDescent="0.2">
      <c r="B220" s="89"/>
      <c r="C220"/>
      <c r="D220"/>
      <c r="E220" s="69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</row>
    <row r="221" spans="2:27" s="25" customFormat="1" ht="15.75" customHeight="1" x14ac:dyDescent="0.2">
      <c r="B221" s="89"/>
      <c r="C221"/>
      <c r="D221"/>
      <c r="E221" s="69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</row>
    <row r="222" spans="2:27" s="25" customFormat="1" ht="15.75" customHeight="1" x14ac:dyDescent="0.2">
      <c r="B222" s="89"/>
      <c r="C222"/>
      <c r="D222"/>
      <c r="E222" s="69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</row>
    <row r="223" spans="2:27" s="25" customFormat="1" ht="15.75" customHeight="1" x14ac:dyDescent="0.2">
      <c r="B223" s="89"/>
      <c r="C223"/>
      <c r="D223"/>
      <c r="E223" s="69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</row>
    <row r="224" spans="2:27" s="25" customFormat="1" ht="15.75" customHeight="1" x14ac:dyDescent="0.2">
      <c r="B224" s="89"/>
      <c r="C224"/>
      <c r="D224"/>
      <c r="E224" s="69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</row>
    <row r="225" spans="2:27" s="25" customFormat="1" ht="15.75" customHeight="1" x14ac:dyDescent="0.2">
      <c r="B225" s="89"/>
      <c r="C225"/>
      <c r="D225"/>
      <c r="E225" s="69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</row>
    <row r="226" spans="2:27" s="25" customFormat="1" ht="15.75" customHeight="1" x14ac:dyDescent="0.2">
      <c r="B226" s="89"/>
      <c r="C226"/>
      <c r="D226"/>
      <c r="E226" s="69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</row>
    <row r="227" spans="2:27" s="25" customFormat="1" ht="15.75" customHeight="1" x14ac:dyDescent="0.2">
      <c r="B227" s="89"/>
      <c r="C227"/>
      <c r="D227"/>
      <c r="E227" s="69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</row>
    <row r="228" spans="2:27" s="25" customFormat="1" ht="15.75" customHeight="1" x14ac:dyDescent="0.2">
      <c r="B228" s="89"/>
      <c r="C228"/>
      <c r="D228"/>
      <c r="E228" s="69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</row>
    <row r="229" spans="2:27" s="25" customFormat="1" ht="15.75" customHeight="1" x14ac:dyDescent="0.2">
      <c r="B229" s="89"/>
      <c r="C229"/>
      <c r="D229"/>
      <c r="E229" s="6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</row>
    <row r="230" spans="2:27" s="25" customFormat="1" ht="15.75" customHeight="1" x14ac:dyDescent="0.2">
      <c r="B230" s="89"/>
      <c r="C230"/>
      <c r="D230"/>
      <c r="E230" s="69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</row>
    <row r="231" spans="2:27" s="25" customFormat="1" ht="15.75" customHeight="1" x14ac:dyDescent="0.2">
      <c r="B231" s="89"/>
      <c r="C231"/>
      <c r="D231"/>
      <c r="E231" s="69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</row>
    <row r="232" spans="2:27" s="25" customFormat="1" ht="15.75" customHeight="1" x14ac:dyDescent="0.2">
      <c r="B232" s="89"/>
      <c r="C232"/>
      <c r="D232"/>
      <c r="E232" s="69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</row>
    <row r="233" spans="2:27" s="25" customFormat="1" ht="15.75" customHeight="1" x14ac:dyDescent="0.2">
      <c r="B233" s="89"/>
      <c r="C233"/>
      <c r="D233"/>
      <c r="E233" s="69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</row>
    <row r="234" spans="2:27" s="25" customFormat="1" ht="15.75" customHeight="1" x14ac:dyDescent="0.2">
      <c r="B234" s="89"/>
      <c r="C234"/>
      <c r="D234"/>
      <c r="E234" s="69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</row>
    <row r="235" spans="2:27" s="25" customFormat="1" ht="15.75" customHeight="1" x14ac:dyDescent="0.2">
      <c r="B235" s="89"/>
      <c r="C235"/>
      <c r="D235"/>
      <c r="E235" s="69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</row>
    <row r="236" spans="2:27" s="25" customFormat="1" ht="15.75" customHeight="1" x14ac:dyDescent="0.2">
      <c r="B236" s="89"/>
      <c r="C236"/>
      <c r="D236"/>
      <c r="E236" s="69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</row>
    <row r="237" spans="2:27" s="25" customFormat="1" ht="15.75" customHeight="1" x14ac:dyDescent="0.2">
      <c r="B237" s="89"/>
      <c r="C237"/>
      <c r="D237"/>
      <c r="E237" s="69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</row>
    <row r="238" spans="2:27" s="25" customFormat="1" ht="15.75" customHeight="1" x14ac:dyDescent="0.2">
      <c r="B238" s="89"/>
      <c r="C238"/>
      <c r="D238"/>
      <c r="E238" s="69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</row>
    <row r="239" spans="2:27" s="25" customFormat="1" ht="15.75" customHeight="1" x14ac:dyDescent="0.2">
      <c r="B239" s="89"/>
      <c r="C239"/>
      <c r="D239"/>
      <c r="E239" s="6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</row>
    <row r="240" spans="2:27" s="25" customFormat="1" ht="15.75" customHeight="1" x14ac:dyDescent="0.2">
      <c r="B240" s="89"/>
      <c r="C240"/>
      <c r="D240"/>
      <c r="E240" s="69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</row>
    <row r="241" spans="2:27" s="25" customFormat="1" ht="15.75" customHeight="1" x14ac:dyDescent="0.2">
      <c r="B241" s="89"/>
      <c r="C241"/>
      <c r="D241"/>
      <c r="E241" s="69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</row>
    <row r="242" spans="2:27" s="25" customFormat="1" ht="15.75" customHeight="1" x14ac:dyDescent="0.2">
      <c r="B242" s="89"/>
      <c r="C242"/>
      <c r="D242"/>
      <c r="E242" s="69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</row>
    <row r="243" spans="2:27" s="25" customFormat="1" ht="15.75" customHeight="1" x14ac:dyDescent="0.2">
      <c r="B243" s="89"/>
      <c r="C243"/>
      <c r="D243"/>
      <c r="E243" s="69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</row>
    <row r="244" spans="2:27" s="25" customFormat="1" ht="15.75" customHeight="1" x14ac:dyDescent="0.2">
      <c r="B244" s="89"/>
      <c r="C244"/>
      <c r="D244"/>
      <c r="E244" s="69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</row>
    <row r="245" spans="2:27" s="25" customFormat="1" ht="15.75" customHeight="1" x14ac:dyDescent="0.2">
      <c r="B245" s="89"/>
      <c r="C245"/>
      <c r="D245"/>
      <c r="E245" s="69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</row>
    <row r="246" spans="2:27" s="25" customFormat="1" ht="15.75" customHeight="1" x14ac:dyDescent="0.2">
      <c r="B246" s="89"/>
      <c r="C246"/>
      <c r="D246"/>
      <c r="E246" s="69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</row>
    <row r="247" spans="2:27" s="25" customFormat="1" ht="15.75" customHeight="1" x14ac:dyDescent="0.2">
      <c r="B247" s="89"/>
      <c r="C247"/>
      <c r="D247"/>
      <c r="E247" s="69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</row>
    <row r="248" spans="2:27" s="25" customFormat="1" ht="15.75" customHeight="1" x14ac:dyDescent="0.2">
      <c r="B248" s="89"/>
      <c r="C248"/>
      <c r="D248"/>
      <c r="E248" s="69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</row>
    <row r="249" spans="2:27" s="25" customFormat="1" ht="15.75" customHeight="1" x14ac:dyDescent="0.2">
      <c r="B249" s="89"/>
      <c r="C249"/>
      <c r="D249"/>
      <c r="E249" s="6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</row>
    <row r="250" spans="2:27" s="25" customFormat="1" ht="15.75" customHeight="1" x14ac:dyDescent="0.2">
      <c r="B250" s="89"/>
      <c r="C250"/>
      <c r="D250"/>
      <c r="E250" s="69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</row>
    <row r="251" spans="2:27" s="25" customFormat="1" ht="15.75" customHeight="1" x14ac:dyDescent="0.2">
      <c r="B251" s="89"/>
      <c r="C251"/>
      <c r="D251"/>
      <c r="E251" s="69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</row>
    <row r="252" spans="2:27" s="25" customFormat="1" ht="15.75" customHeight="1" x14ac:dyDescent="0.2">
      <c r="B252" s="89"/>
      <c r="C252"/>
      <c r="D252"/>
      <c r="E252" s="69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</row>
    <row r="253" spans="2:27" s="25" customFormat="1" ht="15.75" customHeight="1" x14ac:dyDescent="0.2">
      <c r="B253" s="89"/>
      <c r="C253"/>
      <c r="D253"/>
      <c r="E253" s="69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</row>
    <row r="254" spans="2:27" s="25" customFormat="1" ht="15.75" customHeight="1" x14ac:dyDescent="0.2">
      <c r="B254" s="89"/>
      <c r="C254"/>
      <c r="D254"/>
      <c r="E254" s="69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</row>
    <row r="255" spans="2:27" s="25" customFormat="1" ht="15.75" customHeight="1" x14ac:dyDescent="0.2">
      <c r="B255" s="89"/>
      <c r="C255"/>
      <c r="D255"/>
      <c r="E255" s="69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</row>
    <row r="256" spans="2:27" s="25" customFormat="1" ht="15.75" customHeight="1" x14ac:dyDescent="0.2">
      <c r="B256" s="89"/>
      <c r="C256"/>
      <c r="D256"/>
      <c r="E256" s="69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</row>
    <row r="257" spans="2:27" s="25" customFormat="1" ht="15.75" customHeight="1" x14ac:dyDescent="0.2">
      <c r="B257" s="89"/>
      <c r="C257"/>
      <c r="D257"/>
      <c r="E257" s="69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</row>
    <row r="258" spans="2:27" s="25" customFormat="1" ht="15.75" customHeight="1" x14ac:dyDescent="0.2">
      <c r="B258" s="89"/>
      <c r="C258"/>
      <c r="D258"/>
      <c r="E258" s="69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</row>
    <row r="259" spans="2:27" s="25" customFormat="1" ht="15.75" customHeight="1" x14ac:dyDescent="0.2">
      <c r="B259" s="89"/>
      <c r="C259"/>
      <c r="D259"/>
      <c r="E259" s="6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</row>
    <row r="260" spans="2:27" s="25" customFormat="1" ht="15.75" customHeight="1" x14ac:dyDescent="0.2">
      <c r="B260" s="89"/>
      <c r="C260"/>
      <c r="D260"/>
      <c r="E260" s="69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</row>
    <row r="261" spans="2:27" s="25" customFormat="1" ht="15.75" customHeight="1" x14ac:dyDescent="0.2">
      <c r="B261" s="89"/>
      <c r="C261"/>
      <c r="D261"/>
      <c r="E261" s="69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</row>
    <row r="262" spans="2:27" s="25" customFormat="1" ht="15.75" customHeight="1" x14ac:dyDescent="0.2">
      <c r="B262" s="89"/>
      <c r="C262"/>
      <c r="D262"/>
      <c r="E262" s="69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</row>
    <row r="263" spans="2:27" s="25" customFormat="1" ht="15.75" customHeight="1" x14ac:dyDescent="0.2">
      <c r="B263" s="89"/>
      <c r="C263"/>
      <c r="D263"/>
      <c r="E263" s="69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</row>
    <row r="264" spans="2:27" s="25" customFormat="1" ht="15.75" customHeight="1" x14ac:dyDescent="0.2">
      <c r="B264" s="89"/>
      <c r="C264"/>
      <c r="D264"/>
      <c r="E264" s="69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</row>
    <row r="265" spans="2:27" s="25" customFormat="1" ht="15.75" customHeight="1" x14ac:dyDescent="0.2">
      <c r="B265" s="89"/>
      <c r="C265"/>
      <c r="D265"/>
      <c r="E265" s="69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</row>
    <row r="266" spans="2:27" s="25" customFormat="1" ht="15.75" customHeight="1" x14ac:dyDescent="0.2">
      <c r="B266" s="89"/>
      <c r="C266"/>
      <c r="D266"/>
      <c r="E266" s="69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</row>
    <row r="267" spans="2:27" s="25" customFormat="1" ht="15.75" customHeight="1" x14ac:dyDescent="0.2">
      <c r="B267" s="89"/>
      <c r="C267"/>
      <c r="D267"/>
      <c r="E267" s="69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</row>
    <row r="268" spans="2:27" s="25" customFormat="1" ht="15.75" customHeight="1" x14ac:dyDescent="0.2">
      <c r="B268" s="89"/>
      <c r="C268"/>
      <c r="D268"/>
      <c r="E268" s="69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</row>
    <row r="269" spans="2:27" s="25" customFormat="1" ht="15.75" customHeight="1" x14ac:dyDescent="0.2">
      <c r="B269" s="89"/>
      <c r="C269"/>
      <c r="D269"/>
      <c r="E269" s="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</row>
    <row r="270" spans="2:27" s="25" customFormat="1" ht="15.75" customHeight="1" x14ac:dyDescent="0.2">
      <c r="B270" s="89"/>
      <c r="C270"/>
      <c r="D270"/>
      <c r="E270" s="69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</row>
    <row r="271" spans="2:27" s="25" customFormat="1" ht="15.75" customHeight="1" x14ac:dyDescent="0.2">
      <c r="B271" s="89"/>
      <c r="C271"/>
      <c r="D271"/>
      <c r="E271" s="69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</row>
    <row r="272" spans="2:27" s="25" customFormat="1" ht="15.75" customHeight="1" x14ac:dyDescent="0.2">
      <c r="B272" s="89"/>
      <c r="C272"/>
      <c r="D272"/>
      <c r="E272" s="69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</row>
    <row r="273" spans="2:27" s="25" customFormat="1" ht="15.75" customHeight="1" x14ac:dyDescent="0.2">
      <c r="B273" s="89"/>
      <c r="C273"/>
      <c r="D273"/>
      <c r="E273" s="69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</row>
    <row r="274" spans="2:27" s="25" customFormat="1" ht="15.75" customHeight="1" x14ac:dyDescent="0.2">
      <c r="B274" s="89"/>
      <c r="C274"/>
      <c r="D274"/>
      <c r="E274" s="69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</row>
    <row r="275" spans="2:27" s="25" customFormat="1" ht="15.75" customHeight="1" x14ac:dyDescent="0.2">
      <c r="B275" s="89"/>
      <c r="C275"/>
      <c r="D275"/>
      <c r="E275" s="69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</row>
    <row r="276" spans="2:27" s="25" customFormat="1" ht="15.75" customHeight="1" x14ac:dyDescent="0.2">
      <c r="B276" s="89"/>
      <c r="C276"/>
      <c r="D276"/>
      <c r="E276" s="69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</row>
    <row r="277" spans="2:27" s="25" customFormat="1" ht="15.75" customHeight="1" x14ac:dyDescent="0.2">
      <c r="B277" s="89"/>
      <c r="C277"/>
      <c r="D277"/>
      <c r="E277" s="69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</row>
    <row r="278" spans="2:27" s="25" customFormat="1" ht="15.75" customHeight="1" x14ac:dyDescent="0.2">
      <c r="B278" s="89"/>
      <c r="C278"/>
      <c r="D278"/>
      <c r="E278" s="69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</row>
    <row r="279" spans="2:27" s="25" customFormat="1" ht="15.75" customHeight="1" x14ac:dyDescent="0.2">
      <c r="B279" s="89"/>
      <c r="C279"/>
      <c r="D279"/>
      <c r="E279" s="6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</row>
    <row r="280" spans="2:27" s="25" customFormat="1" ht="15.75" customHeight="1" x14ac:dyDescent="0.2">
      <c r="B280" s="89"/>
      <c r="C280"/>
      <c r="D280"/>
      <c r="E280" s="69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</row>
    <row r="281" spans="2:27" s="25" customFormat="1" ht="15.75" customHeight="1" x14ac:dyDescent="0.2">
      <c r="B281" s="89"/>
      <c r="C281"/>
      <c r="D281"/>
      <c r="E281" s="69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</row>
    <row r="282" spans="2:27" s="25" customFormat="1" ht="15.75" customHeight="1" x14ac:dyDescent="0.2">
      <c r="B282" s="89"/>
      <c r="C282"/>
      <c r="D282"/>
      <c r="E282" s="69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</row>
    <row r="283" spans="2:27" s="25" customFormat="1" ht="15.75" customHeight="1" x14ac:dyDescent="0.2">
      <c r="B283" s="89"/>
      <c r="C283"/>
      <c r="D283"/>
      <c r="E283" s="69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</row>
    <row r="284" spans="2:27" s="25" customFormat="1" ht="15.75" customHeight="1" x14ac:dyDescent="0.2">
      <c r="B284" s="89"/>
      <c r="C284"/>
      <c r="D284"/>
      <c r="E284" s="69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</row>
    <row r="285" spans="2:27" s="25" customFormat="1" ht="15.75" customHeight="1" x14ac:dyDescent="0.2">
      <c r="B285" s="89"/>
      <c r="C285"/>
      <c r="D285"/>
      <c r="E285" s="69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</row>
    <row r="286" spans="2:27" s="25" customFormat="1" ht="15.75" customHeight="1" x14ac:dyDescent="0.2">
      <c r="B286" s="89"/>
      <c r="C286"/>
      <c r="D286"/>
      <c r="E286" s="69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</row>
    <row r="287" spans="2:27" s="25" customFormat="1" ht="15.75" customHeight="1" x14ac:dyDescent="0.2">
      <c r="B287" s="89"/>
      <c r="C287"/>
      <c r="D287"/>
      <c r="E287" s="69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</row>
    <row r="288" spans="2:27" s="25" customFormat="1" ht="15.75" customHeight="1" x14ac:dyDescent="0.2">
      <c r="B288" s="89"/>
      <c r="C288"/>
      <c r="D288"/>
      <c r="E288" s="69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</row>
    <row r="289" spans="2:27" s="25" customFormat="1" ht="15.75" customHeight="1" x14ac:dyDescent="0.2">
      <c r="B289" s="89"/>
      <c r="C289"/>
      <c r="D289"/>
      <c r="E289" s="6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</row>
    <row r="290" spans="2:27" s="25" customFormat="1" ht="15.75" customHeight="1" x14ac:dyDescent="0.2">
      <c r="B290" s="89"/>
      <c r="C290"/>
      <c r="D290"/>
      <c r="E290" s="69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</row>
    <row r="291" spans="2:27" s="25" customFormat="1" ht="15.75" customHeight="1" x14ac:dyDescent="0.2">
      <c r="B291" s="89"/>
      <c r="C291"/>
      <c r="D291"/>
      <c r="E291" s="69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</row>
    <row r="292" spans="2:27" s="25" customFormat="1" ht="15.75" customHeight="1" x14ac:dyDescent="0.2">
      <c r="B292" s="89"/>
      <c r="C292"/>
      <c r="D292"/>
      <c r="E292" s="69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</row>
    <row r="293" spans="2:27" s="25" customFormat="1" ht="15.75" customHeight="1" x14ac:dyDescent="0.2">
      <c r="B293" s="89"/>
      <c r="C293"/>
      <c r="D293"/>
      <c r="E293" s="69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</row>
    <row r="294" spans="2:27" s="25" customFormat="1" ht="15.75" customHeight="1" x14ac:dyDescent="0.2">
      <c r="B294" s="89"/>
      <c r="C294"/>
      <c r="D294"/>
      <c r="E294" s="69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</row>
    <row r="295" spans="2:27" s="25" customFormat="1" ht="15.75" customHeight="1" x14ac:dyDescent="0.2">
      <c r="B295" s="89"/>
      <c r="C295"/>
      <c r="D295"/>
      <c r="E295" s="69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</row>
    <row r="296" spans="2:27" s="25" customFormat="1" ht="15.75" customHeight="1" x14ac:dyDescent="0.2">
      <c r="B296" s="89"/>
      <c r="C296"/>
      <c r="D296"/>
      <c r="E296" s="69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</row>
    <row r="297" spans="2:27" s="25" customFormat="1" ht="15.75" customHeight="1" x14ac:dyDescent="0.2">
      <c r="B297" s="89"/>
      <c r="C297"/>
      <c r="D297"/>
      <c r="E297" s="69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</row>
    <row r="298" spans="2:27" s="25" customFormat="1" ht="15.75" customHeight="1" x14ac:dyDescent="0.2">
      <c r="B298" s="89"/>
      <c r="C298"/>
      <c r="D298"/>
      <c r="E298" s="69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</row>
    <row r="299" spans="2:27" s="25" customFormat="1" ht="15.75" customHeight="1" x14ac:dyDescent="0.2">
      <c r="B299" s="89"/>
      <c r="C299"/>
      <c r="D299"/>
      <c r="E299" s="6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</row>
    <row r="300" spans="2:27" s="25" customFormat="1" ht="15.75" customHeight="1" x14ac:dyDescent="0.2">
      <c r="B300" s="89"/>
      <c r="C300"/>
      <c r="D300"/>
      <c r="E300" s="69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</row>
    <row r="301" spans="2:27" s="25" customFormat="1" ht="15.75" customHeight="1" x14ac:dyDescent="0.2">
      <c r="B301" s="89"/>
      <c r="C301"/>
      <c r="D301"/>
      <c r="E301" s="69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</row>
    <row r="302" spans="2:27" s="25" customFormat="1" ht="15.75" customHeight="1" x14ac:dyDescent="0.2">
      <c r="B302" s="89"/>
      <c r="C302"/>
      <c r="D302"/>
      <c r="E302" s="69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</row>
    <row r="303" spans="2:27" s="25" customFormat="1" ht="15.75" customHeight="1" x14ac:dyDescent="0.2">
      <c r="B303" s="89"/>
      <c r="C303"/>
      <c r="D303"/>
      <c r="E303" s="69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</row>
    <row r="304" spans="2:27" s="25" customFormat="1" ht="15.75" customHeight="1" x14ac:dyDescent="0.2">
      <c r="B304" s="89"/>
      <c r="C304"/>
      <c r="D304"/>
      <c r="E304" s="69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</row>
    <row r="305" spans="2:27" s="25" customFormat="1" ht="15.75" customHeight="1" x14ac:dyDescent="0.2">
      <c r="B305" s="89"/>
      <c r="C305"/>
      <c r="D305"/>
      <c r="E305" s="69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</row>
    <row r="306" spans="2:27" s="25" customFormat="1" ht="15.75" customHeight="1" x14ac:dyDescent="0.2">
      <c r="B306" s="89"/>
      <c r="C306"/>
      <c r="D306"/>
      <c r="E306" s="69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</row>
    <row r="307" spans="2:27" s="25" customFormat="1" ht="15.75" customHeight="1" x14ac:dyDescent="0.2">
      <c r="B307" s="89"/>
      <c r="C307"/>
      <c r="D307"/>
      <c r="E307" s="69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</row>
    <row r="308" spans="2:27" s="25" customFormat="1" ht="15.75" customHeight="1" x14ac:dyDescent="0.2">
      <c r="B308" s="89"/>
      <c r="C308"/>
      <c r="D308"/>
      <c r="E308" s="69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</row>
    <row r="309" spans="2:27" s="25" customFormat="1" ht="15.75" customHeight="1" x14ac:dyDescent="0.2">
      <c r="B309" s="89"/>
      <c r="C309"/>
      <c r="D309"/>
      <c r="E309" s="6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</row>
    <row r="310" spans="2:27" s="25" customFormat="1" ht="15.75" customHeight="1" x14ac:dyDescent="0.2">
      <c r="B310" s="89"/>
      <c r="C310"/>
      <c r="D310"/>
      <c r="E310" s="69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</row>
    <row r="311" spans="2:27" s="25" customFormat="1" ht="15.75" customHeight="1" x14ac:dyDescent="0.2">
      <c r="B311" s="89"/>
      <c r="C311"/>
      <c r="D311"/>
      <c r="E311" s="69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</row>
    <row r="312" spans="2:27" s="25" customFormat="1" ht="15.75" customHeight="1" x14ac:dyDescent="0.2">
      <c r="B312" s="89"/>
      <c r="C312"/>
      <c r="D312"/>
      <c r="E312" s="69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</row>
    <row r="313" spans="2:27" s="25" customFormat="1" ht="15.75" customHeight="1" x14ac:dyDescent="0.2">
      <c r="B313" s="89"/>
      <c r="C313"/>
      <c r="D313"/>
      <c r="E313" s="69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</row>
    <row r="314" spans="2:27" s="25" customFormat="1" ht="15.75" customHeight="1" x14ac:dyDescent="0.2">
      <c r="B314" s="89"/>
      <c r="C314"/>
      <c r="D314"/>
      <c r="E314" s="69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</row>
    <row r="315" spans="2:27" s="25" customFormat="1" ht="15.75" customHeight="1" x14ac:dyDescent="0.2">
      <c r="B315" s="89"/>
      <c r="C315"/>
      <c r="D315"/>
      <c r="E315" s="69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</row>
    <row r="316" spans="2:27" s="25" customFormat="1" ht="15.75" customHeight="1" x14ac:dyDescent="0.2">
      <c r="B316" s="89"/>
      <c r="C316"/>
      <c r="D316"/>
      <c r="E316" s="69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</row>
    <row r="317" spans="2:27" s="25" customFormat="1" ht="15.75" customHeight="1" x14ac:dyDescent="0.2">
      <c r="B317" s="89"/>
      <c r="C317"/>
      <c r="D317"/>
      <c r="E317" s="69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</row>
    <row r="318" spans="2:27" s="25" customFormat="1" ht="15.75" customHeight="1" x14ac:dyDescent="0.2">
      <c r="B318" s="89"/>
      <c r="C318"/>
      <c r="D318"/>
      <c r="E318" s="69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</row>
    <row r="319" spans="2:27" s="25" customFormat="1" ht="15.75" customHeight="1" x14ac:dyDescent="0.2">
      <c r="B319" s="89"/>
      <c r="C319"/>
      <c r="D319"/>
      <c r="E319" s="6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</row>
    <row r="320" spans="2:27" s="25" customFormat="1" ht="15.75" customHeight="1" x14ac:dyDescent="0.2">
      <c r="B320" s="89"/>
      <c r="C320"/>
      <c r="D320"/>
      <c r="E320" s="69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</row>
    <row r="321" spans="2:27" s="25" customFormat="1" ht="15.75" customHeight="1" x14ac:dyDescent="0.2">
      <c r="B321" s="89"/>
      <c r="C321"/>
      <c r="D321"/>
      <c r="E321" s="69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</row>
    <row r="322" spans="2:27" s="25" customFormat="1" ht="15.75" customHeight="1" x14ac:dyDescent="0.2">
      <c r="B322" s="89"/>
      <c r="C322"/>
      <c r="D322"/>
      <c r="E322" s="69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</row>
    <row r="323" spans="2:27" s="25" customFormat="1" ht="15.75" customHeight="1" x14ac:dyDescent="0.2">
      <c r="B323" s="89"/>
      <c r="C323"/>
      <c r="D323"/>
      <c r="E323" s="69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</row>
    <row r="324" spans="2:27" s="25" customFormat="1" ht="15.75" customHeight="1" x14ac:dyDescent="0.2">
      <c r="B324" s="89"/>
      <c r="C324"/>
      <c r="D324"/>
      <c r="E324" s="69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</row>
    <row r="325" spans="2:27" s="25" customFormat="1" ht="15.75" customHeight="1" x14ac:dyDescent="0.2">
      <c r="B325" s="89"/>
      <c r="C325"/>
      <c r="D325"/>
      <c r="E325" s="69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</row>
    <row r="326" spans="2:27" s="25" customFormat="1" ht="15.75" customHeight="1" x14ac:dyDescent="0.2">
      <c r="B326" s="89"/>
      <c r="C326"/>
      <c r="D326"/>
      <c r="E326" s="69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</row>
    <row r="327" spans="2:27" s="25" customFormat="1" ht="15.75" customHeight="1" x14ac:dyDescent="0.2">
      <c r="B327" s="89"/>
      <c r="C327"/>
      <c r="D327"/>
      <c r="E327" s="69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</row>
    <row r="328" spans="2:27" s="25" customFormat="1" ht="15.75" customHeight="1" x14ac:dyDescent="0.2">
      <c r="B328" s="89"/>
      <c r="C328"/>
      <c r="D328"/>
      <c r="E328" s="69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</row>
    <row r="329" spans="2:27" s="25" customFormat="1" ht="15.75" customHeight="1" x14ac:dyDescent="0.2">
      <c r="B329" s="89"/>
      <c r="C329"/>
      <c r="D329"/>
      <c r="E329" s="6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</row>
    <row r="330" spans="2:27" s="25" customFormat="1" ht="15.75" customHeight="1" x14ac:dyDescent="0.2">
      <c r="B330" s="89"/>
      <c r="C330"/>
      <c r="D330"/>
      <c r="E330" s="69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</row>
    <row r="331" spans="2:27" s="25" customFormat="1" ht="15.75" customHeight="1" x14ac:dyDescent="0.2">
      <c r="B331" s="89"/>
      <c r="C331"/>
      <c r="D331"/>
      <c r="E331" s="69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</row>
    <row r="332" spans="2:27" s="25" customFormat="1" ht="15.75" customHeight="1" x14ac:dyDescent="0.2">
      <c r="B332" s="89"/>
      <c r="C332"/>
      <c r="D332"/>
      <c r="E332" s="69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</row>
    <row r="333" spans="2:27" s="25" customFormat="1" ht="15.75" customHeight="1" x14ac:dyDescent="0.2">
      <c r="B333" s="89"/>
      <c r="C333"/>
      <c r="D333"/>
      <c r="E333" s="69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</row>
    <row r="334" spans="2:27" s="25" customFormat="1" ht="15.75" customHeight="1" x14ac:dyDescent="0.2">
      <c r="B334" s="89"/>
      <c r="C334"/>
      <c r="D334"/>
      <c r="E334" s="69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</row>
    <row r="335" spans="2:27" s="25" customFormat="1" ht="15.75" customHeight="1" x14ac:dyDescent="0.2">
      <c r="B335" s="89"/>
      <c r="C335"/>
      <c r="D335"/>
      <c r="E335" s="69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</row>
    <row r="336" spans="2:27" s="25" customFormat="1" ht="15.75" customHeight="1" x14ac:dyDescent="0.2">
      <c r="B336" s="89"/>
      <c r="C336"/>
      <c r="D336"/>
      <c r="E336" s="69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</row>
    <row r="337" spans="2:27" s="25" customFormat="1" ht="15.75" customHeight="1" x14ac:dyDescent="0.2">
      <c r="B337" s="89"/>
      <c r="C337"/>
      <c r="D337"/>
      <c r="E337" s="69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</row>
    <row r="338" spans="2:27" s="25" customFormat="1" ht="15.75" customHeight="1" x14ac:dyDescent="0.2">
      <c r="B338" s="89"/>
      <c r="C338"/>
      <c r="D338"/>
      <c r="E338" s="69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</row>
    <row r="339" spans="2:27" s="25" customFormat="1" ht="15.75" customHeight="1" x14ac:dyDescent="0.2">
      <c r="B339" s="89"/>
      <c r="C339"/>
      <c r="D339"/>
      <c r="E339" s="6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</row>
    <row r="340" spans="2:27" s="25" customFormat="1" ht="15.75" customHeight="1" x14ac:dyDescent="0.2">
      <c r="B340" s="89"/>
      <c r="C340"/>
      <c r="D340"/>
      <c r="E340" s="69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</row>
    <row r="341" spans="2:27" s="25" customFormat="1" ht="15.75" customHeight="1" x14ac:dyDescent="0.2">
      <c r="B341" s="89"/>
      <c r="C341"/>
      <c r="D341"/>
      <c r="E341" s="69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</row>
    <row r="342" spans="2:27" s="25" customFormat="1" ht="15.75" customHeight="1" x14ac:dyDescent="0.2">
      <c r="B342" s="89"/>
      <c r="C342"/>
      <c r="D342"/>
      <c r="E342" s="69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</row>
    <row r="343" spans="2:27" s="25" customFormat="1" ht="15.75" customHeight="1" x14ac:dyDescent="0.2">
      <c r="B343" s="89"/>
      <c r="C343"/>
      <c r="D343"/>
      <c r="E343" s="69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</row>
    <row r="344" spans="2:27" s="25" customFormat="1" ht="15.75" customHeight="1" x14ac:dyDescent="0.2">
      <c r="B344" s="89"/>
      <c r="C344"/>
      <c r="D344"/>
      <c r="E344" s="69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</row>
    <row r="345" spans="2:27" s="25" customFormat="1" ht="15.75" customHeight="1" x14ac:dyDescent="0.2">
      <c r="B345" s="89"/>
      <c r="C345"/>
      <c r="D345"/>
      <c r="E345" s="69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</row>
    <row r="346" spans="2:27" s="25" customFormat="1" ht="15.75" customHeight="1" x14ac:dyDescent="0.2">
      <c r="B346" s="89"/>
      <c r="C346"/>
      <c r="D346"/>
      <c r="E346" s="69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</row>
    <row r="347" spans="2:27" s="25" customFormat="1" ht="15.75" customHeight="1" x14ac:dyDescent="0.2">
      <c r="B347" s="89"/>
      <c r="C347"/>
      <c r="D347"/>
      <c r="E347" s="69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</row>
    <row r="348" spans="2:27" s="25" customFormat="1" ht="15.75" customHeight="1" x14ac:dyDescent="0.2">
      <c r="B348" s="89"/>
      <c r="C348"/>
      <c r="D348"/>
      <c r="E348" s="69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</row>
    <row r="349" spans="2:27" s="25" customFormat="1" ht="15.75" customHeight="1" x14ac:dyDescent="0.2">
      <c r="B349" s="89"/>
      <c r="C349"/>
      <c r="D349"/>
      <c r="E349" s="6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</row>
    <row r="350" spans="2:27" s="25" customFormat="1" ht="15.75" customHeight="1" x14ac:dyDescent="0.2">
      <c r="B350" s="89"/>
      <c r="C350"/>
      <c r="D350"/>
      <c r="E350" s="69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</row>
    <row r="351" spans="2:27" s="25" customFormat="1" ht="15.75" customHeight="1" x14ac:dyDescent="0.2">
      <c r="B351" s="89"/>
      <c r="C351"/>
      <c r="D351"/>
      <c r="E351" s="69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</row>
    <row r="352" spans="2:27" s="25" customFormat="1" ht="15.75" customHeight="1" x14ac:dyDescent="0.2">
      <c r="B352" s="89"/>
      <c r="C352"/>
      <c r="D352"/>
      <c r="E352" s="69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</row>
    <row r="353" spans="2:27" s="25" customFormat="1" ht="15.75" customHeight="1" x14ac:dyDescent="0.2">
      <c r="B353" s="89"/>
      <c r="C353"/>
      <c r="D353"/>
      <c r="E353" s="69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</row>
    <row r="354" spans="2:27" s="25" customFormat="1" ht="15.75" customHeight="1" x14ac:dyDescent="0.2">
      <c r="B354" s="89"/>
      <c r="C354"/>
      <c r="D354"/>
      <c r="E354" s="69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  <c r="AA354"/>
    </row>
    <row r="355" spans="2:27" s="25" customFormat="1" ht="15.75" customHeight="1" x14ac:dyDescent="0.2">
      <c r="B355" s="89"/>
      <c r="C355"/>
      <c r="D355"/>
      <c r="E355" s="69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</row>
    <row r="356" spans="2:27" s="25" customFormat="1" ht="15.75" customHeight="1" x14ac:dyDescent="0.2">
      <c r="B356" s="89"/>
      <c r="C356"/>
      <c r="D356"/>
      <c r="E356" s="69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</row>
    <row r="357" spans="2:27" s="25" customFormat="1" ht="15.75" customHeight="1" x14ac:dyDescent="0.2">
      <c r="B357" s="89"/>
      <c r="C357"/>
      <c r="D357"/>
      <c r="E357" s="69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</row>
    <row r="358" spans="2:27" s="25" customFormat="1" ht="15.75" customHeight="1" x14ac:dyDescent="0.2">
      <c r="B358" s="89"/>
      <c r="C358"/>
      <c r="D358"/>
      <c r="E358" s="69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</row>
    <row r="359" spans="2:27" s="25" customFormat="1" ht="15.75" customHeight="1" x14ac:dyDescent="0.2">
      <c r="B359" s="89"/>
      <c r="C359"/>
      <c r="D359"/>
      <c r="E359" s="6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</row>
    <row r="360" spans="2:27" s="25" customFormat="1" ht="15.75" customHeight="1" x14ac:dyDescent="0.2">
      <c r="B360" s="89"/>
      <c r="C360"/>
      <c r="D360"/>
      <c r="E360" s="69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</row>
    <row r="361" spans="2:27" s="25" customFormat="1" ht="15.75" customHeight="1" x14ac:dyDescent="0.2">
      <c r="B361" s="89"/>
      <c r="C361"/>
      <c r="D361"/>
      <c r="E361" s="69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</row>
    <row r="362" spans="2:27" s="25" customFormat="1" ht="15.75" customHeight="1" x14ac:dyDescent="0.2">
      <c r="B362" s="89"/>
      <c r="C362"/>
      <c r="D362"/>
      <c r="E362" s="69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</row>
    <row r="363" spans="2:27" s="25" customFormat="1" ht="15.75" customHeight="1" x14ac:dyDescent="0.2">
      <c r="B363" s="89"/>
      <c r="C363"/>
      <c r="D363"/>
      <c r="E363" s="69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</row>
    <row r="364" spans="2:27" s="25" customFormat="1" ht="15.75" customHeight="1" x14ac:dyDescent="0.2">
      <c r="B364" s="89"/>
      <c r="C364"/>
      <c r="D364"/>
      <c r="E364" s="69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</row>
    <row r="365" spans="2:27" s="25" customFormat="1" ht="15.75" customHeight="1" x14ac:dyDescent="0.2">
      <c r="B365" s="89"/>
      <c r="C365"/>
      <c r="D365"/>
      <c r="E365" s="69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</row>
    <row r="366" spans="2:27" s="25" customFormat="1" ht="15.75" customHeight="1" x14ac:dyDescent="0.2">
      <c r="B366" s="89"/>
      <c r="C366"/>
      <c r="D366"/>
      <c r="E366" s="69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</row>
    <row r="367" spans="2:27" s="25" customFormat="1" ht="15.75" customHeight="1" x14ac:dyDescent="0.2">
      <c r="B367" s="89"/>
      <c r="C367"/>
      <c r="D367"/>
      <c r="E367" s="69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</row>
    <row r="368" spans="2:27" s="25" customFormat="1" ht="15.75" customHeight="1" x14ac:dyDescent="0.2">
      <c r="B368" s="89"/>
      <c r="C368"/>
      <c r="D368"/>
      <c r="E368" s="69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</row>
    <row r="369" spans="2:27" s="25" customFormat="1" ht="15.75" customHeight="1" x14ac:dyDescent="0.2">
      <c r="B369" s="89"/>
      <c r="C369"/>
      <c r="D369"/>
      <c r="E369" s="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</row>
    <row r="370" spans="2:27" s="25" customFormat="1" ht="15.75" customHeight="1" x14ac:dyDescent="0.2">
      <c r="B370" s="89"/>
      <c r="C370"/>
      <c r="D370"/>
      <c r="E370" s="69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</row>
    <row r="371" spans="2:27" s="25" customFormat="1" ht="15.75" customHeight="1" x14ac:dyDescent="0.2">
      <c r="B371" s="89"/>
      <c r="C371"/>
      <c r="D371"/>
      <c r="E371" s="69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</row>
    <row r="372" spans="2:27" s="25" customFormat="1" ht="15.75" customHeight="1" x14ac:dyDescent="0.2">
      <c r="B372" s="89"/>
      <c r="C372"/>
      <c r="D372"/>
      <c r="E372" s="69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</row>
    <row r="373" spans="2:27" s="25" customFormat="1" ht="15.75" customHeight="1" x14ac:dyDescent="0.2">
      <c r="B373" s="89"/>
      <c r="C373"/>
      <c r="D373"/>
      <c r="E373" s="69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</row>
    <row r="374" spans="2:27" s="25" customFormat="1" ht="15.75" customHeight="1" x14ac:dyDescent="0.2">
      <c r="B374" s="89"/>
      <c r="C374"/>
      <c r="D374"/>
      <c r="E374" s="69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</row>
    <row r="375" spans="2:27" s="25" customFormat="1" ht="15.75" customHeight="1" x14ac:dyDescent="0.2">
      <c r="B375" s="89"/>
      <c r="C375"/>
      <c r="D375"/>
      <c r="E375" s="69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</row>
    <row r="376" spans="2:27" s="25" customFormat="1" ht="15.75" customHeight="1" x14ac:dyDescent="0.2">
      <c r="B376" s="89"/>
      <c r="C376"/>
      <c r="D376"/>
      <c r="E376" s="69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</row>
    <row r="377" spans="2:27" s="25" customFormat="1" ht="15.75" customHeight="1" x14ac:dyDescent="0.2">
      <c r="B377" s="89"/>
      <c r="C377"/>
      <c r="D377"/>
      <c r="E377" s="69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</row>
    <row r="378" spans="2:27" s="25" customFormat="1" ht="15.75" customHeight="1" x14ac:dyDescent="0.2">
      <c r="B378" s="89"/>
      <c r="C378"/>
      <c r="D378"/>
      <c r="E378" s="69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</row>
    <row r="379" spans="2:27" s="25" customFormat="1" ht="15.75" customHeight="1" x14ac:dyDescent="0.2">
      <c r="B379" s="89"/>
      <c r="C379"/>
      <c r="D379"/>
      <c r="E379" s="6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</row>
    <row r="380" spans="2:27" s="25" customFormat="1" ht="15.75" customHeight="1" x14ac:dyDescent="0.2">
      <c r="B380" s="89"/>
      <c r="C380"/>
      <c r="D380"/>
      <c r="E380" s="69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</row>
    <row r="381" spans="2:27" s="25" customFormat="1" ht="15.75" customHeight="1" x14ac:dyDescent="0.2">
      <c r="B381" s="89"/>
      <c r="C381"/>
      <c r="D381"/>
      <c r="E381" s="69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  <c r="AA381"/>
    </row>
    <row r="382" spans="2:27" s="25" customFormat="1" ht="15.75" customHeight="1" x14ac:dyDescent="0.2">
      <c r="B382" s="89"/>
      <c r="C382"/>
      <c r="D382"/>
      <c r="E382" s="69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  <c r="AA382"/>
    </row>
    <row r="383" spans="2:27" s="25" customFormat="1" ht="15.75" customHeight="1" x14ac:dyDescent="0.2">
      <c r="B383" s="89"/>
      <c r="C383"/>
      <c r="D383"/>
      <c r="E383" s="69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  <c r="AA383"/>
    </row>
    <row r="384" spans="2:27" s="25" customFormat="1" ht="15.75" customHeight="1" x14ac:dyDescent="0.2">
      <c r="B384" s="89"/>
      <c r="C384"/>
      <c r="D384"/>
      <c r="E384" s="69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</row>
    <row r="385" spans="2:27" s="25" customFormat="1" ht="15.75" customHeight="1" x14ac:dyDescent="0.2">
      <c r="B385" s="89"/>
      <c r="C385"/>
      <c r="D385"/>
      <c r="E385" s="69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  <c r="AA385"/>
    </row>
    <row r="386" spans="2:27" s="25" customFormat="1" ht="15.75" customHeight="1" x14ac:dyDescent="0.2">
      <c r="B386" s="89"/>
      <c r="C386"/>
      <c r="D386"/>
      <c r="E386" s="69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</row>
    <row r="387" spans="2:27" s="25" customFormat="1" ht="15.75" customHeight="1" x14ac:dyDescent="0.2">
      <c r="B387" s="89"/>
      <c r="C387"/>
      <c r="D387"/>
      <c r="E387" s="69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/>
    </row>
    <row r="388" spans="2:27" s="25" customFormat="1" ht="15.75" customHeight="1" x14ac:dyDescent="0.2">
      <c r="B388" s="89"/>
      <c r="C388"/>
      <c r="D388"/>
      <c r="E388" s="69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</row>
    <row r="389" spans="2:27" s="25" customFormat="1" ht="15.75" customHeight="1" x14ac:dyDescent="0.2">
      <c r="B389" s="89"/>
      <c r="C389"/>
      <c r="D389"/>
      <c r="E389" s="6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</row>
    <row r="390" spans="2:27" s="25" customFormat="1" ht="15.75" customHeight="1" x14ac:dyDescent="0.2">
      <c r="B390" s="89"/>
      <c r="C390"/>
      <c r="D390"/>
      <c r="E390" s="69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</row>
    <row r="391" spans="2:27" s="25" customFormat="1" ht="15.75" customHeight="1" x14ac:dyDescent="0.2">
      <c r="B391" s="89"/>
      <c r="C391"/>
      <c r="D391"/>
      <c r="E391" s="69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  <c r="AA391"/>
    </row>
    <row r="392" spans="2:27" s="25" customFormat="1" ht="15.75" customHeight="1" x14ac:dyDescent="0.2">
      <c r="B392" s="89"/>
      <c r="C392"/>
      <c r="D392"/>
      <c r="E392" s="69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</row>
    <row r="393" spans="2:27" s="25" customFormat="1" ht="15.75" customHeight="1" x14ac:dyDescent="0.2">
      <c r="B393" s="89"/>
      <c r="C393"/>
      <c r="D393"/>
      <c r="E393" s="69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  <c r="AA393"/>
    </row>
    <row r="394" spans="2:27" s="25" customFormat="1" ht="15.75" customHeight="1" x14ac:dyDescent="0.2">
      <c r="B394" s="89"/>
      <c r="C394"/>
      <c r="D394"/>
      <c r="E394" s="69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  <c r="AA394"/>
    </row>
    <row r="395" spans="2:27" s="25" customFormat="1" ht="15.75" customHeight="1" x14ac:dyDescent="0.2">
      <c r="B395" s="89"/>
      <c r="C395"/>
      <c r="D395"/>
      <c r="E395" s="69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  <c r="AA395"/>
    </row>
    <row r="396" spans="2:27" s="25" customFormat="1" ht="15.75" customHeight="1" x14ac:dyDescent="0.2">
      <c r="B396" s="89"/>
      <c r="C396"/>
      <c r="D396"/>
      <c r="E396" s="69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</row>
    <row r="397" spans="2:27" s="25" customFormat="1" ht="15.75" customHeight="1" x14ac:dyDescent="0.2">
      <c r="B397" s="89"/>
      <c r="C397"/>
      <c r="D397"/>
      <c r="E397" s="69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</row>
    <row r="398" spans="2:27" s="25" customFormat="1" ht="15.75" customHeight="1" x14ac:dyDescent="0.2">
      <c r="B398" s="89"/>
      <c r="C398"/>
      <c r="D398"/>
      <c r="E398" s="69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</row>
    <row r="399" spans="2:27" s="25" customFormat="1" ht="15.75" customHeight="1" x14ac:dyDescent="0.2">
      <c r="B399" s="89"/>
      <c r="C399"/>
      <c r="D399"/>
      <c r="E399" s="6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</row>
    <row r="400" spans="2:27" s="25" customFormat="1" ht="15.75" customHeight="1" x14ac:dyDescent="0.2">
      <c r="B400" s="89"/>
      <c r="C400"/>
      <c r="D400"/>
      <c r="E400" s="69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</row>
    <row r="401" spans="2:27" s="25" customFormat="1" ht="15.75" customHeight="1" x14ac:dyDescent="0.2">
      <c r="B401" s="89"/>
      <c r="C401"/>
      <c r="D401"/>
      <c r="E401" s="69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</row>
    <row r="402" spans="2:27" s="25" customFormat="1" ht="15.75" customHeight="1" x14ac:dyDescent="0.2">
      <c r="B402" s="89"/>
      <c r="C402"/>
      <c r="D402"/>
      <c r="E402" s="69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</row>
    <row r="403" spans="2:27" s="25" customFormat="1" ht="15.75" customHeight="1" x14ac:dyDescent="0.2">
      <c r="B403" s="89"/>
      <c r="C403"/>
      <c r="D403"/>
      <c r="E403" s="69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</row>
    <row r="404" spans="2:27" s="25" customFormat="1" ht="15.75" customHeight="1" x14ac:dyDescent="0.2">
      <c r="B404" s="89"/>
      <c r="C404"/>
      <c r="D404"/>
      <c r="E404" s="69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</row>
    <row r="405" spans="2:27" s="25" customFormat="1" ht="15.75" customHeight="1" x14ac:dyDescent="0.2">
      <c r="B405" s="89"/>
      <c r="C405"/>
      <c r="D405"/>
      <c r="E405" s="69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</row>
    <row r="406" spans="2:27" s="25" customFormat="1" ht="15.75" customHeight="1" x14ac:dyDescent="0.2">
      <c r="B406" s="89"/>
      <c r="C406"/>
      <c r="D406"/>
      <c r="E406" s="69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  <c r="AA406"/>
    </row>
    <row r="407" spans="2:27" s="25" customFormat="1" ht="15.75" customHeight="1" x14ac:dyDescent="0.2">
      <c r="B407" s="89"/>
      <c r="C407"/>
      <c r="D407"/>
      <c r="E407" s="69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  <c r="AA407"/>
    </row>
    <row r="408" spans="2:27" s="25" customFormat="1" ht="15.75" customHeight="1" x14ac:dyDescent="0.2">
      <c r="B408" s="89"/>
      <c r="C408"/>
      <c r="D408"/>
      <c r="E408" s="69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</row>
    <row r="409" spans="2:27" s="25" customFormat="1" ht="15.75" customHeight="1" x14ac:dyDescent="0.2">
      <c r="B409" s="89"/>
      <c r="C409"/>
      <c r="D409"/>
      <c r="E409" s="6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</row>
    <row r="410" spans="2:27" s="25" customFormat="1" ht="15.75" customHeight="1" x14ac:dyDescent="0.2">
      <c r="B410" s="89"/>
      <c r="C410"/>
      <c r="D410"/>
      <c r="E410" s="69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</row>
    <row r="411" spans="2:27" s="25" customFormat="1" ht="15.75" customHeight="1" x14ac:dyDescent="0.2">
      <c r="B411" s="89"/>
      <c r="C411"/>
      <c r="D411"/>
      <c r="E411" s="69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  <c r="AA411"/>
    </row>
    <row r="412" spans="2:27" s="25" customFormat="1" ht="15.75" customHeight="1" x14ac:dyDescent="0.2">
      <c r="B412" s="89"/>
      <c r="C412"/>
      <c r="D412"/>
      <c r="E412" s="69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</row>
    <row r="413" spans="2:27" s="25" customFormat="1" ht="15.75" customHeight="1" x14ac:dyDescent="0.2">
      <c r="B413" s="89"/>
      <c r="C413"/>
      <c r="D413"/>
      <c r="E413" s="69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/>
    </row>
    <row r="414" spans="2:27" s="25" customFormat="1" ht="15.75" customHeight="1" x14ac:dyDescent="0.2">
      <c r="B414" s="89"/>
      <c r="C414"/>
      <c r="D414"/>
      <c r="E414" s="69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  <c r="AA414"/>
    </row>
    <row r="415" spans="2:27" s="25" customFormat="1" ht="15.75" customHeight="1" x14ac:dyDescent="0.2">
      <c r="B415" s="89"/>
      <c r="C415"/>
      <c r="D415"/>
      <c r="E415" s="69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  <c r="Z415"/>
      <c r="AA415"/>
    </row>
    <row r="416" spans="2:27" s="25" customFormat="1" ht="15.75" customHeight="1" x14ac:dyDescent="0.2">
      <c r="B416" s="89"/>
      <c r="C416"/>
      <c r="D416"/>
      <c r="E416" s="69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  <c r="AA416"/>
    </row>
    <row r="417" spans="2:27" s="25" customFormat="1" ht="15.75" customHeight="1" x14ac:dyDescent="0.2">
      <c r="B417" s="89"/>
      <c r="C417"/>
      <c r="D417"/>
      <c r="E417" s="69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  <c r="AA417"/>
    </row>
    <row r="418" spans="2:27" s="25" customFormat="1" ht="15.75" customHeight="1" x14ac:dyDescent="0.2">
      <c r="B418" s="89"/>
      <c r="C418"/>
      <c r="D418"/>
      <c r="E418" s="69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  <c r="AA418"/>
    </row>
    <row r="419" spans="2:27" s="25" customFormat="1" ht="15.75" customHeight="1" x14ac:dyDescent="0.2">
      <c r="B419" s="89"/>
      <c r="C419"/>
      <c r="D419"/>
      <c r="E419" s="6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  <c r="AA419"/>
    </row>
    <row r="420" spans="2:27" s="25" customFormat="1" ht="15.75" customHeight="1" x14ac:dyDescent="0.2">
      <c r="B420" s="89"/>
      <c r="C420"/>
      <c r="D420"/>
      <c r="E420" s="69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</row>
    <row r="421" spans="2:27" s="25" customFormat="1" ht="15.75" customHeight="1" x14ac:dyDescent="0.2">
      <c r="B421" s="89"/>
      <c r="C421"/>
      <c r="D421"/>
      <c r="E421" s="69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/>
      <c r="W421"/>
      <c r="X421"/>
      <c r="Y421"/>
      <c r="Z421"/>
      <c r="AA421"/>
    </row>
    <row r="422" spans="2:27" s="25" customFormat="1" ht="15.75" customHeight="1" x14ac:dyDescent="0.2">
      <c r="B422" s="89"/>
      <c r="C422"/>
      <c r="D422"/>
      <c r="E422" s="69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  <c r="AA422"/>
    </row>
    <row r="423" spans="2:27" s="25" customFormat="1" ht="15.75" customHeight="1" x14ac:dyDescent="0.2">
      <c r="B423" s="89"/>
      <c r="C423"/>
      <c r="D423"/>
      <c r="E423" s="69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  <c r="AA423"/>
    </row>
    <row r="424" spans="2:27" s="25" customFormat="1" ht="15.75" customHeight="1" x14ac:dyDescent="0.2">
      <c r="B424" s="89"/>
      <c r="C424"/>
      <c r="D424"/>
      <c r="E424" s="69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  <c r="AA424"/>
    </row>
    <row r="425" spans="2:27" s="25" customFormat="1" ht="15.75" customHeight="1" x14ac:dyDescent="0.2">
      <c r="B425" s="89"/>
      <c r="C425"/>
      <c r="D425"/>
      <c r="E425" s="69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  <c r="AA425"/>
    </row>
    <row r="426" spans="2:27" s="25" customFormat="1" ht="15.75" customHeight="1" x14ac:dyDescent="0.2">
      <c r="B426" s="89"/>
      <c r="C426"/>
      <c r="D426"/>
      <c r="E426" s="69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  <c r="AA426"/>
    </row>
    <row r="427" spans="2:27" s="25" customFormat="1" ht="15.75" customHeight="1" x14ac:dyDescent="0.2">
      <c r="B427" s="89"/>
      <c r="C427"/>
      <c r="D427"/>
      <c r="E427" s="69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  <c r="AA427"/>
    </row>
    <row r="428" spans="2:27" s="25" customFormat="1" ht="15.75" customHeight="1" x14ac:dyDescent="0.2">
      <c r="B428" s="89"/>
      <c r="C428"/>
      <c r="D428"/>
      <c r="E428" s="69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</row>
    <row r="429" spans="2:27" s="25" customFormat="1" ht="15.75" customHeight="1" x14ac:dyDescent="0.2">
      <c r="B429" s="89"/>
      <c r="C429"/>
      <c r="D429"/>
      <c r="E429" s="6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  <c r="AA429"/>
    </row>
    <row r="430" spans="2:27" s="25" customFormat="1" ht="15.75" customHeight="1" x14ac:dyDescent="0.2">
      <c r="B430" s="89"/>
      <c r="C430"/>
      <c r="D430"/>
      <c r="E430" s="69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  <c r="W430"/>
      <c r="X430"/>
      <c r="Y430"/>
      <c r="Z430"/>
      <c r="AA430"/>
    </row>
    <row r="431" spans="2:27" s="25" customFormat="1" ht="15.75" customHeight="1" x14ac:dyDescent="0.2">
      <c r="B431" s="89"/>
      <c r="C431"/>
      <c r="D431"/>
      <c r="E431" s="69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  <c r="Y431"/>
      <c r="Z431"/>
      <c r="AA431"/>
    </row>
    <row r="432" spans="2:27" s="25" customFormat="1" ht="15.75" customHeight="1" x14ac:dyDescent="0.2">
      <c r="B432" s="89"/>
      <c r="C432"/>
      <c r="D432"/>
      <c r="E432" s="69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  <c r="AA432"/>
    </row>
    <row r="433" spans="2:27" s="25" customFormat="1" ht="15.75" customHeight="1" x14ac:dyDescent="0.2">
      <c r="B433" s="89"/>
      <c r="C433"/>
      <c r="D433"/>
      <c r="E433" s="69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  <c r="AA433"/>
    </row>
    <row r="434" spans="2:27" s="25" customFormat="1" ht="15.75" customHeight="1" x14ac:dyDescent="0.2">
      <c r="B434" s="89"/>
      <c r="C434"/>
      <c r="D434"/>
      <c r="E434" s="69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  <c r="AA434"/>
    </row>
    <row r="435" spans="2:27" s="25" customFormat="1" ht="15.75" customHeight="1" x14ac:dyDescent="0.2">
      <c r="B435" s="89"/>
      <c r="C435"/>
      <c r="D435"/>
      <c r="E435" s="69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  <c r="V435"/>
      <c r="W435"/>
      <c r="X435"/>
      <c r="Y435"/>
      <c r="Z435"/>
      <c r="AA435"/>
    </row>
    <row r="436" spans="2:27" s="25" customFormat="1" ht="15.75" customHeight="1" x14ac:dyDescent="0.2">
      <c r="B436" s="89"/>
      <c r="C436"/>
      <c r="D436"/>
      <c r="E436" s="69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</row>
    <row r="437" spans="2:27" s="25" customFormat="1" ht="15.75" customHeight="1" x14ac:dyDescent="0.2">
      <c r="B437" s="89"/>
      <c r="C437"/>
      <c r="D437"/>
      <c r="E437" s="69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  <c r="Y437"/>
      <c r="Z437"/>
      <c r="AA437"/>
    </row>
    <row r="438" spans="2:27" s="25" customFormat="1" ht="15.75" customHeight="1" x14ac:dyDescent="0.2">
      <c r="B438" s="89"/>
      <c r="C438"/>
      <c r="D438"/>
      <c r="E438" s="69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  <c r="W438"/>
      <c r="X438"/>
      <c r="Y438"/>
      <c r="Z438"/>
      <c r="AA438"/>
    </row>
    <row r="439" spans="2:27" s="25" customFormat="1" ht="15.75" customHeight="1" x14ac:dyDescent="0.2">
      <c r="B439" s="89"/>
      <c r="C439"/>
      <c r="D439"/>
      <c r="E439" s="6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  <c r="AA439"/>
    </row>
    <row r="440" spans="2:27" s="25" customFormat="1" ht="15.75" customHeight="1" x14ac:dyDescent="0.2">
      <c r="B440" s="89"/>
      <c r="C440"/>
      <c r="D440"/>
      <c r="E440" s="69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</row>
    <row r="441" spans="2:27" s="25" customFormat="1" ht="15.75" customHeight="1" x14ac:dyDescent="0.2">
      <c r="B441" s="89"/>
      <c r="C441"/>
      <c r="D441"/>
      <c r="E441" s="69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/>
      <c r="W441"/>
      <c r="X441"/>
      <c r="Y441"/>
      <c r="Z441"/>
      <c r="AA441"/>
    </row>
    <row r="442" spans="2:27" s="25" customFormat="1" ht="15.75" customHeight="1" x14ac:dyDescent="0.2">
      <c r="B442" s="89"/>
      <c r="C442"/>
      <c r="D442"/>
      <c r="E442" s="69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  <c r="AA442"/>
    </row>
    <row r="443" spans="2:27" s="25" customFormat="1" ht="15.75" customHeight="1" x14ac:dyDescent="0.2">
      <c r="B443" s="89"/>
      <c r="C443"/>
      <c r="D443"/>
      <c r="E443" s="69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  <c r="AA443"/>
    </row>
    <row r="444" spans="2:27" s="25" customFormat="1" ht="15.75" customHeight="1" x14ac:dyDescent="0.2">
      <c r="B444" s="89"/>
      <c r="C444"/>
      <c r="D444"/>
      <c r="E444" s="69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  <c r="AA444"/>
    </row>
    <row r="445" spans="2:27" s="25" customFormat="1" ht="15.75" customHeight="1" x14ac:dyDescent="0.2">
      <c r="B445" s="89"/>
      <c r="C445"/>
      <c r="D445"/>
      <c r="E445" s="69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  <c r="V445"/>
      <c r="W445"/>
      <c r="X445"/>
      <c r="Y445"/>
      <c r="Z445"/>
      <c r="AA445"/>
    </row>
    <row r="446" spans="2:27" s="25" customFormat="1" ht="15.75" customHeight="1" x14ac:dyDescent="0.2">
      <c r="B446" s="89"/>
      <c r="C446"/>
      <c r="D446"/>
      <c r="E446" s="69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  <c r="Y446"/>
      <c r="Z446"/>
      <c r="AA446"/>
    </row>
    <row r="447" spans="2:27" s="25" customFormat="1" ht="15.75" customHeight="1" x14ac:dyDescent="0.2">
      <c r="B447" s="89"/>
      <c r="C447"/>
      <c r="D447"/>
      <c r="E447" s="69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  <c r="W447"/>
      <c r="X447"/>
      <c r="Y447"/>
      <c r="Z447"/>
      <c r="AA447"/>
    </row>
    <row r="448" spans="2:27" s="25" customFormat="1" ht="15.75" customHeight="1" x14ac:dyDescent="0.2">
      <c r="B448" s="89"/>
      <c r="C448"/>
      <c r="D448"/>
      <c r="E448" s="69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</row>
    <row r="449" spans="2:27" s="25" customFormat="1" ht="15.75" customHeight="1" x14ac:dyDescent="0.2">
      <c r="B449" s="89"/>
      <c r="C449"/>
      <c r="D449"/>
      <c r="E449" s="6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  <c r="W449"/>
      <c r="X449"/>
      <c r="Y449"/>
      <c r="Z449"/>
      <c r="AA449"/>
    </row>
    <row r="450" spans="2:27" s="25" customFormat="1" ht="15.75" customHeight="1" x14ac:dyDescent="0.2">
      <c r="B450" s="89"/>
      <c r="C450"/>
      <c r="D450"/>
      <c r="E450" s="69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  <c r="AA450"/>
    </row>
    <row r="451" spans="2:27" s="25" customFormat="1" ht="15.75" customHeight="1" x14ac:dyDescent="0.2">
      <c r="B451" s="89"/>
      <c r="C451"/>
      <c r="D451"/>
      <c r="E451" s="69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  <c r="AA451"/>
    </row>
    <row r="452" spans="2:27" s="25" customFormat="1" ht="15.75" customHeight="1" x14ac:dyDescent="0.2">
      <c r="B452" s="89"/>
      <c r="C452"/>
      <c r="D452"/>
      <c r="E452" s="69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</row>
    <row r="453" spans="2:27" s="25" customFormat="1" ht="15.75" customHeight="1" x14ac:dyDescent="0.2">
      <c r="B453" s="89"/>
      <c r="C453"/>
      <c r="D453"/>
      <c r="E453" s="69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  <c r="AA453"/>
    </row>
    <row r="454" spans="2:27" s="25" customFormat="1" ht="15.75" customHeight="1" x14ac:dyDescent="0.2">
      <c r="B454" s="89"/>
      <c r="C454"/>
      <c r="D454"/>
      <c r="E454" s="69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  <c r="AA454"/>
    </row>
    <row r="455" spans="2:27" s="25" customFormat="1" ht="15.75" customHeight="1" x14ac:dyDescent="0.2">
      <c r="B455" s="89"/>
      <c r="C455"/>
      <c r="D455"/>
      <c r="E455" s="69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  <c r="AA455"/>
    </row>
    <row r="456" spans="2:27" s="25" customFormat="1" ht="15.75" customHeight="1" x14ac:dyDescent="0.2">
      <c r="B456" s="89"/>
      <c r="C456"/>
      <c r="D456"/>
      <c r="E456" s="69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  <c r="AA456"/>
    </row>
    <row r="457" spans="2:27" s="25" customFormat="1" ht="15.75" customHeight="1" x14ac:dyDescent="0.2">
      <c r="B457" s="89"/>
      <c r="C457"/>
      <c r="D457"/>
      <c r="E457" s="69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  <c r="AA457"/>
    </row>
    <row r="458" spans="2:27" s="25" customFormat="1" ht="15.75" customHeight="1" x14ac:dyDescent="0.2">
      <c r="B458" s="89"/>
      <c r="C458"/>
      <c r="D458"/>
      <c r="E458" s="69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  <c r="V458"/>
      <c r="W458"/>
      <c r="X458"/>
      <c r="Y458"/>
      <c r="Z458"/>
      <c r="AA458"/>
    </row>
    <row r="459" spans="2:27" s="25" customFormat="1" ht="15.75" customHeight="1" x14ac:dyDescent="0.2">
      <c r="B459" s="89"/>
      <c r="C459"/>
      <c r="D459"/>
      <c r="E459" s="6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  <c r="AA459"/>
    </row>
    <row r="460" spans="2:27" s="25" customFormat="1" ht="15.75" customHeight="1" x14ac:dyDescent="0.2">
      <c r="B460" s="89"/>
      <c r="C460"/>
      <c r="D460"/>
      <c r="E460" s="69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  <c r="AA460"/>
    </row>
    <row r="461" spans="2:27" s="25" customFormat="1" ht="15.75" customHeight="1" x14ac:dyDescent="0.2">
      <c r="B461" s="89"/>
      <c r="C461"/>
      <c r="D461"/>
      <c r="E461" s="69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  <c r="AA461"/>
    </row>
    <row r="462" spans="2:27" s="25" customFormat="1" ht="15.75" customHeight="1" x14ac:dyDescent="0.2">
      <c r="B462" s="89"/>
      <c r="C462"/>
      <c r="D462"/>
      <c r="E462" s="69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  <c r="AA462"/>
    </row>
    <row r="463" spans="2:27" s="25" customFormat="1" ht="15.75" customHeight="1" x14ac:dyDescent="0.2">
      <c r="B463" s="89"/>
      <c r="C463"/>
      <c r="D463"/>
      <c r="E463" s="69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  <c r="AA463"/>
    </row>
    <row r="464" spans="2:27" s="25" customFormat="1" ht="15.75" customHeight="1" x14ac:dyDescent="0.2">
      <c r="B464" s="89"/>
      <c r="C464"/>
      <c r="D464"/>
      <c r="E464" s="69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  <c r="AA464"/>
    </row>
    <row r="465" spans="2:27" s="25" customFormat="1" ht="15.75" customHeight="1" x14ac:dyDescent="0.2">
      <c r="B465" s="89"/>
      <c r="C465"/>
      <c r="D465"/>
      <c r="E465" s="69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  <c r="AA465"/>
    </row>
    <row r="466" spans="2:27" s="25" customFormat="1" ht="15.75" customHeight="1" x14ac:dyDescent="0.2">
      <c r="B466" s="89"/>
      <c r="C466"/>
      <c r="D466"/>
      <c r="E466" s="69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  <c r="AA466"/>
    </row>
    <row r="467" spans="2:27" s="25" customFormat="1" ht="15.75" customHeight="1" x14ac:dyDescent="0.2">
      <c r="B467" s="89"/>
      <c r="C467"/>
      <c r="D467"/>
      <c r="E467" s="69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  <c r="AA467"/>
    </row>
    <row r="468" spans="2:27" s="25" customFormat="1" ht="15.75" customHeight="1" x14ac:dyDescent="0.2">
      <c r="B468" s="89"/>
      <c r="C468"/>
      <c r="D468"/>
      <c r="E468" s="69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</row>
    <row r="469" spans="2:27" s="25" customFormat="1" ht="15.75" customHeight="1" x14ac:dyDescent="0.2">
      <c r="B469" s="89"/>
      <c r="C469"/>
      <c r="D469"/>
      <c r="E469" s="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  <c r="AA469"/>
    </row>
    <row r="470" spans="2:27" s="25" customFormat="1" ht="15.75" customHeight="1" x14ac:dyDescent="0.2">
      <c r="B470" s="89"/>
      <c r="C470"/>
      <c r="D470"/>
      <c r="E470" s="69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  <c r="AA470"/>
    </row>
    <row r="471" spans="2:27" s="25" customFormat="1" ht="15.75" customHeight="1" x14ac:dyDescent="0.2">
      <c r="B471" s="89"/>
      <c r="C471"/>
      <c r="D471"/>
      <c r="E471" s="69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  <c r="AA471"/>
    </row>
    <row r="472" spans="2:27" s="25" customFormat="1" ht="15.75" customHeight="1" x14ac:dyDescent="0.2">
      <c r="B472" s="89"/>
      <c r="C472"/>
      <c r="D472"/>
      <c r="E472" s="69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  <c r="AA472"/>
    </row>
    <row r="473" spans="2:27" s="25" customFormat="1" ht="15.75" customHeight="1" x14ac:dyDescent="0.2">
      <c r="B473" s="89"/>
      <c r="C473"/>
      <c r="D473"/>
      <c r="E473" s="69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  <c r="W473"/>
      <c r="X473"/>
      <c r="Y473"/>
      <c r="Z473"/>
      <c r="AA473"/>
    </row>
    <row r="474" spans="2:27" s="25" customFormat="1" ht="15.75" customHeight="1" x14ac:dyDescent="0.2">
      <c r="B474" s="89"/>
      <c r="C474"/>
      <c r="D474"/>
      <c r="E474" s="69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/>
      <c r="W474"/>
      <c r="X474"/>
      <c r="Y474"/>
      <c r="Z474"/>
      <c r="AA474"/>
    </row>
    <row r="475" spans="2:27" s="25" customFormat="1" ht="15.75" customHeight="1" x14ac:dyDescent="0.2">
      <c r="B475" s="89"/>
      <c r="C475"/>
      <c r="D475"/>
      <c r="E475" s="69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  <c r="W475"/>
      <c r="X475"/>
      <c r="Y475"/>
      <c r="Z475"/>
      <c r="AA475"/>
    </row>
    <row r="476" spans="2:27" s="25" customFormat="1" ht="15.75" customHeight="1" x14ac:dyDescent="0.2">
      <c r="B476" s="89"/>
      <c r="C476"/>
      <c r="D476"/>
      <c r="E476" s="69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  <c r="W476"/>
      <c r="X476"/>
      <c r="Y476"/>
      <c r="Z476"/>
      <c r="AA476"/>
    </row>
    <row r="477" spans="2:27" s="25" customFormat="1" ht="15.75" customHeight="1" x14ac:dyDescent="0.2">
      <c r="B477" s="89"/>
      <c r="C477"/>
      <c r="D477"/>
      <c r="E477" s="69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  <c r="W477"/>
      <c r="X477"/>
      <c r="Y477"/>
      <c r="Z477"/>
      <c r="AA477"/>
    </row>
    <row r="478" spans="2:27" s="25" customFormat="1" ht="15.75" customHeight="1" x14ac:dyDescent="0.2">
      <c r="B478" s="89"/>
      <c r="C478"/>
      <c r="D478"/>
      <c r="E478" s="69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  <c r="W478"/>
      <c r="X478"/>
      <c r="Y478"/>
      <c r="Z478"/>
      <c r="AA478"/>
    </row>
    <row r="479" spans="2:27" s="25" customFormat="1" ht="15.75" customHeight="1" x14ac:dyDescent="0.2">
      <c r="B479" s="89"/>
      <c r="C479"/>
      <c r="D479"/>
      <c r="E479" s="6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  <c r="W479"/>
      <c r="X479"/>
      <c r="Y479"/>
      <c r="Z479"/>
      <c r="AA479"/>
    </row>
    <row r="480" spans="2:27" s="25" customFormat="1" ht="15.75" customHeight="1" x14ac:dyDescent="0.2">
      <c r="B480" s="89"/>
      <c r="C480"/>
      <c r="D480"/>
      <c r="E480" s="69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  <c r="AA480"/>
    </row>
    <row r="481" spans="2:27" s="25" customFormat="1" ht="15.75" customHeight="1" x14ac:dyDescent="0.2">
      <c r="B481" s="89"/>
      <c r="C481"/>
      <c r="D481"/>
      <c r="E481" s="69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  <c r="V481"/>
      <c r="W481"/>
      <c r="X481"/>
      <c r="Y481"/>
      <c r="Z481"/>
      <c r="AA481"/>
    </row>
    <row r="482" spans="2:27" s="25" customFormat="1" ht="15.75" customHeight="1" x14ac:dyDescent="0.2">
      <c r="B482" s="89"/>
      <c r="C482"/>
      <c r="D482"/>
      <c r="E482" s="69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  <c r="W482"/>
      <c r="X482"/>
      <c r="Y482"/>
      <c r="Z482"/>
      <c r="AA482"/>
    </row>
    <row r="483" spans="2:27" s="25" customFormat="1" ht="15.75" customHeight="1" x14ac:dyDescent="0.2">
      <c r="B483" s="89"/>
      <c r="C483"/>
      <c r="D483"/>
      <c r="E483" s="69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  <c r="W483"/>
      <c r="X483"/>
      <c r="Y483"/>
      <c r="Z483"/>
      <c r="AA483"/>
    </row>
    <row r="484" spans="2:27" s="25" customFormat="1" ht="15.75" customHeight="1" x14ac:dyDescent="0.2">
      <c r="B484" s="89"/>
      <c r="C484"/>
      <c r="D484"/>
      <c r="E484" s="69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  <c r="AA484"/>
    </row>
    <row r="485" spans="2:27" s="25" customFormat="1" ht="15.75" customHeight="1" x14ac:dyDescent="0.2">
      <c r="B485" s="89"/>
      <c r="C485"/>
      <c r="D485"/>
      <c r="E485" s="69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  <c r="W485"/>
      <c r="X485"/>
      <c r="Y485"/>
      <c r="Z485"/>
      <c r="AA485"/>
    </row>
    <row r="486" spans="2:27" s="25" customFormat="1" ht="15.75" customHeight="1" x14ac:dyDescent="0.2">
      <c r="B486" s="89"/>
      <c r="C486"/>
      <c r="D486"/>
      <c r="E486" s="69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  <c r="V486"/>
      <c r="W486"/>
      <c r="X486"/>
      <c r="Y486"/>
      <c r="Z486"/>
      <c r="AA486"/>
    </row>
    <row r="487" spans="2:27" s="25" customFormat="1" ht="15.75" customHeight="1" x14ac:dyDescent="0.2">
      <c r="B487" s="89"/>
      <c r="C487"/>
      <c r="D487"/>
      <c r="E487" s="69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  <c r="V487"/>
      <c r="W487"/>
      <c r="X487"/>
      <c r="Y487"/>
      <c r="Z487"/>
      <c r="AA487"/>
    </row>
    <row r="488" spans="2:27" s="25" customFormat="1" ht="15.75" customHeight="1" x14ac:dyDescent="0.2">
      <c r="B488" s="89"/>
      <c r="C488"/>
      <c r="D488"/>
      <c r="E488" s="69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  <c r="AA488"/>
    </row>
    <row r="489" spans="2:27" s="25" customFormat="1" ht="15.75" customHeight="1" x14ac:dyDescent="0.2">
      <c r="B489" s="89"/>
      <c r="C489"/>
      <c r="D489"/>
      <c r="E489" s="6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  <c r="W489"/>
      <c r="X489"/>
      <c r="Y489"/>
      <c r="Z489"/>
      <c r="AA489"/>
    </row>
    <row r="490" spans="2:27" s="25" customFormat="1" ht="15.75" customHeight="1" x14ac:dyDescent="0.2">
      <c r="B490" s="89"/>
      <c r="C490"/>
      <c r="D490"/>
      <c r="E490" s="69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  <c r="V490"/>
      <c r="W490"/>
      <c r="X490"/>
      <c r="Y490"/>
      <c r="Z490"/>
      <c r="AA490"/>
    </row>
    <row r="491" spans="2:27" s="25" customFormat="1" ht="15.75" customHeight="1" x14ac:dyDescent="0.2">
      <c r="B491" s="89"/>
      <c r="C491"/>
      <c r="D491"/>
      <c r="E491" s="69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  <c r="V491"/>
      <c r="W491"/>
      <c r="X491"/>
      <c r="Y491"/>
      <c r="Z491"/>
      <c r="AA491"/>
    </row>
    <row r="492" spans="2:27" s="25" customFormat="1" ht="15.75" customHeight="1" x14ac:dyDescent="0.2">
      <c r="B492" s="89"/>
      <c r="C492"/>
      <c r="D492"/>
      <c r="E492" s="69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  <c r="AA492"/>
    </row>
    <row r="493" spans="2:27" s="25" customFormat="1" ht="15.75" customHeight="1" x14ac:dyDescent="0.2">
      <c r="B493" s="89"/>
      <c r="C493"/>
      <c r="D493"/>
      <c r="E493" s="69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  <c r="W493"/>
      <c r="X493"/>
      <c r="Y493"/>
      <c r="Z493"/>
      <c r="AA493"/>
    </row>
    <row r="494" spans="2:27" s="25" customFormat="1" ht="15.75" customHeight="1" x14ac:dyDescent="0.2">
      <c r="B494" s="89"/>
      <c r="C494"/>
      <c r="D494"/>
      <c r="E494" s="69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  <c r="W494"/>
      <c r="X494"/>
      <c r="Y494"/>
      <c r="Z494"/>
      <c r="AA494"/>
    </row>
    <row r="495" spans="2:27" s="25" customFormat="1" ht="15.75" customHeight="1" x14ac:dyDescent="0.2">
      <c r="B495" s="89"/>
      <c r="C495"/>
      <c r="D495"/>
      <c r="E495" s="69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  <c r="V495"/>
      <c r="W495"/>
      <c r="X495"/>
      <c r="Y495"/>
      <c r="Z495"/>
      <c r="AA495"/>
    </row>
    <row r="496" spans="2:27" s="25" customFormat="1" ht="15.75" customHeight="1" x14ac:dyDescent="0.2">
      <c r="B496" s="89"/>
      <c r="C496"/>
      <c r="D496"/>
      <c r="E496" s="69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  <c r="W496"/>
      <c r="X496"/>
      <c r="Y496"/>
      <c r="Z496"/>
      <c r="AA496"/>
    </row>
    <row r="497" spans="2:27" s="25" customFormat="1" ht="15.75" customHeight="1" x14ac:dyDescent="0.2">
      <c r="B497" s="89"/>
      <c r="C497"/>
      <c r="D497"/>
      <c r="E497" s="69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  <c r="W497"/>
      <c r="X497"/>
      <c r="Y497"/>
      <c r="Z497"/>
      <c r="AA497"/>
    </row>
    <row r="498" spans="2:27" s="25" customFormat="1" ht="15.75" customHeight="1" x14ac:dyDescent="0.2">
      <c r="B498" s="89"/>
      <c r="C498"/>
      <c r="D498"/>
      <c r="E498" s="69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  <c r="W498"/>
      <c r="X498"/>
      <c r="Y498"/>
      <c r="Z498"/>
      <c r="AA498"/>
    </row>
    <row r="499" spans="2:27" s="25" customFormat="1" ht="15.75" customHeight="1" x14ac:dyDescent="0.2">
      <c r="B499" s="89"/>
      <c r="C499"/>
      <c r="D499"/>
      <c r="E499" s="6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  <c r="W499"/>
      <c r="X499"/>
      <c r="Y499"/>
      <c r="Z499"/>
      <c r="AA499"/>
    </row>
    <row r="500" spans="2:27" s="25" customFormat="1" ht="15.75" customHeight="1" x14ac:dyDescent="0.2">
      <c r="B500" s="89"/>
      <c r="C500"/>
      <c r="D500"/>
      <c r="E500" s="69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  <c r="AA500"/>
    </row>
    <row r="501" spans="2:27" s="25" customFormat="1" ht="15.75" customHeight="1" x14ac:dyDescent="0.2">
      <c r="B501" s="89"/>
      <c r="C501"/>
      <c r="D501"/>
      <c r="E501" s="69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/>
      <c r="W501"/>
      <c r="X501"/>
      <c r="Y501"/>
      <c r="Z501"/>
      <c r="AA501"/>
    </row>
    <row r="502" spans="2:27" s="25" customFormat="1" ht="15.75" customHeight="1" x14ac:dyDescent="0.2">
      <c r="B502" s="89"/>
      <c r="C502"/>
      <c r="D502"/>
      <c r="E502" s="69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  <c r="W502"/>
      <c r="X502"/>
      <c r="Y502"/>
      <c r="Z502"/>
      <c r="AA502"/>
    </row>
    <row r="503" spans="2:27" s="25" customFormat="1" ht="15.75" customHeight="1" x14ac:dyDescent="0.2">
      <c r="B503" s="89"/>
      <c r="C503"/>
      <c r="D503"/>
      <c r="E503" s="69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  <c r="AA503"/>
    </row>
    <row r="504" spans="2:27" s="25" customFormat="1" ht="15.75" customHeight="1" x14ac:dyDescent="0.2">
      <c r="B504" s="89"/>
      <c r="C504"/>
      <c r="D504"/>
      <c r="E504" s="69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  <c r="V504"/>
      <c r="W504"/>
      <c r="X504"/>
      <c r="Y504"/>
      <c r="Z504"/>
      <c r="AA504"/>
    </row>
    <row r="505" spans="2:27" s="25" customFormat="1" ht="15.75" customHeight="1" x14ac:dyDescent="0.2">
      <c r="B505" s="89"/>
      <c r="C505"/>
      <c r="D505"/>
      <c r="E505" s="69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  <c r="V505"/>
      <c r="W505"/>
      <c r="X505"/>
      <c r="Y505"/>
      <c r="Z505"/>
      <c r="AA505"/>
    </row>
    <row r="506" spans="2:27" s="25" customFormat="1" ht="15.75" customHeight="1" x14ac:dyDescent="0.2">
      <c r="B506" s="89"/>
      <c r="C506"/>
      <c r="D506"/>
      <c r="E506" s="69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  <c r="V506"/>
      <c r="W506"/>
      <c r="X506"/>
      <c r="Y506"/>
      <c r="Z506"/>
      <c r="AA506"/>
    </row>
    <row r="507" spans="2:27" s="25" customFormat="1" ht="15.75" customHeight="1" x14ac:dyDescent="0.2">
      <c r="B507" s="89"/>
      <c r="C507"/>
      <c r="D507"/>
      <c r="E507" s="69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  <c r="V507"/>
      <c r="W507"/>
      <c r="X507"/>
      <c r="Y507"/>
      <c r="Z507"/>
      <c r="AA507"/>
    </row>
    <row r="508" spans="2:27" s="25" customFormat="1" ht="15.75" customHeight="1" x14ac:dyDescent="0.2">
      <c r="B508" s="89"/>
      <c r="C508"/>
      <c r="D508"/>
      <c r="E508" s="69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  <c r="V508"/>
      <c r="W508"/>
      <c r="X508"/>
      <c r="Y508"/>
      <c r="Z508"/>
      <c r="AA508"/>
    </row>
    <row r="509" spans="2:27" s="25" customFormat="1" ht="15.75" customHeight="1" x14ac:dyDescent="0.2">
      <c r="B509" s="89"/>
      <c r="C509"/>
      <c r="D509"/>
      <c r="E509" s="6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  <c r="V509"/>
      <c r="W509"/>
      <c r="X509"/>
      <c r="Y509"/>
      <c r="Z509"/>
      <c r="AA509"/>
    </row>
    <row r="510" spans="2:27" s="25" customFormat="1" ht="15.75" customHeight="1" x14ac:dyDescent="0.2">
      <c r="B510" s="89"/>
      <c r="C510"/>
      <c r="D510"/>
      <c r="E510" s="69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  <c r="V510"/>
      <c r="W510"/>
      <c r="X510"/>
      <c r="Y510"/>
      <c r="Z510"/>
      <c r="AA510"/>
    </row>
    <row r="511" spans="2:27" s="25" customFormat="1" ht="15.75" customHeight="1" x14ac:dyDescent="0.2">
      <c r="B511" s="89"/>
      <c r="C511"/>
      <c r="D511"/>
      <c r="E511" s="69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  <c r="V511"/>
      <c r="W511"/>
      <c r="X511"/>
      <c r="Y511"/>
      <c r="Z511"/>
      <c r="AA511"/>
    </row>
    <row r="512" spans="2:27" s="25" customFormat="1" ht="15.75" customHeight="1" x14ac:dyDescent="0.2">
      <c r="B512" s="89"/>
      <c r="C512"/>
      <c r="D512"/>
      <c r="E512" s="69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  <c r="V512"/>
      <c r="W512"/>
      <c r="X512"/>
      <c r="Y512"/>
      <c r="Z512"/>
      <c r="AA512"/>
    </row>
    <row r="513" spans="2:27" s="25" customFormat="1" ht="15.75" customHeight="1" x14ac:dyDescent="0.2">
      <c r="B513" s="89"/>
      <c r="C513"/>
      <c r="D513"/>
      <c r="E513" s="69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  <c r="V513"/>
      <c r="W513"/>
      <c r="X513"/>
      <c r="Y513"/>
      <c r="Z513"/>
      <c r="AA513"/>
    </row>
    <row r="514" spans="2:27" s="25" customFormat="1" ht="15.75" customHeight="1" x14ac:dyDescent="0.2">
      <c r="B514" s="89"/>
      <c r="C514"/>
      <c r="D514"/>
      <c r="E514" s="69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  <c r="V514"/>
      <c r="W514"/>
      <c r="X514"/>
      <c r="Y514"/>
      <c r="Z514"/>
      <c r="AA514"/>
    </row>
    <row r="515" spans="2:27" s="25" customFormat="1" ht="15.75" customHeight="1" x14ac:dyDescent="0.2">
      <c r="B515" s="89"/>
      <c r="C515"/>
      <c r="D515"/>
      <c r="E515" s="69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  <c r="V515"/>
      <c r="W515"/>
      <c r="X515"/>
      <c r="Y515"/>
      <c r="Z515"/>
      <c r="AA515"/>
    </row>
    <row r="516" spans="2:27" s="25" customFormat="1" ht="15.75" customHeight="1" x14ac:dyDescent="0.2">
      <c r="B516" s="89"/>
      <c r="C516"/>
      <c r="D516"/>
      <c r="E516" s="69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  <c r="V516"/>
      <c r="W516"/>
      <c r="X516"/>
      <c r="Y516"/>
      <c r="Z516"/>
      <c r="AA516"/>
    </row>
    <row r="517" spans="2:27" s="25" customFormat="1" ht="15.75" customHeight="1" x14ac:dyDescent="0.2">
      <c r="B517" s="89"/>
      <c r="C517"/>
      <c r="D517"/>
      <c r="E517" s="69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  <c r="V517"/>
      <c r="W517"/>
      <c r="X517"/>
      <c r="Y517"/>
      <c r="Z517"/>
      <c r="AA517"/>
    </row>
    <row r="518" spans="2:27" s="25" customFormat="1" ht="15.75" customHeight="1" x14ac:dyDescent="0.2">
      <c r="B518" s="89"/>
      <c r="C518"/>
      <c r="D518"/>
      <c r="E518" s="69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  <c r="V518"/>
      <c r="W518"/>
      <c r="X518"/>
      <c r="Y518"/>
      <c r="Z518"/>
      <c r="AA518"/>
    </row>
    <row r="519" spans="2:27" s="25" customFormat="1" ht="15.75" customHeight="1" x14ac:dyDescent="0.2">
      <c r="B519" s="89"/>
      <c r="C519"/>
      <c r="D519"/>
      <c r="E519" s="6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  <c r="V519"/>
      <c r="W519"/>
      <c r="X519"/>
      <c r="Y519"/>
      <c r="Z519"/>
      <c r="AA519"/>
    </row>
    <row r="520" spans="2:27" s="25" customFormat="1" ht="15.75" customHeight="1" x14ac:dyDescent="0.2">
      <c r="B520" s="89"/>
      <c r="C520"/>
      <c r="D520"/>
      <c r="E520" s="69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  <c r="V520"/>
      <c r="W520"/>
      <c r="X520"/>
      <c r="Y520"/>
      <c r="Z520"/>
      <c r="AA520"/>
    </row>
    <row r="521" spans="2:27" s="25" customFormat="1" ht="15.75" customHeight="1" x14ac:dyDescent="0.2">
      <c r="B521" s="89"/>
      <c r="C521"/>
      <c r="D521"/>
      <c r="E521" s="69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  <c r="V521"/>
      <c r="W521"/>
      <c r="X521"/>
      <c r="Y521"/>
      <c r="Z521"/>
      <c r="AA521"/>
    </row>
    <row r="522" spans="2:27" s="25" customFormat="1" ht="15.75" customHeight="1" x14ac:dyDescent="0.2">
      <c r="B522" s="89"/>
      <c r="C522"/>
      <c r="D522"/>
      <c r="E522" s="69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  <c r="V522"/>
      <c r="W522"/>
      <c r="X522"/>
      <c r="Y522"/>
      <c r="Z522"/>
      <c r="AA522"/>
    </row>
    <row r="523" spans="2:27" s="25" customFormat="1" ht="15.75" customHeight="1" x14ac:dyDescent="0.2">
      <c r="B523" s="89"/>
      <c r="C523"/>
      <c r="D523"/>
      <c r="E523" s="69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  <c r="V523"/>
      <c r="W523"/>
      <c r="X523"/>
      <c r="Y523"/>
      <c r="Z523"/>
      <c r="AA523"/>
    </row>
    <row r="524" spans="2:27" s="25" customFormat="1" ht="15.75" customHeight="1" x14ac:dyDescent="0.2">
      <c r="B524" s="89"/>
      <c r="C524"/>
      <c r="D524"/>
      <c r="E524" s="69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  <c r="V524"/>
      <c r="W524"/>
      <c r="X524"/>
      <c r="Y524"/>
      <c r="Z524"/>
      <c r="AA524"/>
    </row>
    <row r="525" spans="2:27" s="25" customFormat="1" ht="15.75" customHeight="1" x14ac:dyDescent="0.2">
      <c r="B525" s="89"/>
      <c r="C525"/>
      <c r="D525"/>
      <c r="E525" s="69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  <c r="V525"/>
      <c r="W525"/>
      <c r="X525"/>
      <c r="Y525"/>
      <c r="Z525"/>
      <c r="AA525"/>
    </row>
    <row r="526" spans="2:27" s="25" customFormat="1" ht="15.75" customHeight="1" x14ac:dyDescent="0.2">
      <c r="B526" s="89"/>
      <c r="C526"/>
      <c r="D526"/>
      <c r="E526" s="69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  <c r="V526"/>
      <c r="W526"/>
      <c r="X526"/>
      <c r="Y526"/>
      <c r="Z526"/>
      <c r="AA526"/>
    </row>
    <row r="527" spans="2:27" s="25" customFormat="1" ht="15.75" customHeight="1" x14ac:dyDescent="0.2">
      <c r="B527" s="89"/>
      <c r="C527"/>
      <c r="D527"/>
      <c r="E527" s="69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  <c r="V527"/>
      <c r="W527"/>
      <c r="X527"/>
      <c r="Y527"/>
      <c r="Z527"/>
      <c r="AA527"/>
    </row>
    <row r="528" spans="2:27" s="25" customFormat="1" ht="15.75" customHeight="1" x14ac:dyDescent="0.2">
      <c r="B528" s="89"/>
      <c r="C528"/>
      <c r="D528"/>
      <c r="E528" s="69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  <c r="V528"/>
      <c r="W528"/>
      <c r="X528"/>
      <c r="Y528"/>
      <c r="Z528"/>
      <c r="AA528"/>
    </row>
    <row r="529" spans="2:27" s="25" customFormat="1" ht="15.75" customHeight="1" x14ac:dyDescent="0.2">
      <c r="B529" s="89"/>
      <c r="C529"/>
      <c r="D529"/>
      <c r="E529" s="6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  <c r="V529"/>
      <c r="W529"/>
      <c r="X529"/>
      <c r="Y529"/>
      <c r="Z529"/>
      <c r="AA529"/>
    </row>
    <row r="530" spans="2:27" s="25" customFormat="1" ht="15.75" customHeight="1" x14ac:dyDescent="0.2">
      <c r="B530" s="89"/>
      <c r="C530"/>
      <c r="D530"/>
      <c r="E530" s="69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  <c r="V530"/>
      <c r="W530"/>
      <c r="X530"/>
      <c r="Y530"/>
      <c r="Z530"/>
      <c r="AA530"/>
    </row>
    <row r="531" spans="2:27" s="25" customFormat="1" ht="15.75" customHeight="1" x14ac:dyDescent="0.2">
      <c r="B531" s="89"/>
      <c r="C531"/>
      <c r="D531"/>
      <c r="E531" s="69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  <c r="V531"/>
      <c r="W531"/>
      <c r="X531"/>
      <c r="Y531"/>
      <c r="Z531"/>
      <c r="AA531"/>
    </row>
    <row r="532" spans="2:27" s="25" customFormat="1" ht="15.75" customHeight="1" x14ac:dyDescent="0.2">
      <c r="B532" s="89"/>
      <c r="C532"/>
      <c r="D532"/>
      <c r="E532" s="69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  <c r="V532"/>
      <c r="W532"/>
      <c r="X532"/>
      <c r="Y532"/>
      <c r="Z532"/>
      <c r="AA532"/>
    </row>
    <row r="533" spans="2:27" s="25" customFormat="1" ht="15.75" customHeight="1" x14ac:dyDescent="0.2">
      <c r="B533" s="89"/>
      <c r="C533"/>
      <c r="D533"/>
      <c r="E533" s="69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  <c r="V533"/>
      <c r="W533"/>
      <c r="X533"/>
      <c r="Y533"/>
      <c r="Z533"/>
      <c r="AA533"/>
    </row>
    <row r="534" spans="2:27" s="25" customFormat="1" ht="15.75" customHeight="1" x14ac:dyDescent="0.2">
      <c r="B534" s="89"/>
      <c r="C534"/>
      <c r="D534"/>
      <c r="E534" s="69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  <c r="V534"/>
      <c r="W534"/>
      <c r="X534"/>
      <c r="Y534"/>
      <c r="Z534"/>
      <c r="AA534"/>
    </row>
    <row r="535" spans="2:27" s="25" customFormat="1" ht="15.75" customHeight="1" x14ac:dyDescent="0.2">
      <c r="B535" s="89"/>
      <c r="C535"/>
      <c r="D535"/>
      <c r="E535" s="69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  <c r="V535"/>
      <c r="W535"/>
      <c r="X535"/>
      <c r="Y535"/>
      <c r="Z535"/>
      <c r="AA535"/>
    </row>
    <row r="536" spans="2:27" s="25" customFormat="1" ht="15.75" customHeight="1" x14ac:dyDescent="0.2">
      <c r="B536" s="89"/>
      <c r="C536"/>
      <c r="D536"/>
      <c r="E536" s="69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  <c r="V536"/>
      <c r="W536"/>
      <c r="X536"/>
      <c r="Y536"/>
      <c r="Z536"/>
      <c r="AA536"/>
    </row>
    <row r="537" spans="2:27" s="25" customFormat="1" ht="15.75" customHeight="1" x14ac:dyDescent="0.2">
      <c r="B537" s="89"/>
      <c r="C537"/>
      <c r="D537"/>
      <c r="E537" s="69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  <c r="V537"/>
      <c r="W537"/>
      <c r="X537"/>
      <c r="Y537"/>
      <c r="Z537"/>
      <c r="AA537"/>
    </row>
    <row r="538" spans="2:27" s="25" customFormat="1" ht="15.75" customHeight="1" x14ac:dyDescent="0.2">
      <c r="B538" s="89"/>
      <c r="C538"/>
      <c r="D538"/>
      <c r="E538" s="69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  <c r="V538"/>
      <c r="W538"/>
      <c r="X538"/>
      <c r="Y538"/>
      <c r="Z538"/>
      <c r="AA538"/>
    </row>
    <row r="539" spans="2:27" s="25" customFormat="1" ht="15.75" customHeight="1" x14ac:dyDescent="0.2">
      <c r="B539" s="89"/>
      <c r="C539"/>
      <c r="D539"/>
      <c r="E539" s="6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  <c r="V539"/>
      <c r="W539"/>
      <c r="X539"/>
      <c r="Y539"/>
      <c r="Z539"/>
      <c r="AA539"/>
    </row>
    <row r="540" spans="2:27" s="25" customFormat="1" ht="15.75" customHeight="1" x14ac:dyDescent="0.2">
      <c r="B540" s="89"/>
      <c r="C540"/>
      <c r="D540"/>
      <c r="E540" s="69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  <c r="V540"/>
      <c r="W540"/>
      <c r="X540"/>
      <c r="Y540"/>
      <c r="Z540"/>
      <c r="AA540"/>
    </row>
    <row r="541" spans="2:27" s="25" customFormat="1" ht="15.75" customHeight="1" x14ac:dyDescent="0.2">
      <c r="B541" s="89"/>
      <c r="C541"/>
      <c r="D541"/>
      <c r="E541" s="69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  <c r="V541"/>
      <c r="W541"/>
      <c r="X541"/>
      <c r="Y541"/>
      <c r="Z541"/>
      <c r="AA541"/>
    </row>
    <row r="542" spans="2:27" s="25" customFormat="1" ht="15.75" customHeight="1" x14ac:dyDescent="0.2">
      <c r="B542" s="89"/>
      <c r="C542"/>
      <c r="D542"/>
      <c r="E542" s="69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  <c r="V542"/>
      <c r="W542"/>
      <c r="X542"/>
      <c r="Y542"/>
      <c r="Z542"/>
      <c r="AA542"/>
    </row>
    <row r="543" spans="2:27" s="25" customFormat="1" ht="15.75" customHeight="1" x14ac:dyDescent="0.2">
      <c r="B543" s="89"/>
      <c r="C543"/>
      <c r="D543"/>
      <c r="E543" s="69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  <c r="V543"/>
      <c r="W543"/>
      <c r="X543"/>
      <c r="Y543"/>
      <c r="Z543"/>
      <c r="AA543"/>
    </row>
    <row r="544" spans="2:27" s="25" customFormat="1" ht="15.75" customHeight="1" x14ac:dyDescent="0.2">
      <c r="B544" s="89"/>
      <c r="C544"/>
      <c r="D544"/>
      <c r="E544" s="69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  <c r="V544"/>
      <c r="W544"/>
      <c r="X544"/>
      <c r="Y544"/>
      <c r="Z544"/>
      <c r="AA544"/>
    </row>
    <row r="545" spans="2:27" s="25" customFormat="1" ht="15.75" customHeight="1" x14ac:dyDescent="0.2">
      <c r="B545" s="89"/>
      <c r="C545"/>
      <c r="D545"/>
      <c r="E545" s="69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  <c r="V545"/>
      <c r="W545"/>
      <c r="X545"/>
      <c r="Y545"/>
      <c r="Z545"/>
      <c r="AA545"/>
    </row>
    <row r="546" spans="2:27" s="25" customFormat="1" ht="15.75" customHeight="1" x14ac:dyDescent="0.2">
      <c r="B546" s="89"/>
      <c r="C546"/>
      <c r="D546"/>
      <c r="E546" s="69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  <c r="V546"/>
      <c r="W546"/>
      <c r="X546"/>
      <c r="Y546"/>
      <c r="Z546"/>
      <c r="AA546"/>
    </row>
    <row r="547" spans="2:27" s="25" customFormat="1" ht="15.75" customHeight="1" x14ac:dyDescent="0.2">
      <c r="B547" s="89"/>
      <c r="C547"/>
      <c r="D547"/>
      <c r="E547" s="69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  <c r="V547"/>
      <c r="W547"/>
      <c r="X547"/>
      <c r="Y547"/>
      <c r="Z547"/>
      <c r="AA547"/>
    </row>
    <row r="548" spans="2:27" s="25" customFormat="1" ht="15.75" customHeight="1" x14ac:dyDescent="0.2">
      <c r="B548" s="89"/>
      <c r="C548"/>
      <c r="D548"/>
      <c r="E548" s="69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  <c r="V548"/>
      <c r="W548"/>
      <c r="X548"/>
      <c r="Y548"/>
      <c r="Z548"/>
      <c r="AA548"/>
    </row>
    <row r="549" spans="2:27" s="25" customFormat="1" ht="15.75" customHeight="1" x14ac:dyDescent="0.2">
      <c r="B549" s="89"/>
      <c r="C549"/>
      <c r="D549"/>
      <c r="E549" s="6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  <c r="U549"/>
      <c r="V549"/>
      <c r="W549"/>
      <c r="X549"/>
      <c r="Y549"/>
      <c r="Z549"/>
      <c r="AA549"/>
    </row>
    <row r="550" spans="2:27" s="25" customFormat="1" ht="15.75" customHeight="1" x14ac:dyDescent="0.2">
      <c r="B550" s="89"/>
      <c r="C550"/>
      <c r="D550"/>
      <c r="E550" s="69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  <c r="V550"/>
      <c r="W550"/>
      <c r="X550"/>
      <c r="Y550"/>
      <c r="Z550"/>
      <c r="AA550"/>
    </row>
    <row r="551" spans="2:27" s="25" customFormat="1" ht="15.75" customHeight="1" x14ac:dyDescent="0.2">
      <c r="B551" s="89"/>
      <c r="C551"/>
      <c r="D551"/>
      <c r="E551" s="69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  <c r="V551"/>
      <c r="W551"/>
      <c r="X551"/>
      <c r="Y551"/>
      <c r="Z551"/>
      <c r="AA551"/>
    </row>
    <row r="552" spans="2:27" s="25" customFormat="1" ht="15.75" customHeight="1" x14ac:dyDescent="0.2">
      <c r="B552" s="89"/>
      <c r="C552"/>
      <c r="D552"/>
      <c r="E552" s="69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  <c r="V552"/>
      <c r="W552"/>
      <c r="X552"/>
      <c r="Y552"/>
      <c r="Z552"/>
      <c r="AA552"/>
    </row>
    <row r="553" spans="2:27" s="25" customFormat="1" ht="15.75" customHeight="1" x14ac:dyDescent="0.2">
      <c r="B553" s="89"/>
      <c r="C553"/>
      <c r="D553"/>
      <c r="E553" s="69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  <c r="V553"/>
      <c r="W553"/>
      <c r="X553"/>
      <c r="Y553"/>
      <c r="Z553"/>
      <c r="AA553"/>
    </row>
    <row r="554" spans="2:27" s="25" customFormat="1" ht="15.75" customHeight="1" x14ac:dyDescent="0.2">
      <c r="B554" s="89"/>
      <c r="C554"/>
      <c r="D554"/>
      <c r="E554" s="69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  <c r="V554"/>
      <c r="W554"/>
      <c r="X554"/>
      <c r="Y554"/>
      <c r="Z554"/>
      <c r="AA554"/>
    </row>
    <row r="555" spans="2:27" s="25" customFormat="1" ht="15.75" customHeight="1" x14ac:dyDescent="0.2">
      <c r="B555" s="89"/>
      <c r="C555"/>
      <c r="D555"/>
      <c r="E555" s="69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  <c r="V555"/>
      <c r="W555"/>
      <c r="X555"/>
      <c r="Y555"/>
      <c r="Z555"/>
      <c r="AA555"/>
    </row>
    <row r="556" spans="2:27" s="25" customFormat="1" ht="15.75" customHeight="1" x14ac:dyDescent="0.2">
      <c r="B556" s="89"/>
      <c r="C556"/>
      <c r="D556"/>
      <c r="E556" s="69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  <c r="V556"/>
      <c r="W556"/>
      <c r="X556"/>
      <c r="Y556"/>
      <c r="Z556"/>
      <c r="AA556"/>
    </row>
    <row r="557" spans="2:27" s="25" customFormat="1" ht="15.75" customHeight="1" x14ac:dyDescent="0.2">
      <c r="B557" s="89"/>
      <c r="C557"/>
      <c r="D557"/>
      <c r="E557" s="69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  <c r="V557"/>
      <c r="W557"/>
      <c r="X557"/>
      <c r="Y557"/>
      <c r="Z557"/>
      <c r="AA557"/>
    </row>
    <row r="558" spans="2:27" s="25" customFormat="1" ht="15.75" customHeight="1" x14ac:dyDescent="0.2">
      <c r="B558" s="89"/>
      <c r="C558"/>
      <c r="D558"/>
      <c r="E558" s="69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  <c r="V558"/>
      <c r="W558"/>
      <c r="X558"/>
      <c r="Y558"/>
      <c r="Z558"/>
      <c r="AA558"/>
    </row>
    <row r="559" spans="2:27" s="25" customFormat="1" ht="15.75" customHeight="1" x14ac:dyDescent="0.2">
      <c r="B559" s="89"/>
      <c r="C559"/>
      <c r="D559"/>
      <c r="E559" s="6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  <c r="V559"/>
      <c r="W559"/>
      <c r="X559"/>
      <c r="Y559"/>
      <c r="Z559"/>
      <c r="AA559"/>
    </row>
    <row r="560" spans="2:27" s="25" customFormat="1" ht="15.75" customHeight="1" x14ac:dyDescent="0.2">
      <c r="B560" s="89"/>
      <c r="C560"/>
      <c r="D560"/>
      <c r="E560" s="69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  <c r="V560"/>
      <c r="W560"/>
      <c r="X560"/>
      <c r="Y560"/>
      <c r="Z560"/>
      <c r="AA560"/>
    </row>
    <row r="561" spans="2:27" s="25" customFormat="1" ht="15.75" customHeight="1" x14ac:dyDescent="0.2">
      <c r="B561" s="89"/>
      <c r="C561"/>
      <c r="D561"/>
      <c r="E561" s="69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  <c r="V561"/>
      <c r="W561"/>
      <c r="X561"/>
      <c r="Y561"/>
      <c r="Z561"/>
      <c r="AA561"/>
    </row>
    <row r="562" spans="2:27" s="25" customFormat="1" ht="15.75" customHeight="1" x14ac:dyDescent="0.2">
      <c r="B562" s="89"/>
      <c r="C562"/>
      <c r="D562"/>
      <c r="E562" s="69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  <c r="V562"/>
      <c r="W562"/>
      <c r="X562"/>
      <c r="Y562"/>
      <c r="Z562"/>
      <c r="AA562"/>
    </row>
    <row r="563" spans="2:27" s="25" customFormat="1" ht="15.75" customHeight="1" x14ac:dyDescent="0.2">
      <c r="B563" s="89"/>
      <c r="C563"/>
      <c r="D563"/>
      <c r="E563" s="69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  <c r="V563"/>
      <c r="W563"/>
      <c r="X563"/>
      <c r="Y563"/>
      <c r="Z563"/>
      <c r="AA563"/>
    </row>
    <row r="564" spans="2:27" s="25" customFormat="1" ht="15.75" customHeight="1" x14ac:dyDescent="0.2">
      <c r="B564" s="89"/>
      <c r="C564"/>
      <c r="D564"/>
      <c r="E564" s="69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  <c r="V564"/>
      <c r="W564"/>
      <c r="X564"/>
      <c r="Y564"/>
      <c r="Z564"/>
      <c r="AA564"/>
    </row>
    <row r="565" spans="2:27" s="25" customFormat="1" ht="15.75" customHeight="1" x14ac:dyDescent="0.2">
      <c r="B565" s="89"/>
      <c r="C565"/>
      <c r="D565"/>
      <c r="E565" s="69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  <c r="V565"/>
      <c r="W565"/>
      <c r="X565"/>
      <c r="Y565"/>
      <c r="Z565"/>
      <c r="AA565"/>
    </row>
    <row r="566" spans="2:27" s="25" customFormat="1" ht="15.75" customHeight="1" x14ac:dyDescent="0.2">
      <c r="B566" s="89"/>
      <c r="C566"/>
      <c r="D566"/>
      <c r="E566" s="69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  <c r="V566"/>
      <c r="W566"/>
      <c r="X566"/>
      <c r="Y566"/>
      <c r="Z566"/>
      <c r="AA566"/>
    </row>
    <row r="567" spans="2:27" s="25" customFormat="1" ht="15.75" customHeight="1" x14ac:dyDescent="0.2">
      <c r="B567" s="89"/>
      <c r="C567"/>
      <c r="D567"/>
      <c r="E567" s="69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  <c r="V567"/>
      <c r="W567"/>
      <c r="X567"/>
      <c r="Y567"/>
      <c r="Z567"/>
      <c r="AA567"/>
    </row>
    <row r="568" spans="2:27" s="25" customFormat="1" ht="15.75" customHeight="1" x14ac:dyDescent="0.2">
      <c r="B568" s="89"/>
      <c r="C568"/>
      <c r="D568"/>
      <c r="E568" s="69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  <c r="V568"/>
      <c r="W568"/>
      <c r="X568"/>
      <c r="Y568"/>
      <c r="Z568"/>
      <c r="AA568"/>
    </row>
    <row r="569" spans="2:27" s="25" customFormat="1" ht="15.75" customHeight="1" x14ac:dyDescent="0.2">
      <c r="B569" s="89"/>
      <c r="C569"/>
      <c r="D569"/>
      <c r="E569" s="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  <c r="V569"/>
      <c r="W569"/>
      <c r="X569"/>
      <c r="Y569"/>
      <c r="Z569"/>
      <c r="AA569"/>
    </row>
    <row r="570" spans="2:27" s="25" customFormat="1" ht="15.75" customHeight="1" x14ac:dyDescent="0.2">
      <c r="B570" s="89"/>
      <c r="C570"/>
      <c r="D570"/>
      <c r="E570" s="69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  <c r="V570"/>
      <c r="W570"/>
      <c r="X570"/>
      <c r="Y570"/>
      <c r="Z570"/>
      <c r="AA570"/>
    </row>
    <row r="571" spans="2:27" s="25" customFormat="1" ht="15.75" customHeight="1" x14ac:dyDescent="0.2">
      <c r="B571" s="89"/>
      <c r="C571"/>
      <c r="D571"/>
      <c r="E571" s="69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  <c r="V571"/>
      <c r="W571"/>
      <c r="X571"/>
      <c r="Y571"/>
      <c r="Z571"/>
      <c r="AA571"/>
    </row>
    <row r="572" spans="2:27" s="25" customFormat="1" ht="15.75" customHeight="1" x14ac:dyDescent="0.2">
      <c r="B572" s="89"/>
      <c r="C572"/>
      <c r="D572"/>
      <c r="E572" s="69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  <c r="V572"/>
      <c r="W572"/>
      <c r="X572"/>
      <c r="Y572"/>
      <c r="Z572"/>
      <c r="AA572"/>
    </row>
    <row r="573" spans="2:27" s="25" customFormat="1" ht="15.75" customHeight="1" x14ac:dyDescent="0.2">
      <c r="B573" s="89"/>
      <c r="C573"/>
      <c r="D573"/>
      <c r="E573" s="69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  <c r="V573"/>
      <c r="W573"/>
      <c r="X573"/>
      <c r="Y573"/>
      <c r="Z573"/>
      <c r="AA573"/>
    </row>
    <row r="574" spans="2:27" s="25" customFormat="1" ht="15.75" customHeight="1" x14ac:dyDescent="0.2">
      <c r="B574" s="89"/>
      <c r="C574"/>
      <c r="D574"/>
      <c r="E574" s="69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  <c r="V574"/>
      <c r="W574"/>
      <c r="X574"/>
      <c r="Y574"/>
      <c r="Z574"/>
      <c r="AA574"/>
    </row>
    <row r="575" spans="2:27" s="25" customFormat="1" ht="15.75" customHeight="1" x14ac:dyDescent="0.2">
      <c r="B575" s="89"/>
      <c r="C575"/>
      <c r="D575"/>
      <c r="E575" s="69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  <c r="V575"/>
      <c r="W575"/>
      <c r="X575"/>
      <c r="Y575"/>
      <c r="Z575"/>
      <c r="AA575"/>
    </row>
    <row r="576" spans="2:27" s="25" customFormat="1" ht="15.75" customHeight="1" x14ac:dyDescent="0.2">
      <c r="B576" s="89"/>
      <c r="C576"/>
      <c r="D576"/>
      <c r="E576" s="69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  <c r="V576"/>
      <c r="W576"/>
      <c r="X576"/>
      <c r="Y576"/>
      <c r="Z576"/>
      <c r="AA576"/>
    </row>
    <row r="577" spans="2:27" s="25" customFormat="1" ht="15.75" customHeight="1" x14ac:dyDescent="0.2">
      <c r="B577" s="89"/>
      <c r="C577"/>
      <c r="D577"/>
      <c r="E577" s="69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  <c r="V577"/>
      <c r="W577"/>
      <c r="X577"/>
      <c r="Y577"/>
      <c r="Z577"/>
      <c r="AA577"/>
    </row>
    <row r="578" spans="2:27" s="25" customFormat="1" ht="15.75" customHeight="1" x14ac:dyDescent="0.2">
      <c r="B578" s="89"/>
      <c r="C578"/>
      <c r="D578"/>
      <c r="E578" s="69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  <c r="V578"/>
      <c r="W578"/>
      <c r="X578"/>
      <c r="Y578"/>
      <c r="Z578"/>
      <c r="AA578"/>
    </row>
    <row r="579" spans="2:27" s="25" customFormat="1" ht="15.75" customHeight="1" x14ac:dyDescent="0.2">
      <c r="B579" s="89"/>
      <c r="C579"/>
      <c r="D579"/>
      <c r="E579" s="6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  <c r="V579"/>
      <c r="W579"/>
      <c r="X579"/>
      <c r="Y579"/>
      <c r="Z579"/>
      <c r="AA579"/>
    </row>
    <row r="580" spans="2:27" s="25" customFormat="1" ht="15.75" customHeight="1" x14ac:dyDescent="0.2">
      <c r="B580" s="89"/>
      <c r="C580"/>
      <c r="D580"/>
      <c r="E580" s="69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  <c r="V580"/>
      <c r="W580"/>
      <c r="X580"/>
      <c r="Y580"/>
      <c r="Z580"/>
      <c r="AA580"/>
    </row>
    <row r="581" spans="2:27" s="25" customFormat="1" ht="15.75" customHeight="1" x14ac:dyDescent="0.2">
      <c r="B581" s="89"/>
      <c r="C581"/>
      <c r="D581"/>
      <c r="E581" s="69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  <c r="V581"/>
      <c r="W581"/>
      <c r="X581"/>
      <c r="Y581"/>
      <c r="Z581"/>
      <c r="AA581"/>
    </row>
    <row r="582" spans="2:27" s="25" customFormat="1" ht="15.75" customHeight="1" x14ac:dyDescent="0.2">
      <c r="B582" s="89"/>
      <c r="C582"/>
      <c r="D582"/>
      <c r="E582" s="69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  <c r="V582"/>
      <c r="W582"/>
      <c r="X582"/>
      <c r="Y582"/>
      <c r="Z582"/>
      <c r="AA582"/>
    </row>
    <row r="583" spans="2:27" s="25" customFormat="1" ht="15.75" customHeight="1" x14ac:dyDescent="0.2">
      <c r="B583" s="89"/>
      <c r="C583"/>
      <c r="D583"/>
      <c r="E583" s="69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  <c r="U583"/>
      <c r="V583"/>
      <c r="W583"/>
      <c r="X583"/>
      <c r="Y583"/>
      <c r="Z583"/>
      <c r="AA583"/>
    </row>
    <row r="584" spans="2:27" s="25" customFormat="1" ht="15.75" customHeight="1" x14ac:dyDescent="0.2">
      <c r="B584" s="89"/>
      <c r="C584"/>
      <c r="D584"/>
      <c r="E584" s="69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  <c r="V584"/>
      <c r="W584"/>
      <c r="X584"/>
      <c r="Y584"/>
      <c r="Z584"/>
      <c r="AA584"/>
    </row>
    <row r="585" spans="2:27" s="25" customFormat="1" ht="15.75" customHeight="1" x14ac:dyDescent="0.2">
      <c r="B585" s="89"/>
      <c r="C585"/>
      <c r="D585"/>
      <c r="E585" s="69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  <c r="V585"/>
      <c r="W585"/>
      <c r="X585"/>
      <c r="Y585"/>
      <c r="Z585"/>
      <c r="AA585"/>
    </row>
    <row r="586" spans="2:27" s="25" customFormat="1" ht="15.75" customHeight="1" x14ac:dyDescent="0.2">
      <c r="B586" s="89"/>
      <c r="C586"/>
      <c r="D586"/>
      <c r="E586" s="69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  <c r="V586"/>
      <c r="W586"/>
      <c r="X586"/>
      <c r="Y586"/>
      <c r="Z586"/>
      <c r="AA586"/>
    </row>
    <row r="587" spans="2:27" s="25" customFormat="1" ht="15.75" customHeight="1" x14ac:dyDescent="0.2">
      <c r="B587" s="89"/>
      <c r="C587"/>
      <c r="D587"/>
      <c r="E587" s="69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  <c r="V587"/>
      <c r="W587"/>
      <c r="X587"/>
      <c r="Y587"/>
      <c r="Z587"/>
      <c r="AA587"/>
    </row>
    <row r="588" spans="2:27" s="25" customFormat="1" ht="15.75" customHeight="1" x14ac:dyDescent="0.2">
      <c r="B588" s="89"/>
      <c r="C588"/>
      <c r="D588"/>
      <c r="E588" s="69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  <c r="V588"/>
      <c r="W588"/>
      <c r="X588"/>
      <c r="Y588"/>
      <c r="Z588"/>
      <c r="AA588"/>
    </row>
    <row r="589" spans="2:27" s="25" customFormat="1" ht="15.75" customHeight="1" x14ac:dyDescent="0.2">
      <c r="B589" s="89"/>
      <c r="C589"/>
      <c r="D589"/>
      <c r="E589" s="6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  <c r="V589"/>
      <c r="W589"/>
      <c r="X589"/>
      <c r="Y589"/>
      <c r="Z589"/>
      <c r="AA589"/>
    </row>
    <row r="590" spans="2:27" s="25" customFormat="1" ht="15.75" customHeight="1" x14ac:dyDescent="0.2">
      <c r="B590" s="89"/>
      <c r="C590"/>
      <c r="D590"/>
      <c r="E590" s="69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  <c r="V590"/>
      <c r="W590"/>
      <c r="X590"/>
      <c r="Y590"/>
      <c r="Z590"/>
      <c r="AA590"/>
    </row>
    <row r="591" spans="2:27" s="25" customFormat="1" ht="15.75" customHeight="1" x14ac:dyDescent="0.2">
      <c r="B591" s="89"/>
      <c r="C591"/>
      <c r="D591"/>
      <c r="E591" s="69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  <c r="U591"/>
      <c r="V591"/>
      <c r="W591"/>
      <c r="X591"/>
      <c r="Y591"/>
      <c r="Z591"/>
      <c r="AA591"/>
    </row>
    <row r="592" spans="2:27" s="25" customFormat="1" ht="15.75" customHeight="1" x14ac:dyDescent="0.2">
      <c r="B592" s="89"/>
      <c r="C592"/>
      <c r="D592"/>
      <c r="E592" s="69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  <c r="V592"/>
      <c r="W592"/>
      <c r="X592"/>
      <c r="Y592"/>
      <c r="Z592"/>
      <c r="AA592"/>
    </row>
    <row r="593" spans="2:27" s="25" customFormat="1" ht="15.75" customHeight="1" x14ac:dyDescent="0.2">
      <c r="B593" s="89"/>
      <c r="C593"/>
      <c r="D593"/>
      <c r="E593" s="69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  <c r="V593"/>
      <c r="W593"/>
      <c r="X593"/>
      <c r="Y593"/>
      <c r="Z593"/>
      <c r="AA593"/>
    </row>
    <row r="594" spans="2:27" s="25" customFormat="1" ht="15.75" customHeight="1" x14ac:dyDescent="0.2">
      <c r="B594" s="89"/>
      <c r="C594"/>
      <c r="D594"/>
      <c r="E594" s="69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  <c r="V594"/>
      <c r="W594"/>
      <c r="X594"/>
      <c r="Y594"/>
      <c r="Z594"/>
      <c r="AA594"/>
    </row>
    <row r="595" spans="2:27" s="25" customFormat="1" ht="15.75" customHeight="1" x14ac:dyDescent="0.2">
      <c r="B595" s="89"/>
      <c r="C595"/>
      <c r="D595"/>
      <c r="E595" s="69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  <c r="V595"/>
      <c r="W595"/>
      <c r="X595"/>
      <c r="Y595"/>
      <c r="Z595"/>
      <c r="AA595"/>
    </row>
    <row r="596" spans="2:27" s="25" customFormat="1" ht="15.75" customHeight="1" x14ac:dyDescent="0.2">
      <c r="B596" s="89"/>
      <c r="C596"/>
      <c r="D596"/>
      <c r="E596" s="69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  <c r="V596"/>
      <c r="W596"/>
      <c r="X596"/>
      <c r="Y596"/>
      <c r="Z596"/>
      <c r="AA596"/>
    </row>
    <row r="597" spans="2:27" s="25" customFormat="1" ht="15.75" customHeight="1" x14ac:dyDescent="0.2">
      <c r="B597" s="89"/>
      <c r="C597"/>
      <c r="D597"/>
      <c r="E597" s="69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  <c r="V597"/>
      <c r="W597"/>
      <c r="X597"/>
      <c r="Y597"/>
      <c r="Z597"/>
      <c r="AA597"/>
    </row>
    <row r="598" spans="2:27" s="25" customFormat="1" ht="15.75" customHeight="1" x14ac:dyDescent="0.2">
      <c r="B598" s="89"/>
      <c r="C598"/>
      <c r="D598"/>
      <c r="E598" s="69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  <c r="V598"/>
      <c r="W598"/>
      <c r="X598"/>
      <c r="Y598"/>
      <c r="Z598"/>
      <c r="AA598"/>
    </row>
    <row r="599" spans="2:27" s="25" customFormat="1" ht="15.75" customHeight="1" x14ac:dyDescent="0.2">
      <c r="B599" s="89"/>
      <c r="C599"/>
      <c r="D599"/>
      <c r="E599" s="6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  <c r="V599"/>
      <c r="W599"/>
      <c r="X599"/>
      <c r="Y599"/>
      <c r="Z599"/>
      <c r="AA599"/>
    </row>
    <row r="600" spans="2:27" s="25" customFormat="1" ht="15.75" customHeight="1" x14ac:dyDescent="0.2">
      <c r="B600" s="89"/>
      <c r="C600"/>
      <c r="D600"/>
      <c r="E600" s="69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  <c r="V600"/>
      <c r="W600"/>
      <c r="X600"/>
      <c r="Y600"/>
      <c r="Z600"/>
      <c r="AA600"/>
    </row>
    <row r="601" spans="2:27" s="25" customFormat="1" ht="15.75" customHeight="1" x14ac:dyDescent="0.2">
      <c r="B601" s="89"/>
      <c r="C601"/>
      <c r="D601"/>
      <c r="E601" s="69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  <c r="V601"/>
      <c r="W601"/>
      <c r="X601"/>
      <c r="Y601"/>
      <c r="Z601"/>
      <c r="AA601"/>
    </row>
    <row r="602" spans="2:27" s="25" customFormat="1" ht="15.75" customHeight="1" x14ac:dyDescent="0.2">
      <c r="B602" s="89"/>
      <c r="C602"/>
      <c r="D602"/>
      <c r="E602" s="69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  <c r="V602"/>
      <c r="W602"/>
      <c r="X602"/>
      <c r="Y602"/>
      <c r="Z602"/>
      <c r="AA602"/>
    </row>
    <row r="603" spans="2:27" s="25" customFormat="1" ht="15.75" customHeight="1" x14ac:dyDescent="0.2">
      <c r="B603" s="89"/>
      <c r="C603"/>
      <c r="D603"/>
      <c r="E603" s="69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  <c r="V603"/>
      <c r="W603"/>
      <c r="X603"/>
      <c r="Y603"/>
      <c r="Z603"/>
      <c r="AA603"/>
    </row>
    <row r="604" spans="2:27" s="25" customFormat="1" ht="15.75" customHeight="1" x14ac:dyDescent="0.2">
      <c r="B604" s="89"/>
      <c r="C604"/>
      <c r="D604"/>
      <c r="E604" s="69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  <c r="V604"/>
      <c r="W604"/>
      <c r="X604"/>
      <c r="Y604"/>
      <c r="Z604"/>
      <c r="AA604"/>
    </row>
    <row r="605" spans="2:27" s="25" customFormat="1" ht="15.75" customHeight="1" x14ac:dyDescent="0.2">
      <c r="B605" s="89"/>
      <c r="C605"/>
      <c r="D605"/>
      <c r="E605" s="69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  <c r="V605"/>
      <c r="W605"/>
      <c r="X605"/>
      <c r="Y605"/>
      <c r="Z605"/>
      <c r="AA605"/>
    </row>
    <row r="606" spans="2:27" s="25" customFormat="1" ht="15.75" customHeight="1" x14ac:dyDescent="0.2">
      <c r="B606" s="89"/>
      <c r="C606"/>
      <c r="D606"/>
      <c r="E606" s="69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  <c r="U606"/>
      <c r="V606"/>
      <c r="W606"/>
      <c r="X606"/>
      <c r="Y606"/>
      <c r="Z606"/>
      <c r="AA606"/>
    </row>
    <row r="607" spans="2:27" s="25" customFormat="1" ht="15.75" customHeight="1" x14ac:dyDescent="0.2">
      <c r="B607" s="89"/>
      <c r="C607"/>
      <c r="D607"/>
      <c r="E607" s="69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  <c r="U607"/>
      <c r="V607"/>
      <c r="W607"/>
      <c r="X607"/>
      <c r="Y607"/>
      <c r="Z607"/>
      <c r="AA607"/>
    </row>
    <row r="608" spans="2:27" s="25" customFormat="1" ht="15.75" customHeight="1" x14ac:dyDescent="0.2">
      <c r="B608" s="89"/>
      <c r="C608"/>
      <c r="D608"/>
      <c r="E608" s="69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  <c r="V608"/>
      <c r="W608"/>
      <c r="X608"/>
      <c r="Y608"/>
      <c r="Z608"/>
      <c r="AA608"/>
    </row>
    <row r="609" spans="2:27" s="25" customFormat="1" ht="15.75" customHeight="1" x14ac:dyDescent="0.2">
      <c r="B609" s="89"/>
      <c r="C609"/>
      <c r="D609"/>
      <c r="E609" s="6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  <c r="V609"/>
      <c r="W609"/>
      <c r="X609"/>
      <c r="Y609"/>
      <c r="Z609"/>
      <c r="AA609"/>
    </row>
    <row r="610" spans="2:27" s="25" customFormat="1" ht="15.75" customHeight="1" x14ac:dyDescent="0.2">
      <c r="B610" s="89"/>
      <c r="C610"/>
      <c r="D610"/>
      <c r="E610" s="69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  <c r="V610"/>
      <c r="W610"/>
      <c r="X610"/>
      <c r="Y610"/>
      <c r="Z610"/>
      <c r="AA610"/>
    </row>
    <row r="611" spans="2:27" s="25" customFormat="1" ht="15.75" customHeight="1" x14ac:dyDescent="0.2">
      <c r="B611" s="89"/>
      <c r="C611"/>
      <c r="D611"/>
      <c r="E611" s="69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  <c r="V611"/>
      <c r="W611"/>
      <c r="X611"/>
      <c r="Y611"/>
      <c r="Z611"/>
      <c r="AA611"/>
    </row>
    <row r="612" spans="2:27" s="25" customFormat="1" ht="15.75" customHeight="1" x14ac:dyDescent="0.2">
      <c r="B612" s="89"/>
      <c r="C612"/>
      <c r="D612"/>
      <c r="E612" s="69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  <c r="V612"/>
      <c r="W612"/>
      <c r="X612"/>
      <c r="Y612"/>
      <c r="Z612"/>
      <c r="AA612"/>
    </row>
    <row r="613" spans="2:27" s="25" customFormat="1" ht="15.75" customHeight="1" x14ac:dyDescent="0.2">
      <c r="B613" s="89"/>
      <c r="C613"/>
      <c r="D613"/>
      <c r="E613" s="69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  <c r="V613"/>
      <c r="W613"/>
      <c r="X613"/>
      <c r="Y613"/>
      <c r="Z613"/>
      <c r="AA613"/>
    </row>
    <row r="614" spans="2:27" s="25" customFormat="1" ht="15.75" customHeight="1" x14ac:dyDescent="0.2">
      <c r="B614" s="89"/>
      <c r="C614"/>
      <c r="D614"/>
      <c r="E614" s="69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  <c r="V614"/>
      <c r="W614"/>
      <c r="X614"/>
      <c r="Y614"/>
      <c r="Z614"/>
      <c r="AA614"/>
    </row>
    <row r="615" spans="2:27" s="25" customFormat="1" ht="15.75" customHeight="1" x14ac:dyDescent="0.2">
      <c r="B615" s="89"/>
      <c r="C615"/>
      <c r="D615"/>
      <c r="E615" s="69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  <c r="V615"/>
      <c r="W615"/>
      <c r="X615"/>
      <c r="Y615"/>
      <c r="Z615"/>
      <c r="AA615"/>
    </row>
    <row r="616" spans="2:27" s="25" customFormat="1" ht="15.75" customHeight="1" x14ac:dyDescent="0.2">
      <c r="B616" s="89"/>
      <c r="C616"/>
      <c r="D616"/>
      <c r="E616" s="69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  <c r="V616"/>
      <c r="W616"/>
      <c r="X616"/>
      <c r="Y616"/>
      <c r="Z616"/>
      <c r="AA616"/>
    </row>
    <row r="617" spans="2:27" s="25" customFormat="1" ht="15.75" customHeight="1" x14ac:dyDescent="0.2">
      <c r="B617" s="89"/>
      <c r="C617"/>
      <c r="D617"/>
      <c r="E617" s="69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  <c r="V617"/>
      <c r="W617"/>
      <c r="X617"/>
      <c r="Y617"/>
      <c r="Z617"/>
      <c r="AA617"/>
    </row>
    <row r="618" spans="2:27" s="25" customFormat="1" ht="15.75" customHeight="1" x14ac:dyDescent="0.2">
      <c r="B618" s="89"/>
      <c r="C618"/>
      <c r="D618"/>
      <c r="E618" s="69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  <c r="V618"/>
      <c r="W618"/>
      <c r="X618"/>
      <c r="Y618"/>
      <c r="Z618"/>
      <c r="AA618"/>
    </row>
    <row r="619" spans="2:27" s="25" customFormat="1" ht="15.75" customHeight="1" x14ac:dyDescent="0.2">
      <c r="B619" s="89"/>
      <c r="C619"/>
      <c r="D619"/>
      <c r="E619" s="6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  <c r="V619"/>
      <c r="W619"/>
      <c r="X619"/>
      <c r="Y619"/>
      <c r="Z619"/>
      <c r="AA619"/>
    </row>
    <row r="620" spans="2:27" s="25" customFormat="1" ht="15.75" customHeight="1" x14ac:dyDescent="0.2">
      <c r="B620" s="89"/>
      <c r="C620"/>
      <c r="D620"/>
      <c r="E620" s="69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  <c r="V620"/>
      <c r="W620"/>
      <c r="X620"/>
      <c r="Y620"/>
      <c r="Z620"/>
      <c r="AA620"/>
    </row>
    <row r="621" spans="2:27" s="25" customFormat="1" ht="15.75" customHeight="1" x14ac:dyDescent="0.2">
      <c r="B621" s="89"/>
      <c r="C621"/>
      <c r="D621"/>
      <c r="E621" s="69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  <c r="V621"/>
      <c r="W621"/>
      <c r="X621"/>
      <c r="Y621"/>
      <c r="Z621"/>
      <c r="AA621"/>
    </row>
    <row r="622" spans="2:27" s="25" customFormat="1" ht="15.75" customHeight="1" x14ac:dyDescent="0.2">
      <c r="B622" s="89"/>
      <c r="C622"/>
      <c r="D622"/>
      <c r="E622" s="69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  <c r="V622"/>
      <c r="W622"/>
      <c r="X622"/>
      <c r="Y622"/>
      <c r="Z622"/>
      <c r="AA622"/>
    </row>
    <row r="623" spans="2:27" s="25" customFormat="1" ht="15.75" customHeight="1" x14ac:dyDescent="0.2">
      <c r="B623" s="89"/>
      <c r="C623"/>
      <c r="D623"/>
      <c r="E623" s="69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  <c r="V623"/>
      <c r="W623"/>
      <c r="X623"/>
      <c r="Y623"/>
      <c r="Z623"/>
      <c r="AA623"/>
    </row>
    <row r="624" spans="2:27" s="25" customFormat="1" ht="15.75" customHeight="1" x14ac:dyDescent="0.2">
      <c r="B624" s="89"/>
      <c r="C624"/>
      <c r="D624"/>
      <c r="E624" s="69"/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  <c r="T624"/>
      <c r="U624"/>
      <c r="V624"/>
      <c r="W624"/>
      <c r="X624"/>
      <c r="Y624"/>
      <c r="Z624"/>
      <c r="AA624"/>
    </row>
    <row r="625" spans="2:27" s="25" customFormat="1" ht="15.75" customHeight="1" x14ac:dyDescent="0.2">
      <c r="B625" s="89"/>
      <c r="C625"/>
      <c r="D625"/>
      <c r="E625" s="69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  <c r="V625"/>
      <c r="W625"/>
      <c r="X625"/>
      <c r="Y625"/>
      <c r="Z625"/>
      <c r="AA625"/>
    </row>
    <row r="626" spans="2:27" s="25" customFormat="1" ht="15.75" customHeight="1" x14ac:dyDescent="0.2">
      <c r="B626" s="89"/>
      <c r="C626"/>
      <c r="D626"/>
      <c r="E626" s="69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  <c r="V626"/>
      <c r="W626"/>
      <c r="X626"/>
      <c r="Y626"/>
      <c r="Z626"/>
      <c r="AA626"/>
    </row>
    <row r="627" spans="2:27" s="25" customFormat="1" ht="15.75" customHeight="1" x14ac:dyDescent="0.2">
      <c r="B627" s="89"/>
      <c r="C627"/>
      <c r="D627"/>
      <c r="E627" s="69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  <c r="V627"/>
      <c r="W627"/>
      <c r="X627"/>
      <c r="Y627"/>
      <c r="Z627"/>
      <c r="AA627"/>
    </row>
    <row r="628" spans="2:27" s="25" customFormat="1" ht="15.75" customHeight="1" x14ac:dyDescent="0.2">
      <c r="B628" s="89"/>
      <c r="C628"/>
      <c r="D628"/>
      <c r="E628" s="69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  <c r="V628"/>
      <c r="W628"/>
      <c r="X628"/>
      <c r="Y628"/>
      <c r="Z628"/>
      <c r="AA628"/>
    </row>
    <row r="629" spans="2:27" s="25" customFormat="1" ht="15.75" customHeight="1" x14ac:dyDescent="0.2">
      <c r="B629" s="89"/>
      <c r="C629"/>
      <c r="D629"/>
      <c r="E629" s="6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  <c r="V629"/>
      <c r="W629"/>
      <c r="X629"/>
      <c r="Y629"/>
      <c r="Z629"/>
      <c r="AA629"/>
    </row>
    <row r="630" spans="2:27" s="25" customFormat="1" ht="15.75" customHeight="1" x14ac:dyDescent="0.2">
      <c r="B630" s="89"/>
      <c r="C630"/>
      <c r="D630"/>
      <c r="E630" s="69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  <c r="V630"/>
      <c r="W630"/>
      <c r="X630"/>
      <c r="Y630"/>
      <c r="Z630"/>
      <c r="AA630"/>
    </row>
    <row r="631" spans="2:27" s="25" customFormat="1" ht="15.75" customHeight="1" x14ac:dyDescent="0.2">
      <c r="B631" s="89"/>
      <c r="C631"/>
      <c r="D631"/>
      <c r="E631" s="69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  <c r="V631"/>
      <c r="W631"/>
      <c r="X631"/>
      <c r="Y631"/>
      <c r="Z631"/>
      <c r="AA631"/>
    </row>
    <row r="632" spans="2:27" s="25" customFormat="1" ht="15.75" customHeight="1" x14ac:dyDescent="0.2">
      <c r="B632" s="89"/>
      <c r="C632"/>
      <c r="D632"/>
      <c r="E632" s="69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  <c r="V632"/>
      <c r="W632"/>
      <c r="X632"/>
      <c r="Y632"/>
      <c r="Z632"/>
      <c r="AA632"/>
    </row>
    <row r="633" spans="2:27" s="25" customFormat="1" ht="15.75" customHeight="1" x14ac:dyDescent="0.2">
      <c r="B633" s="89"/>
      <c r="C633"/>
      <c r="D633"/>
      <c r="E633" s="69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  <c r="V633"/>
      <c r="W633"/>
      <c r="X633"/>
      <c r="Y633"/>
      <c r="Z633"/>
      <c r="AA633"/>
    </row>
    <row r="634" spans="2:27" s="25" customFormat="1" ht="15.75" customHeight="1" x14ac:dyDescent="0.2">
      <c r="B634" s="89"/>
      <c r="C634"/>
      <c r="D634"/>
      <c r="E634" s="69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  <c r="V634"/>
      <c r="W634"/>
      <c r="X634"/>
      <c r="Y634"/>
      <c r="Z634"/>
      <c r="AA634"/>
    </row>
    <row r="635" spans="2:27" s="25" customFormat="1" ht="15.75" customHeight="1" x14ac:dyDescent="0.2">
      <c r="B635" s="89"/>
      <c r="C635"/>
      <c r="D635"/>
      <c r="E635" s="69"/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  <c r="V635"/>
      <c r="W635"/>
      <c r="X635"/>
      <c r="Y635"/>
      <c r="Z635"/>
      <c r="AA635"/>
    </row>
    <row r="636" spans="2:27" s="25" customFormat="1" ht="15.75" customHeight="1" x14ac:dyDescent="0.2">
      <c r="B636" s="89"/>
      <c r="C636"/>
      <c r="D636"/>
      <c r="E636" s="69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  <c r="V636"/>
      <c r="W636"/>
      <c r="X636"/>
      <c r="Y636"/>
      <c r="Z636"/>
      <c r="AA636"/>
    </row>
    <row r="637" spans="2:27" s="25" customFormat="1" ht="15.75" customHeight="1" x14ac:dyDescent="0.2">
      <c r="B637" s="89"/>
      <c r="C637"/>
      <c r="D637"/>
      <c r="E637" s="69"/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  <c r="V637"/>
      <c r="W637"/>
      <c r="X637"/>
      <c r="Y637"/>
      <c r="Z637"/>
      <c r="AA637"/>
    </row>
    <row r="638" spans="2:27" s="25" customFormat="1" ht="15.75" customHeight="1" x14ac:dyDescent="0.2">
      <c r="B638" s="89"/>
      <c r="C638"/>
      <c r="D638"/>
      <c r="E638" s="69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  <c r="V638"/>
      <c r="W638"/>
      <c r="X638"/>
      <c r="Y638"/>
      <c r="Z638"/>
      <c r="AA638"/>
    </row>
    <row r="639" spans="2:27" s="25" customFormat="1" ht="15.75" customHeight="1" x14ac:dyDescent="0.2">
      <c r="B639" s="89"/>
      <c r="C639"/>
      <c r="D639"/>
      <c r="E639" s="69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  <c r="U639"/>
      <c r="V639"/>
      <c r="W639"/>
      <c r="X639"/>
      <c r="Y639"/>
      <c r="Z639"/>
      <c r="AA639"/>
    </row>
    <row r="640" spans="2:27" s="25" customFormat="1" ht="15.75" customHeight="1" x14ac:dyDescent="0.2">
      <c r="B640" s="89"/>
      <c r="C640"/>
      <c r="D640"/>
      <c r="E640" s="69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  <c r="V640"/>
      <c r="W640"/>
      <c r="X640"/>
      <c r="Y640"/>
      <c r="Z640"/>
      <c r="AA640"/>
    </row>
    <row r="641" spans="2:27" s="25" customFormat="1" ht="15.75" customHeight="1" x14ac:dyDescent="0.2">
      <c r="B641" s="89"/>
      <c r="C641"/>
      <c r="D641"/>
      <c r="E641" s="69"/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/>
      <c r="U641"/>
      <c r="V641"/>
      <c r="W641"/>
      <c r="X641"/>
      <c r="Y641"/>
      <c r="Z641"/>
      <c r="AA641"/>
    </row>
    <row r="642" spans="2:27" s="25" customFormat="1" ht="15.75" customHeight="1" x14ac:dyDescent="0.2">
      <c r="B642" s="89"/>
      <c r="C642"/>
      <c r="D642"/>
      <c r="E642" s="69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  <c r="V642"/>
      <c r="W642"/>
      <c r="X642"/>
      <c r="Y642"/>
      <c r="Z642"/>
      <c r="AA642"/>
    </row>
    <row r="643" spans="2:27" s="25" customFormat="1" ht="15.75" customHeight="1" x14ac:dyDescent="0.2">
      <c r="B643" s="89"/>
      <c r="C643"/>
      <c r="D643"/>
      <c r="E643" s="69"/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  <c r="T643"/>
      <c r="U643"/>
      <c r="V643"/>
      <c r="W643"/>
      <c r="X643"/>
      <c r="Y643"/>
      <c r="Z643"/>
      <c r="AA643"/>
    </row>
    <row r="644" spans="2:27" s="25" customFormat="1" ht="15.75" customHeight="1" x14ac:dyDescent="0.2">
      <c r="B644" s="89"/>
      <c r="C644"/>
      <c r="D644"/>
      <c r="E644" s="69"/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  <c r="U644"/>
      <c r="V644"/>
      <c r="W644"/>
      <c r="X644"/>
      <c r="Y644"/>
      <c r="Z644"/>
      <c r="AA644"/>
    </row>
    <row r="645" spans="2:27" s="25" customFormat="1" ht="15.75" customHeight="1" x14ac:dyDescent="0.2">
      <c r="B645" s="89"/>
      <c r="C645"/>
      <c r="D645"/>
      <c r="E645" s="69"/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  <c r="T645"/>
      <c r="U645"/>
      <c r="V645"/>
      <c r="W645"/>
      <c r="X645"/>
      <c r="Y645"/>
      <c r="Z645"/>
      <c r="AA645"/>
    </row>
    <row r="646" spans="2:27" s="25" customFormat="1" ht="15.75" customHeight="1" x14ac:dyDescent="0.2">
      <c r="B646" s="89"/>
      <c r="C646"/>
      <c r="D646"/>
      <c r="E646" s="69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  <c r="U646"/>
      <c r="V646"/>
      <c r="W646"/>
      <c r="X646"/>
      <c r="Y646"/>
      <c r="Z646"/>
      <c r="AA646"/>
    </row>
    <row r="647" spans="2:27" s="25" customFormat="1" ht="15.75" customHeight="1" x14ac:dyDescent="0.2">
      <c r="B647" s="89"/>
      <c r="C647"/>
      <c r="D647"/>
      <c r="E647" s="69"/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  <c r="V647"/>
      <c r="W647"/>
      <c r="X647"/>
      <c r="Y647"/>
      <c r="Z647"/>
      <c r="AA647"/>
    </row>
    <row r="648" spans="2:27" s="25" customFormat="1" ht="15.75" customHeight="1" x14ac:dyDescent="0.2">
      <c r="B648" s="89"/>
      <c r="C648"/>
      <c r="D648"/>
      <c r="E648" s="69"/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  <c r="U648"/>
      <c r="V648"/>
      <c r="W648"/>
      <c r="X648"/>
      <c r="Y648"/>
      <c r="Z648"/>
      <c r="AA648"/>
    </row>
    <row r="649" spans="2:27" s="25" customFormat="1" ht="15.75" customHeight="1" x14ac:dyDescent="0.2">
      <c r="B649" s="89"/>
      <c r="C649"/>
      <c r="D649"/>
      <c r="E649" s="69"/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  <c r="T649"/>
      <c r="U649"/>
      <c r="V649"/>
      <c r="W649"/>
      <c r="X649"/>
      <c r="Y649"/>
      <c r="Z649"/>
      <c r="AA649"/>
    </row>
    <row r="650" spans="2:27" s="25" customFormat="1" ht="15.75" customHeight="1" x14ac:dyDescent="0.2">
      <c r="B650" s="89"/>
      <c r="C650"/>
      <c r="D650"/>
      <c r="E650" s="69"/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  <c r="T650"/>
      <c r="U650"/>
      <c r="V650"/>
      <c r="W650"/>
      <c r="X650"/>
      <c r="Y650"/>
      <c r="Z650"/>
      <c r="AA650"/>
    </row>
    <row r="651" spans="2:27" s="25" customFormat="1" ht="15.75" customHeight="1" x14ac:dyDescent="0.2">
      <c r="B651" s="89"/>
      <c r="C651"/>
      <c r="D651"/>
      <c r="E651" s="69"/>
      <c r="F651"/>
      <c r="G651"/>
      <c r="H651"/>
      <c r="I651"/>
      <c r="J651"/>
      <c r="K651"/>
      <c r="L651"/>
      <c r="M651"/>
      <c r="N651"/>
      <c r="O651"/>
      <c r="P651"/>
      <c r="Q651"/>
      <c r="R651"/>
      <c r="S651"/>
      <c r="T651"/>
      <c r="U651"/>
      <c r="V651"/>
      <c r="W651"/>
      <c r="X651"/>
      <c r="Y651"/>
      <c r="Z651"/>
      <c r="AA651"/>
    </row>
    <row r="652" spans="2:27" s="25" customFormat="1" ht="15.75" customHeight="1" x14ac:dyDescent="0.2">
      <c r="B652" s="89"/>
      <c r="C652"/>
      <c r="D652"/>
      <c r="E652" s="69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  <c r="V652"/>
      <c r="W652"/>
      <c r="X652"/>
      <c r="Y652"/>
      <c r="Z652"/>
      <c r="AA652"/>
    </row>
    <row r="653" spans="2:27" s="25" customFormat="1" ht="15.75" customHeight="1" x14ac:dyDescent="0.2">
      <c r="B653" s="89"/>
      <c r="C653"/>
      <c r="D653"/>
      <c r="E653" s="69"/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  <c r="T653"/>
      <c r="U653"/>
      <c r="V653"/>
      <c r="W653"/>
      <c r="X653"/>
      <c r="Y653"/>
      <c r="Z653"/>
      <c r="AA653"/>
    </row>
    <row r="654" spans="2:27" s="25" customFormat="1" ht="15.75" customHeight="1" x14ac:dyDescent="0.2">
      <c r="B654" s="89"/>
      <c r="C654"/>
      <c r="D654"/>
      <c r="E654" s="69"/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  <c r="T654"/>
      <c r="U654"/>
      <c r="V654"/>
      <c r="W654"/>
      <c r="X654"/>
      <c r="Y654"/>
      <c r="Z654"/>
      <c r="AA654"/>
    </row>
    <row r="655" spans="2:27" s="25" customFormat="1" ht="15.75" customHeight="1" x14ac:dyDescent="0.2">
      <c r="B655" s="89"/>
      <c r="C655"/>
      <c r="D655"/>
      <c r="E655" s="69"/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  <c r="V655"/>
      <c r="W655"/>
      <c r="X655"/>
      <c r="Y655"/>
      <c r="Z655"/>
      <c r="AA655"/>
    </row>
    <row r="656" spans="2:27" s="25" customFormat="1" ht="15.75" customHeight="1" x14ac:dyDescent="0.2">
      <c r="B656" s="89"/>
      <c r="C656"/>
      <c r="D656"/>
      <c r="E656" s="69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/>
      <c r="U656"/>
      <c r="V656"/>
      <c r="W656"/>
      <c r="X656"/>
      <c r="Y656"/>
      <c r="Z656"/>
      <c r="AA656"/>
    </row>
    <row r="657" spans="2:27" s="25" customFormat="1" ht="15.75" customHeight="1" x14ac:dyDescent="0.2">
      <c r="B657" s="89"/>
      <c r="C657"/>
      <c r="D657"/>
      <c r="E657" s="69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  <c r="V657"/>
      <c r="W657"/>
      <c r="X657"/>
      <c r="Y657"/>
      <c r="Z657"/>
      <c r="AA657"/>
    </row>
    <row r="658" spans="2:27" s="25" customFormat="1" ht="15.75" customHeight="1" x14ac:dyDescent="0.2">
      <c r="B658" s="89"/>
      <c r="C658"/>
      <c r="D658"/>
      <c r="E658" s="69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  <c r="U658"/>
      <c r="V658"/>
      <c r="W658"/>
      <c r="X658"/>
      <c r="Y658"/>
      <c r="Z658"/>
      <c r="AA658"/>
    </row>
    <row r="659" spans="2:27" s="25" customFormat="1" ht="15.75" customHeight="1" x14ac:dyDescent="0.2">
      <c r="B659" s="89"/>
      <c r="C659"/>
      <c r="D659"/>
      <c r="E659" s="69"/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  <c r="V659"/>
      <c r="W659"/>
      <c r="X659"/>
      <c r="Y659"/>
      <c r="Z659"/>
      <c r="AA659"/>
    </row>
    <row r="660" spans="2:27" s="25" customFormat="1" ht="15.75" customHeight="1" x14ac:dyDescent="0.2">
      <c r="B660" s="89"/>
      <c r="C660"/>
      <c r="D660"/>
      <c r="E660" s="69"/>
      <c r="F660"/>
      <c r="G660"/>
      <c r="H660"/>
      <c r="I660"/>
      <c r="J660"/>
      <c r="K660"/>
      <c r="L660"/>
      <c r="M660"/>
      <c r="N660"/>
      <c r="O660"/>
      <c r="P660"/>
      <c r="Q660"/>
      <c r="R660"/>
      <c r="S660"/>
      <c r="T660"/>
      <c r="U660"/>
      <c r="V660"/>
      <c r="W660"/>
      <c r="X660"/>
      <c r="Y660"/>
      <c r="Z660"/>
      <c r="AA660"/>
    </row>
    <row r="661" spans="2:27" s="25" customFormat="1" ht="15.75" customHeight="1" x14ac:dyDescent="0.2">
      <c r="B661" s="89"/>
      <c r="C661"/>
      <c r="D661"/>
      <c r="E661" s="69"/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  <c r="V661"/>
      <c r="W661"/>
      <c r="X661"/>
      <c r="Y661"/>
      <c r="Z661"/>
      <c r="AA661"/>
    </row>
    <row r="662" spans="2:27" s="25" customFormat="1" ht="15.75" customHeight="1" x14ac:dyDescent="0.2">
      <c r="B662" s="89"/>
      <c r="C662"/>
      <c r="D662"/>
      <c r="E662" s="69"/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  <c r="T662"/>
      <c r="U662"/>
      <c r="V662"/>
      <c r="W662"/>
      <c r="X662"/>
      <c r="Y662"/>
      <c r="Z662"/>
      <c r="AA662"/>
    </row>
    <row r="663" spans="2:27" s="25" customFormat="1" ht="15.75" customHeight="1" x14ac:dyDescent="0.2">
      <c r="B663" s="89"/>
      <c r="C663"/>
      <c r="D663"/>
      <c r="E663" s="69"/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  <c r="T663"/>
      <c r="U663"/>
      <c r="V663"/>
      <c r="W663"/>
      <c r="X663"/>
      <c r="Y663"/>
      <c r="Z663"/>
      <c r="AA663"/>
    </row>
    <row r="664" spans="2:27" s="25" customFormat="1" ht="15.75" customHeight="1" x14ac:dyDescent="0.2">
      <c r="B664" s="89"/>
      <c r="C664"/>
      <c r="D664"/>
      <c r="E664" s="69"/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/>
      <c r="U664"/>
      <c r="V664"/>
      <c r="W664"/>
      <c r="X664"/>
      <c r="Y664"/>
      <c r="Z664"/>
      <c r="AA664"/>
    </row>
    <row r="665" spans="2:27" s="25" customFormat="1" ht="15.75" customHeight="1" x14ac:dyDescent="0.2">
      <c r="B665" s="89"/>
      <c r="C665"/>
      <c r="D665"/>
      <c r="E665" s="69"/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  <c r="T665"/>
      <c r="U665"/>
      <c r="V665"/>
      <c r="W665"/>
      <c r="X665"/>
      <c r="Y665"/>
      <c r="Z665"/>
      <c r="AA665"/>
    </row>
    <row r="666" spans="2:27" s="25" customFormat="1" ht="15.75" customHeight="1" x14ac:dyDescent="0.2">
      <c r="B666" s="89"/>
      <c r="C666"/>
      <c r="D666"/>
      <c r="E666" s="69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  <c r="V666"/>
      <c r="W666"/>
      <c r="X666"/>
      <c r="Y666"/>
      <c r="Z666"/>
      <c r="AA666"/>
    </row>
    <row r="667" spans="2:27" s="25" customFormat="1" ht="15.75" customHeight="1" x14ac:dyDescent="0.2">
      <c r="B667" s="89"/>
      <c r="C667"/>
      <c r="D667"/>
      <c r="E667" s="69"/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  <c r="T667"/>
      <c r="U667"/>
      <c r="V667"/>
      <c r="W667"/>
      <c r="X667"/>
      <c r="Y667"/>
      <c r="Z667"/>
      <c r="AA667"/>
    </row>
    <row r="668" spans="2:27" s="25" customFormat="1" ht="15.75" customHeight="1" x14ac:dyDescent="0.2">
      <c r="B668" s="89"/>
      <c r="C668"/>
      <c r="D668"/>
      <c r="E668" s="69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  <c r="V668"/>
      <c r="W668"/>
      <c r="X668"/>
      <c r="Y668"/>
      <c r="Z668"/>
      <c r="AA668"/>
    </row>
    <row r="669" spans="2:27" s="25" customFormat="1" ht="15.75" customHeight="1" x14ac:dyDescent="0.2">
      <c r="B669" s="89"/>
      <c r="C669"/>
      <c r="D669"/>
      <c r="E669" s="69"/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  <c r="V669"/>
      <c r="W669"/>
      <c r="X669"/>
      <c r="Y669"/>
      <c r="Z669"/>
      <c r="AA669"/>
    </row>
    <row r="670" spans="2:27" s="25" customFormat="1" ht="15.75" customHeight="1" x14ac:dyDescent="0.2">
      <c r="B670" s="89"/>
      <c r="C670"/>
      <c r="D670"/>
      <c r="E670" s="69"/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  <c r="U670"/>
      <c r="V670"/>
      <c r="W670"/>
      <c r="X670"/>
      <c r="Y670"/>
      <c r="Z670"/>
      <c r="AA670"/>
    </row>
    <row r="671" spans="2:27" s="25" customFormat="1" ht="15.75" customHeight="1" x14ac:dyDescent="0.2">
      <c r="B671" s="89"/>
      <c r="C671"/>
      <c r="D671"/>
      <c r="E671" s="69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  <c r="V671"/>
      <c r="W671"/>
      <c r="X671"/>
      <c r="Y671"/>
      <c r="Z671"/>
      <c r="AA671"/>
    </row>
    <row r="672" spans="2:27" s="25" customFormat="1" ht="15.75" customHeight="1" x14ac:dyDescent="0.2">
      <c r="B672" s="89"/>
      <c r="C672"/>
      <c r="D672"/>
      <c r="E672" s="69"/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  <c r="T672"/>
      <c r="U672"/>
      <c r="V672"/>
      <c r="W672"/>
      <c r="X672"/>
      <c r="Y672"/>
      <c r="Z672"/>
      <c r="AA672"/>
    </row>
    <row r="673" spans="2:27" s="25" customFormat="1" ht="15.75" customHeight="1" x14ac:dyDescent="0.2">
      <c r="B673" s="89"/>
      <c r="C673"/>
      <c r="D673"/>
      <c r="E673" s="69"/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  <c r="T673"/>
      <c r="U673"/>
      <c r="V673"/>
      <c r="W673"/>
      <c r="X673"/>
      <c r="Y673"/>
      <c r="Z673"/>
      <c r="AA673"/>
    </row>
    <row r="674" spans="2:27" s="25" customFormat="1" ht="15.75" customHeight="1" x14ac:dyDescent="0.2">
      <c r="B674" s="89"/>
      <c r="C674"/>
      <c r="D674"/>
      <c r="E674" s="69"/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  <c r="U674"/>
      <c r="V674"/>
      <c r="W674"/>
      <c r="X674"/>
      <c r="Y674"/>
      <c r="Z674"/>
      <c r="AA674"/>
    </row>
    <row r="675" spans="2:27" s="25" customFormat="1" ht="15.75" customHeight="1" x14ac:dyDescent="0.2">
      <c r="B675" s="89"/>
      <c r="C675"/>
      <c r="D675"/>
      <c r="E675" s="69"/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  <c r="U675"/>
      <c r="V675"/>
      <c r="W675"/>
      <c r="X675"/>
      <c r="Y675"/>
      <c r="Z675"/>
      <c r="AA675"/>
    </row>
    <row r="676" spans="2:27" s="25" customFormat="1" ht="15.75" customHeight="1" x14ac:dyDescent="0.2">
      <c r="B676" s="89"/>
      <c r="C676"/>
      <c r="D676"/>
      <c r="E676" s="69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  <c r="V676"/>
      <c r="W676"/>
      <c r="X676"/>
      <c r="Y676"/>
      <c r="Z676"/>
      <c r="AA676"/>
    </row>
    <row r="677" spans="2:27" s="25" customFormat="1" ht="15.75" customHeight="1" x14ac:dyDescent="0.2">
      <c r="B677" s="89"/>
      <c r="C677"/>
      <c r="D677"/>
      <c r="E677" s="69"/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  <c r="V677"/>
      <c r="W677"/>
      <c r="X677"/>
      <c r="Y677"/>
      <c r="Z677"/>
      <c r="AA677"/>
    </row>
    <row r="678" spans="2:27" s="25" customFormat="1" ht="15.75" customHeight="1" x14ac:dyDescent="0.2">
      <c r="B678" s="89"/>
      <c r="C678"/>
      <c r="D678"/>
      <c r="E678" s="69"/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  <c r="T678"/>
      <c r="U678"/>
      <c r="V678"/>
      <c r="W678"/>
      <c r="X678"/>
      <c r="Y678"/>
      <c r="Z678"/>
      <c r="AA678"/>
    </row>
    <row r="679" spans="2:27" s="25" customFormat="1" ht="15.75" customHeight="1" x14ac:dyDescent="0.2">
      <c r="B679" s="89"/>
      <c r="C679"/>
      <c r="D679"/>
      <c r="E679" s="69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  <c r="V679"/>
      <c r="W679"/>
      <c r="X679"/>
      <c r="Y679"/>
      <c r="Z679"/>
      <c r="AA679"/>
    </row>
    <row r="680" spans="2:27" s="25" customFormat="1" ht="15.75" customHeight="1" x14ac:dyDescent="0.2">
      <c r="B680" s="89"/>
      <c r="C680"/>
      <c r="D680"/>
      <c r="E680" s="69"/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  <c r="U680"/>
      <c r="V680"/>
      <c r="W680"/>
      <c r="X680"/>
      <c r="Y680"/>
      <c r="Z680"/>
      <c r="AA680"/>
    </row>
    <row r="681" spans="2:27" s="25" customFormat="1" ht="15.75" customHeight="1" x14ac:dyDescent="0.2">
      <c r="B681" s="89"/>
      <c r="C681"/>
      <c r="D681"/>
      <c r="E681" s="69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  <c r="U681"/>
      <c r="V681"/>
      <c r="W681"/>
      <c r="X681"/>
      <c r="Y681"/>
      <c r="Z681"/>
      <c r="AA681"/>
    </row>
    <row r="682" spans="2:27" s="25" customFormat="1" ht="15.75" customHeight="1" x14ac:dyDescent="0.2">
      <c r="B682" s="89"/>
      <c r="C682"/>
      <c r="D682"/>
      <c r="E682" s="69"/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  <c r="T682"/>
      <c r="U682"/>
      <c r="V682"/>
      <c r="W682"/>
      <c r="X682"/>
      <c r="Y682"/>
      <c r="Z682"/>
      <c r="AA682"/>
    </row>
    <row r="683" spans="2:27" s="25" customFormat="1" ht="15.75" customHeight="1" x14ac:dyDescent="0.2">
      <c r="B683" s="89"/>
      <c r="C683"/>
      <c r="D683"/>
      <c r="E683" s="69"/>
      <c r="F683"/>
      <c r="G683"/>
      <c r="H683"/>
      <c r="I683"/>
      <c r="J683"/>
      <c r="K683"/>
      <c r="L683"/>
      <c r="M683"/>
      <c r="N683"/>
      <c r="O683"/>
      <c r="P683"/>
      <c r="Q683"/>
      <c r="R683"/>
      <c r="S683"/>
      <c r="T683"/>
      <c r="U683"/>
      <c r="V683"/>
      <c r="W683"/>
      <c r="X683"/>
      <c r="Y683"/>
      <c r="Z683"/>
      <c r="AA683"/>
    </row>
    <row r="684" spans="2:27" s="25" customFormat="1" ht="15.75" customHeight="1" x14ac:dyDescent="0.2">
      <c r="B684" s="89"/>
      <c r="C684"/>
      <c r="D684"/>
      <c r="E684" s="69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  <c r="V684"/>
      <c r="W684"/>
      <c r="X684"/>
      <c r="Y684"/>
      <c r="Z684"/>
      <c r="AA684"/>
    </row>
    <row r="685" spans="2:27" s="25" customFormat="1" ht="15.75" customHeight="1" x14ac:dyDescent="0.2">
      <c r="B685" s="89"/>
      <c r="C685"/>
      <c r="D685"/>
      <c r="E685" s="69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  <c r="V685"/>
      <c r="W685"/>
      <c r="X685"/>
      <c r="Y685"/>
      <c r="Z685"/>
      <c r="AA685"/>
    </row>
    <row r="686" spans="2:27" s="25" customFormat="1" ht="15.75" customHeight="1" x14ac:dyDescent="0.2">
      <c r="B686" s="89"/>
      <c r="C686"/>
      <c r="D686"/>
      <c r="E686" s="69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  <c r="U686"/>
      <c r="V686"/>
      <c r="W686"/>
      <c r="X686"/>
      <c r="Y686"/>
      <c r="Z686"/>
      <c r="AA686"/>
    </row>
    <row r="687" spans="2:27" s="25" customFormat="1" ht="15.75" customHeight="1" x14ac:dyDescent="0.2">
      <c r="B687" s="89"/>
      <c r="C687"/>
      <c r="D687"/>
      <c r="E687" s="69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  <c r="V687"/>
      <c r="W687"/>
      <c r="X687"/>
      <c r="Y687"/>
      <c r="Z687"/>
      <c r="AA687"/>
    </row>
    <row r="688" spans="2:27" s="25" customFormat="1" ht="15.75" customHeight="1" x14ac:dyDescent="0.2">
      <c r="B688" s="89"/>
      <c r="C688"/>
      <c r="D688"/>
      <c r="E688" s="69"/>
      <c r="F688"/>
      <c r="G688"/>
      <c r="H688"/>
      <c r="I688"/>
      <c r="J688"/>
      <c r="K688"/>
      <c r="L688"/>
      <c r="M688"/>
      <c r="N688"/>
      <c r="O688"/>
      <c r="P688"/>
      <c r="Q688"/>
      <c r="R688"/>
      <c r="S688"/>
      <c r="T688"/>
      <c r="U688"/>
      <c r="V688"/>
      <c r="W688"/>
      <c r="X688"/>
      <c r="Y688"/>
      <c r="Z688"/>
      <c r="AA688"/>
    </row>
    <row r="689" spans="2:27" s="25" customFormat="1" ht="15.75" customHeight="1" x14ac:dyDescent="0.2">
      <c r="B689" s="89"/>
      <c r="C689"/>
      <c r="D689"/>
      <c r="E689" s="6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  <c r="V689"/>
      <c r="W689"/>
      <c r="X689"/>
      <c r="Y689"/>
      <c r="Z689"/>
      <c r="AA689"/>
    </row>
    <row r="690" spans="2:27" s="25" customFormat="1" ht="15.75" customHeight="1" x14ac:dyDescent="0.2">
      <c r="B690" s="89"/>
      <c r="C690"/>
      <c r="D690"/>
      <c r="E690" s="69"/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  <c r="T690"/>
      <c r="U690"/>
      <c r="V690"/>
      <c r="W690"/>
      <c r="X690"/>
      <c r="Y690"/>
      <c r="Z690"/>
      <c r="AA690"/>
    </row>
    <row r="691" spans="2:27" s="25" customFormat="1" ht="15.75" customHeight="1" x14ac:dyDescent="0.2">
      <c r="B691" s="89"/>
      <c r="C691"/>
      <c r="D691"/>
      <c r="E691" s="69"/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  <c r="U691"/>
      <c r="V691"/>
      <c r="W691"/>
      <c r="X691"/>
      <c r="Y691"/>
      <c r="Z691"/>
      <c r="AA691"/>
    </row>
    <row r="692" spans="2:27" s="25" customFormat="1" ht="15.75" customHeight="1" x14ac:dyDescent="0.2">
      <c r="B692" s="89"/>
      <c r="C692"/>
      <c r="D692"/>
      <c r="E692" s="69"/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  <c r="T692"/>
      <c r="U692"/>
      <c r="V692"/>
      <c r="W692"/>
      <c r="X692"/>
      <c r="Y692"/>
      <c r="Z692"/>
      <c r="AA692"/>
    </row>
    <row r="693" spans="2:27" s="25" customFormat="1" ht="15.75" customHeight="1" x14ac:dyDescent="0.2">
      <c r="B693" s="89"/>
      <c r="C693"/>
      <c r="D693"/>
      <c r="E693" s="69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  <c r="U693"/>
      <c r="V693"/>
      <c r="W693"/>
      <c r="X693"/>
      <c r="Y693"/>
      <c r="Z693"/>
      <c r="AA693"/>
    </row>
    <row r="694" spans="2:27" s="25" customFormat="1" ht="15.75" customHeight="1" x14ac:dyDescent="0.2">
      <c r="B694" s="89"/>
      <c r="C694"/>
      <c r="D694"/>
      <c r="E694" s="69"/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  <c r="V694"/>
      <c r="W694"/>
      <c r="X694"/>
      <c r="Y694"/>
      <c r="Z694"/>
      <c r="AA694"/>
    </row>
    <row r="695" spans="2:27" s="25" customFormat="1" ht="15.75" customHeight="1" x14ac:dyDescent="0.2">
      <c r="B695" s="89"/>
      <c r="C695"/>
      <c r="D695"/>
      <c r="E695" s="69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  <c r="V695"/>
      <c r="W695"/>
      <c r="X695"/>
      <c r="Y695"/>
      <c r="Z695"/>
      <c r="AA695"/>
    </row>
    <row r="696" spans="2:27" s="25" customFormat="1" ht="15.75" customHeight="1" x14ac:dyDescent="0.2">
      <c r="B696" s="89"/>
      <c r="C696"/>
      <c r="D696"/>
      <c r="E696" s="69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  <c r="U696"/>
      <c r="V696"/>
      <c r="W696"/>
      <c r="X696"/>
      <c r="Y696"/>
      <c r="Z696"/>
      <c r="AA696"/>
    </row>
    <row r="697" spans="2:27" s="25" customFormat="1" ht="15.75" customHeight="1" x14ac:dyDescent="0.2">
      <c r="B697" s="89"/>
      <c r="C697"/>
      <c r="D697"/>
      <c r="E697" s="69"/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  <c r="V697"/>
      <c r="W697"/>
      <c r="X697"/>
      <c r="Y697"/>
      <c r="Z697"/>
      <c r="AA697"/>
    </row>
    <row r="698" spans="2:27" s="25" customFormat="1" ht="15.75" customHeight="1" x14ac:dyDescent="0.2">
      <c r="B698" s="89"/>
      <c r="C698"/>
      <c r="D698"/>
      <c r="E698" s="69"/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  <c r="V698"/>
      <c r="W698"/>
      <c r="X698"/>
      <c r="Y698"/>
      <c r="Z698"/>
      <c r="AA698"/>
    </row>
    <row r="699" spans="2:27" s="25" customFormat="1" ht="15.75" customHeight="1" x14ac:dyDescent="0.2">
      <c r="B699" s="89"/>
      <c r="C699"/>
      <c r="D699"/>
      <c r="E699" s="69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  <c r="V699"/>
      <c r="W699"/>
      <c r="X699"/>
      <c r="Y699"/>
      <c r="Z699"/>
      <c r="AA699"/>
    </row>
    <row r="700" spans="2:27" s="25" customFormat="1" ht="15.75" customHeight="1" x14ac:dyDescent="0.2">
      <c r="B700" s="89"/>
      <c r="C700"/>
      <c r="D700"/>
      <c r="E700" s="69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  <c r="V700"/>
      <c r="W700"/>
      <c r="X700"/>
      <c r="Y700"/>
      <c r="Z700"/>
      <c r="AA700"/>
    </row>
    <row r="701" spans="2:27" s="25" customFormat="1" ht="15.75" customHeight="1" x14ac:dyDescent="0.2">
      <c r="B701" s="89"/>
      <c r="C701"/>
      <c r="D701"/>
      <c r="E701" s="69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  <c r="V701"/>
      <c r="W701"/>
      <c r="X701"/>
      <c r="Y701"/>
      <c r="Z701"/>
      <c r="AA701"/>
    </row>
    <row r="702" spans="2:27" s="25" customFormat="1" ht="15.75" customHeight="1" x14ac:dyDescent="0.2">
      <c r="B702" s="89"/>
      <c r="C702"/>
      <c r="D702"/>
      <c r="E702" s="69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  <c r="V702"/>
      <c r="W702"/>
      <c r="X702"/>
      <c r="Y702"/>
      <c r="Z702"/>
      <c r="AA702"/>
    </row>
    <row r="703" spans="2:27" s="25" customFormat="1" ht="15.75" customHeight="1" x14ac:dyDescent="0.2">
      <c r="B703" s="89"/>
      <c r="C703"/>
      <c r="D703"/>
      <c r="E703" s="69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  <c r="V703"/>
      <c r="W703"/>
      <c r="X703"/>
      <c r="Y703"/>
      <c r="Z703"/>
      <c r="AA703"/>
    </row>
    <row r="704" spans="2:27" s="25" customFormat="1" ht="15.75" customHeight="1" x14ac:dyDescent="0.2">
      <c r="B704" s="89"/>
      <c r="C704"/>
      <c r="D704"/>
      <c r="E704" s="69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  <c r="V704"/>
      <c r="W704"/>
      <c r="X704"/>
      <c r="Y704"/>
      <c r="Z704"/>
      <c r="AA704"/>
    </row>
    <row r="705" spans="2:27" s="25" customFormat="1" ht="15.75" customHeight="1" x14ac:dyDescent="0.2">
      <c r="B705" s="89"/>
      <c r="C705"/>
      <c r="D705"/>
      <c r="E705" s="69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  <c r="V705"/>
      <c r="W705"/>
      <c r="X705"/>
      <c r="Y705"/>
      <c r="Z705"/>
      <c r="AA705"/>
    </row>
    <row r="706" spans="2:27" s="25" customFormat="1" ht="15.75" customHeight="1" x14ac:dyDescent="0.2">
      <c r="B706" s="89"/>
      <c r="C706"/>
      <c r="D706"/>
      <c r="E706" s="69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  <c r="V706"/>
      <c r="W706"/>
      <c r="X706"/>
      <c r="Y706"/>
      <c r="Z706"/>
      <c r="AA706"/>
    </row>
    <row r="707" spans="2:27" s="25" customFormat="1" ht="15.75" customHeight="1" x14ac:dyDescent="0.2">
      <c r="B707" s="89"/>
      <c r="C707"/>
      <c r="D707"/>
      <c r="E707" s="69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  <c r="V707"/>
      <c r="W707"/>
      <c r="X707"/>
      <c r="Y707"/>
      <c r="Z707"/>
      <c r="AA707"/>
    </row>
    <row r="708" spans="2:27" s="25" customFormat="1" ht="15.75" customHeight="1" x14ac:dyDescent="0.2">
      <c r="B708" s="89"/>
      <c r="C708"/>
      <c r="D708"/>
      <c r="E708" s="69"/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  <c r="V708"/>
      <c r="W708"/>
      <c r="X708"/>
      <c r="Y708"/>
      <c r="Z708"/>
      <c r="AA708"/>
    </row>
    <row r="709" spans="2:27" s="25" customFormat="1" ht="15.75" customHeight="1" x14ac:dyDescent="0.2">
      <c r="B709" s="89"/>
      <c r="C709"/>
      <c r="D709"/>
      <c r="E709" s="69"/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  <c r="T709"/>
      <c r="U709"/>
      <c r="V709"/>
      <c r="W709"/>
      <c r="X709"/>
      <c r="Y709"/>
      <c r="Z709"/>
      <c r="AA709"/>
    </row>
    <row r="710" spans="2:27" s="25" customFormat="1" ht="15.75" customHeight="1" x14ac:dyDescent="0.2">
      <c r="B710" s="89"/>
      <c r="C710"/>
      <c r="D710"/>
      <c r="E710" s="69"/>
      <c r="F710"/>
      <c r="G710"/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  <c r="V710"/>
      <c r="W710"/>
      <c r="X710"/>
      <c r="Y710"/>
      <c r="Z710"/>
      <c r="AA710"/>
    </row>
    <row r="711" spans="2:27" s="25" customFormat="1" ht="15.75" customHeight="1" x14ac:dyDescent="0.2">
      <c r="B711" s="89"/>
      <c r="C711"/>
      <c r="D711"/>
      <c r="E711" s="69"/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  <c r="U711"/>
      <c r="V711"/>
      <c r="W711"/>
      <c r="X711"/>
      <c r="Y711"/>
      <c r="Z711"/>
      <c r="AA711"/>
    </row>
    <row r="712" spans="2:27" s="25" customFormat="1" ht="15.75" customHeight="1" x14ac:dyDescent="0.2">
      <c r="B712" s="89"/>
      <c r="C712"/>
      <c r="D712"/>
      <c r="E712" s="69"/>
      <c r="F712"/>
      <c r="G712"/>
      <c r="H712"/>
      <c r="I712"/>
      <c r="J712"/>
      <c r="K712"/>
      <c r="L712"/>
      <c r="M712"/>
      <c r="N712"/>
      <c r="O712"/>
      <c r="P712"/>
      <c r="Q712"/>
      <c r="R712"/>
      <c r="S712"/>
      <c r="T712"/>
      <c r="U712"/>
      <c r="V712"/>
      <c r="W712"/>
      <c r="X712"/>
      <c r="Y712"/>
      <c r="Z712"/>
      <c r="AA712"/>
    </row>
    <row r="713" spans="2:27" s="25" customFormat="1" ht="15.75" customHeight="1" x14ac:dyDescent="0.2">
      <c r="B713" s="89"/>
      <c r="C713"/>
      <c r="D713"/>
      <c r="E713" s="69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  <c r="V713"/>
      <c r="W713"/>
      <c r="X713"/>
      <c r="Y713"/>
      <c r="Z713"/>
      <c r="AA713"/>
    </row>
    <row r="714" spans="2:27" s="25" customFormat="1" ht="15.75" customHeight="1" x14ac:dyDescent="0.2">
      <c r="B714" s="89"/>
      <c r="C714"/>
      <c r="D714"/>
      <c r="E714" s="69"/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  <c r="U714"/>
      <c r="V714"/>
      <c r="W714"/>
      <c r="X714"/>
      <c r="Y714"/>
      <c r="Z714"/>
      <c r="AA714"/>
    </row>
    <row r="715" spans="2:27" s="25" customFormat="1" ht="15.75" customHeight="1" x14ac:dyDescent="0.2">
      <c r="B715" s="89"/>
      <c r="C715"/>
      <c r="D715"/>
      <c r="E715" s="69"/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  <c r="V715"/>
      <c r="W715"/>
      <c r="X715"/>
      <c r="Y715"/>
      <c r="Z715"/>
      <c r="AA715"/>
    </row>
    <row r="716" spans="2:27" s="25" customFormat="1" ht="15.75" customHeight="1" x14ac:dyDescent="0.2">
      <c r="B716" s="89"/>
      <c r="C716"/>
      <c r="D716"/>
      <c r="E716" s="69"/>
      <c r="F716"/>
      <c r="G716"/>
      <c r="H716"/>
      <c r="I716"/>
      <c r="J716"/>
      <c r="K716"/>
      <c r="L716"/>
      <c r="M716"/>
      <c r="N716"/>
      <c r="O716"/>
      <c r="P716"/>
      <c r="Q716"/>
      <c r="R716"/>
      <c r="S716"/>
      <c r="T716"/>
      <c r="U716"/>
      <c r="V716"/>
      <c r="W716"/>
      <c r="X716"/>
      <c r="Y716"/>
      <c r="Z716"/>
      <c r="AA716"/>
    </row>
    <row r="717" spans="2:27" s="25" customFormat="1" ht="15.75" customHeight="1" x14ac:dyDescent="0.2">
      <c r="B717" s="89"/>
      <c r="C717"/>
      <c r="D717"/>
      <c r="E717" s="69"/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  <c r="V717"/>
      <c r="W717"/>
      <c r="X717"/>
      <c r="Y717"/>
      <c r="Z717"/>
      <c r="AA717"/>
    </row>
    <row r="718" spans="2:27" s="25" customFormat="1" ht="15.75" customHeight="1" x14ac:dyDescent="0.2">
      <c r="B718" s="89"/>
      <c r="C718"/>
      <c r="D718"/>
      <c r="E718" s="69"/>
      <c r="F718"/>
      <c r="G718"/>
      <c r="H718"/>
      <c r="I718"/>
      <c r="J718"/>
      <c r="K718"/>
      <c r="L718"/>
      <c r="M718"/>
      <c r="N718"/>
      <c r="O718"/>
      <c r="P718"/>
      <c r="Q718"/>
      <c r="R718"/>
      <c r="S718"/>
      <c r="T718"/>
      <c r="U718"/>
      <c r="V718"/>
      <c r="W718"/>
      <c r="X718"/>
      <c r="Y718"/>
      <c r="Z718"/>
      <c r="AA718"/>
    </row>
    <row r="719" spans="2:27" s="25" customFormat="1" ht="15.75" customHeight="1" x14ac:dyDescent="0.2">
      <c r="B719" s="89"/>
      <c r="C719"/>
      <c r="D719"/>
      <c r="E719" s="69"/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  <c r="T719"/>
      <c r="U719"/>
      <c r="V719"/>
      <c r="W719"/>
      <c r="X719"/>
      <c r="Y719"/>
      <c r="Z719"/>
      <c r="AA719"/>
    </row>
    <row r="720" spans="2:27" s="25" customFormat="1" ht="15.75" customHeight="1" x14ac:dyDescent="0.2">
      <c r="B720" s="89"/>
      <c r="C720"/>
      <c r="D720"/>
      <c r="E720" s="69"/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  <c r="U720"/>
      <c r="V720"/>
      <c r="W720"/>
      <c r="X720"/>
      <c r="Y720"/>
      <c r="Z720"/>
      <c r="AA720"/>
    </row>
    <row r="721" spans="2:27" s="25" customFormat="1" ht="15.75" customHeight="1" x14ac:dyDescent="0.2">
      <c r="B721" s="89"/>
      <c r="C721"/>
      <c r="D721"/>
      <c r="E721" s="69"/>
      <c r="F721"/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  <c r="V721"/>
      <c r="W721"/>
      <c r="X721"/>
      <c r="Y721"/>
      <c r="Z721"/>
      <c r="AA721"/>
    </row>
    <row r="722" spans="2:27" s="25" customFormat="1" ht="15.75" customHeight="1" x14ac:dyDescent="0.2">
      <c r="B722" s="89"/>
      <c r="C722"/>
      <c r="D722"/>
      <c r="E722" s="69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  <c r="V722"/>
      <c r="W722"/>
      <c r="X722"/>
      <c r="Y722"/>
      <c r="Z722"/>
      <c r="AA722"/>
    </row>
    <row r="723" spans="2:27" s="25" customFormat="1" ht="15.75" customHeight="1" x14ac:dyDescent="0.2">
      <c r="B723" s="89"/>
      <c r="C723"/>
      <c r="D723"/>
      <c r="E723" s="69"/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  <c r="U723"/>
      <c r="V723"/>
      <c r="W723"/>
      <c r="X723"/>
      <c r="Y723"/>
      <c r="Z723"/>
      <c r="AA723"/>
    </row>
    <row r="724" spans="2:27" s="25" customFormat="1" ht="15.75" customHeight="1" x14ac:dyDescent="0.2">
      <c r="B724" s="89"/>
      <c r="C724"/>
      <c r="D724"/>
      <c r="E724" s="69"/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  <c r="U724"/>
      <c r="V724"/>
      <c r="W724"/>
      <c r="X724"/>
      <c r="Y724"/>
      <c r="Z724"/>
      <c r="AA724"/>
    </row>
    <row r="725" spans="2:27" s="25" customFormat="1" ht="15.75" customHeight="1" x14ac:dyDescent="0.2">
      <c r="B725" s="89"/>
      <c r="C725"/>
      <c r="D725"/>
      <c r="E725" s="69"/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/>
      <c r="U725"/>
      <c r="V725"/>
      <c r="W725"/>
      <c r="X725"/>
      <c r="Y725"/>
      <c r="Z725"/>
      <c r="AA725"/>
    </row>
    <row r="726" spans="2:27" s="25" customFormat="1" ht="15.75" customHeight="1" x14ac:dyDescent="0.2">
      <c r="B726" s="89"/>
      <c r="C726"/>
      <c r="D726"/>
      <c r="E726" s="69"/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  <c r="U726"/>
      <c r="V726"/>
      <c r="W726"/>
      <c r="X726"/>
      <c r="Y726"/>
      <c r="Z726"/>
      <c r="AA726"/>
    </row>
    <row r="727" spans="2:27" s="25" customFormat="1" ht="15.75" customHeight="1" x14ac:dyDescent="0.2">
      <c r="B727" s="89"/>
      <c r="C727"/>
      <c r="D727"/>
      <c r="E727" s="69"/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  <c r="V727"/>
      <c r="W727"/>
      <c r="X727"/>
      <c r="Y727"/>
      <c r="Z727"/>
      <c r="AA727"/>
    </row>
    <row r="728" spans="2:27" s="25" customFormat="1" ht="15.75" customHeight="1" x14ac:dyDescent="0.2">
      <c r="B728" s="89"/>
      <c r="C728"/>
      <c r="D728"/>
      <c r="E728" s="69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  <c r="V728"/>
      <c r="W728"/>
      <c r="X728"/>
      <c r="Y728"/>
      <c r="Z728"/>
      <c r="AA728"/>
    </row>
    <row r="729" spans="2:27" s="25" customFormat="1" ht="15.75" customHeight="1" x14ac:dyDescent="0.2">
      <c r="B729" s="89"/>
      <c r="C729"/>
      <c r="D729"/>
      <c r="E729" s="69"/>
      <c r="F729"/>
      <c r="G729"/>
      <c r="H729"/>
      <c r="I729"/>
      <c r="J729"/>
      <c r="K729"/>
      <c r="L729"/>
      <c r="M729"/>
      <c r="N729"/>
      <c r="O729"/>
      <c r="P729"/>
      <c r="Q729"/>
      <c r="R729"/>
      <c r="S729"/>
      <c r="T729"/>
      <c r="U729"/>
      <c r="V729"/>
      <c r="W729"/>
      <c r="X729"/>
      <c r="Y729"/>
      <c r="Z729"/>
      <c r="AA729"/>
    </row>
    <row r="730" spans="2:27" s="25" customFormat="1" ht="15.75" customHeight="1" x14ac:dyDescent="0.2">
      <c r="B730" s="89"/>
      <c r="C730"/>
      <c r="D730"/>
      <c r="E730" s="69"/>
      <c r="F730"/>
      <c r="G730"/>
      <c r="H730"/>
      <c r="I730"/>
      <c r="J730"/>
      <c r="K730"/>
      <c r="L730"/>
      <c r="M730"/>
      <c r="N730"/>
      <c r="O730"/>
      <c r="P730"/>
      <c r="Q730"/>
      <c r="R730"/>
      <c r="S730"/>
      <c r="T730"/>
      <c r="U730"/>
      <c r="V730"/>
      <c r="W730"/>
      <c r="X730"/>
      <c r="Y730"/>
      <c r="Z730"/>
      <c r="AA730"/>
    </row>
    <row r="731" spans="2:27" s="25" customFormat="1" ht="15.75" customHeight="1" x14ac:dyDescent="0.2">
      <c r="B731" s="89"/>
      <c r="C731"/>
      <c r="D731"/>
      <c r="E731" s="69"/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  <c r="V731"/>
      <c r="W731"/>
      <c r="X731"/>
      <c r="Y731"/>
      <c r="Z731"/>
      <c r="AA731"/>
    </row>
    <row r="732" spans="2:27" s="25" customFormat="1" ht="15.75" customHeight="1" x14ac:dyDescent="0.2">
      <c r="B732" s="89"/>
      <c r="C732"/>
      <c r="D732"/>
      <c r="E732" s="69"/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  <c r="U732"/>
      <c r="V732"/>
      <c r="W732"/>
      <c r="X732"/>
      <c r="Y732"/>
      <c r="Z732"/>
      <c r="AA732"/>
    </row>
    <row r="733" spans="2:27" s="25" customFormat="1" ht="15.75" customHeight="1" x14ac:dyDescent="0.2">
      <c r="B733" s="89"/>
      <c r="C733"/>
      <c r="D733"/>
      <c r="E733" s="69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  <c r="V733"/>
      <c r="W733"/>
      <c r="X733"/>
      <c r="Y733"/>
      <c r="Z733"/>
      <c r="AA733"/>
    </row>
    <row r="734" spans="2:27" s="25" customFormat="1" ht="15.75" customHeight="1" x14ac:dyDescent="0.2">
      <c r="B734" s="89"/>
      <c r="C734"/>
      <c r="D734"/>
      <c r="E734" s="69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  <c r="V734"/>
      <c r="W734"/>
      <c r="X734"/>
      <c r="Y734"/>
      <c r="Z734"/>
      <c r="AA734"/>
    </row>
    <row r="735" spans="2:27" s="25" customFormat="1" ht="15.75" customHeight="1" x14ac:dyDescent="0.2">
      <c r="B735" s="89"/>
      <c r="C735"/>
      <c r="D735"/>
      <c r="E735" s="69"/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  <c r="U735"/>
      <c r="V735"/>
      <c r="W735"/>
      <c r="X735"/>
      <c r="Y735"/>
      <c r="Z735"/>
      <c r="AA735"/>
    </row>
    <row r="736" spans="2:27" s="25" customFormat="1" ht="15.75" customHeight="1" x14ac:dyDescent="0.2">
      <c r="B736" s="89"/>
      <c r="C736"/>
      <c r="D736"/>
      <c r="E736" s="69"/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  <c r="U736"/>
      <c r="V736"/>
      <c r="W736"/>
      <c r="X736"/>
      <c r="Y736"/>
      <c r="Z736"/>
      <c r="AA736"/>
    </row>
    <row r="737" spans="2:27" s="25" customFormat="1" ht="15.75" customHeight="1" x14ac:dyDescent="0.2">
      <c r="B737" s="89"/>
      <c r="C737"/>
      <c r="D737"/>
      <c r="E737" s="69"/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  <c r="U737"/>
      <c r="V737"/>
      <c r="W737"/>
      <c r="X737"/>
      <c r="Y737"/>
      <c r="Z737"/>
      <c r="AA737"/>
    </row>
    <row r="738" spans="2:27" s="25" customFormat="1" ht="15.75" customHeight="1" x14ac:dyDescent="0.2">
      <c r="B738" s="89"/>
      <c r="C738"/>
      <c r="D738"/>
      <c r="E738" s="69"/>
      <c r="F738"/>
      <c r="G738"/>
      <c r="H738"/>
      <c r="I738"/>
      <c r="J738"/>
      <c r="K738"/>
      <c r="L738"/>
      <c r="M738"/>
      <c r="N738"/>
      <c r="O738"/>
      <c r="P738"/>
      <c r="Q738"/>
      <c r="R738"/>
      <c r="S738"/>
      <c r="T738"/>
      <c r="U738"/>
      <c r="V738"/>
      <c r="W738"/>
      <c r="X738"/>
      <c r="Y738"/>
      <c r="Z738"/>
      <c r="AA738"/>
    </row>
    <row r="739" spans="2:27" s="25" customFormat="1" ht="15.75" customHeight="1" x14ac:dyDescent="0.2">
      <c r="B739" s="89"/>
      <c r="C739"/>
      <c r="D739"/>
      <c r="E739" s="69"/>
      <c r="F739"/>
      <c r="G739"/>
      <c r="H739"/>
      <c r="I739"/>
      <c r="J739"/>
      <c r="K739"/>
      <c r="L739"/>
      <c r="M739"/>
      <c r="N739"/>
      <c r="O739"/>
      <c r="P739"/>
      <c r="Q739"/>
      <c r="R739"/>
      <c r="S739"/>
      <c r="T739"/>
      <c r="U739"/>
      <c r="V739"/>
      <c r="W739"/>
      <c r="X739"/>
      <c r="Y739"/>
      <c r="Z739"/>
      <c r="AA739"/>
    </row>
    <row r="740" spans="2:27" s="25" customFormat="1" ht="15.75" customHeight="1" x14ac:dyDescent="0.2">
      <c r="B740" s="89"/>
      <c r="C740"/>
      <c r="D740"/>
      <c r="E740" s="69"/>
      <c r="F740"/>
      <c r="G740"/>
      <c r="H740"/>
      <c r="I740"/>
      <c r="J740"/>
      <c r="K740"/>
      <c r="L740"/>
      <c r="M740"/>
      <c r="N740"/>
      <c r="O740"/>
      <c r="P740"/>
      <c r="Q740"/>
      <c r="R740"/>
      <c r="S740"/>
      <c r="T740"/>
      <c r="U740"/>
      <c r="V740"/>
      <c r="W740"/>
      <c r="X740"/>
      <c r="Y740"/>
      <c r="Z740"/>
      <c r="AA740"/>
    </row>
    <row r="741" spans="2:27" s="25" customFormat="1" ht="15.75" customHeight="1" x14ac:dyDescent="0.2">
      <c r="B741" s="89"/>
      <c r="C741"/>
      <c r="D741"/>
      <c r="E741" s="69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  <c r="V741"/>
      <c r="W741"/>
      <c r="X741"/>
      <c r="Y741"/>
      <c r="Z741"/>
      <c r="AA741"/>
    </row>
    <row r="742" spans="2:27" s="25" customFormat="1" ht="15.75" customHeight="1" x14ac:dyDescent="0.2">
      <c r="B742" s="89"/>
      <c r="C742"/>
      <c r="D742"/>
      <c r="E742" s="69"/>
      <c r="F742"/>
      <c r="G742"/>
      <c r="H742"/>
      <c r="I742"/>
      <c r="J742"/>
      <c r="K742"/>
      <c r="L742"/>
      <c r="M742"/>
      <c r="N742"/>
      <c r="O742"/>
      <c r="P742"/>
      <c r="Q742"/>
      <c r="R742"/>
      <c r="S742"/>
      <c r="T742"/>
      <c r="U742"/>
      <c r="V742"/>
      <c r="W742"/>
      <c r="X742"/>
      <c r="Y742"/>
      <c r="Z742"/>
      <c r="AA742"/>
    </row>
    <row r="743" spans="2:27" s="25" customFormat="1" ht="15.75" customHeight="1" x14ac:dyDescent="0.2">
      <c r="B743" s="89"/>
      <c r="C743"/>
      <c r="D743"/>
      <c r="E743" s="69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  <c r="V743"/>
      <c r="W743"/>
      <c r="X743"/>
      <c r="Y743"/>
      <c r="Z743"/>
      <c r="AA743"/>
    </row>
    <row r="744" spans="2:27" s="25" customFormat="1" ht="15.75" customHeight="1" x14ac:dyDescent="0.2">
      <c r="B744" s="89"/>
      <c r="C744"/>
      <c r="D744"/>
      <c r="E744" s="69"/>
      <c r="F744"/>
      <c r="G744"/>
      <c r="H744"/>
      <c r="I744"/>
      <c r="J744"/>
      <c r="K744"/>
      <c r="L744"/>
      <c r="M744"/>
      <c r="N744"/>
      <c r="O744"/>
      <c r="P744"/>
      <c r="Q744"/>
      <c r="R744"/>
      <c r="S744"/>
      <c r="T744"/>
      <c r="U744"/>
      <c r="V744"/>
      <c r="W744"/>
      <c r="X744"/>
      <c r="Y744"/>
      <c r="Z744"/>
      <c r="AA744"/>
    </row>
    <row r="745" spans="2:27" s="25" customFormat="1" ht="15.75" customHeight="1" x14ac:dyDescent="0.2">
      <c r="B745" s="89"/>
      <c r="C745"/>
      <c r="D745"/>
      <c r="E745" s="69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  <c r="V745"/>
      <c r="W745"/>
      <c r="X745"/>
      <c r="Y745"/>
      <c r="Z745"/>
      <c r="AA745"/>
    </row>
    <row r="746" spans="2:27" s="25" customFormat="1" ht="15.75" customHeight="1" x14ac:dyDescent="0.2">
      <c r="B746" s="89"/>
      <c r="C746"/>
      <c r="D746"/>
      <c r="E746" s="69"/>
      <c r="F746"/>
      <c r="G746"/>
      <c r="H746"/>
      <c r="I746"/>
      <c r="J746"/>
      <c r="K746"/>
      <c r="L746"/>
      <c r="M746"/>
      <c r="N746"/>
      <c r="O746"/>
      <c r="P746"/>
      <c r="Q746"/>
      <c r="R746"/>
      <c r="S746"/>
      <c r="T746"/>
      <c r="U746"/>
      <c r="V746"/>
      <c r="W746"/>
      <c r="X746"/>
      <c r="Y746"/>
      <c r="Z746"/>
      <c r="AA746"/>
    </row>
    <row r="747" spans="2:27" s="25" customFormat="1" ht="15.75" customHeight="1" x14ac:dyDescent="0.2">
      <c r="B747" s="89"/>
      <c r="C747"/>
      <c r="D747"/>
      <c r="E747" s="69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  <c r="U747"/>
      <c r="V747"/>
      <c r="W747"/>
      <c r="X747"/>
      <c r="Y747"/>
      <c r="Z747"/>
      <c r="AA747"/>
    </row>
    <row r="748" spans="2:27" s="25" customFormat="1" ht="15.75" customHeight="1" x14ac:dyDescent="0.2">
      <c r="B748" s="89"/>
      <c r="C748"/>
      <c r="D748"/>
      <c r="E748" s="69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  <c r="V748"/>
      <c r="W748"/>
      <c r="X748"/>
      <c r="Y748"/>
      <c r="Z748"/>
      <c r="AA748"/>
    </row>
    <row r="749" spans="2:27" s="25" customFormat="1" ht="15.75" customHeight="1" x14ac:dyDescent="0.2">
      <c r="B749" s="89"/>
      <c r="C749"/>
      <c r="D749"/>
      <c r="E749" s="69"/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  <c r="T749"/>
      <c r="U749"/>
      <c r="V749"/>
      <c r="W749"/>
      <c r="X749"/>
      <c r="Y749"/>
      <c r="Z749"/>
      <c r="AA749"/>
    </row>
    <row r="750" spans="2:27" s="25" customFormat="1" ht="15.75" customHeight="1" x14ac:dyDescent="0.2">
      <c r="B750" s="89"/>
      <c r="C750"/>
      <c r="D750"/>
      <c r="E750" s="69"/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  <c r="V750"/>
      <c r="W750"/>
      <c r="X750"/>
      <c r="Y750"/>
      <c r="Z750"/>
      <c r="AA750"/>
    </row>
    <row r="751" spans="2:27" s="25" customFormat="1" ht="15.75" customHeight="1" x14ac:dyDescent="0.2">
      <c r="B751" s="89"/>
      <c r="C751"/>
      <c r="D751"/>
      <c r="E751" s="69"/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  <c r="V751"/>
      <c r="W751"/>
      <c r="X751"/>
      <c r="Y751"/>
      <c r="Z751"/>
      <c r="AA751"/>
    </row>
    <row r="752" spans="2:27" s="25" customFormat="1" ht="15.75" customHeight="1" x14ac:dyDescent="0.2">
      <c r="B752" s="89"/>
      <c r="C752"/>
      <c r="D752"/>
      <c r="E752" s="69"/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  <c r="V752"/>
      <c r="W752"/>
      <c r="X752"/>
      <c r="Y752"/>
      <c r="Z752"/>
      <c r="AA752"/>
    </row>
    <row r="753" spans="2:27" s="25" customFormat="1" ht="15.75" customHeight="1" x14ac:dyDescent="0.2">
      <c r="B753" s="89"/>
      <c r="C753"/>
      <c r="D753"/>
      <c r="E753" s="69"/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  <c r="T753"/>
      <c r="U753"/>
      <c r="V753"/>
      <c r="W753"/>
      <c r="X753"/>
      <c r="Y753"/>
      <c r="Z753"/>
      <c r="AA753"/>
    </row>
    <row r="754" spans="2:27" s="25" customFormat="1" ht="15.75" customHeight="1" x14ac:dyDescent="0.2">
      <c r="B754" s="89"/>
      <c r="C754"/>
      <c r="D754"/>
      <c r="E754" s="69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  <c r="T754"/>
      <c r="U754"/>
      <c r="V754"/>
      <c r="W754"/>
      <c r="X754"/>
      <c r="Y754"/>
      <c r="Z754"/>
      <c r="AA754"/>
    </row>
    <row r="755" spans="2:27" s="25" customFormat="1" ht="15.75" customHeight="1" x14ac:dyDescent="0.2">
      <c r="B755" s="89"/>
      <c r="C755"/>
      <c r="D755"/>
      <c r="E755" s="69"/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  <c r="V755"/>
      <c r="W755"/>
      <c r="X755"/>
      <c r="Y755"/>
      <c r="Z755"/>
      <c r="AA755"/>
    </row>
    <row r="756" spans="2:27" s="25" customFormat="1" ht="15.75" customHeight="1" x14ac:dyDescent="0.2">
      <c r="B756" s="89"/>
      <c r="C756"/>
      <c r="D756"/>
      <c r="E756" s="69"/>
      <c r="F756"/>
      <c r="G756"/>
      <c r="H756"/>
      <c r="I756"/>
      <c r="J756"/>
      <c r="K756"/>
      <c r="L756"/>
      <c r="M756"/>
      <c r="N756"/>
      <c r="O756"/>
      <c r="P756"/>
      <c r="Q756"/>
      <c r="R756"/>
      <c r="S756"/>
      <c r="T756"/>
      <c r="U756"/>
      <c r="V756"/>
      <c r="W756"/>
      <c r="X756"/>
      <c r="Y756"/>
      <c r="Z756"/>
      <c r="AA756"/>
    </row>
    <row r="757" spans="2:27" s="25" customFormat="1" ht="15.75" customHeight="1" x14ac:dyDescent="0.2">
      <c r="B757" s="89"/>
      <c r="C757"/>
      <c r="D757"/>
      <c r="E757" s="69"/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  <c r="T757"/>
      <c r="U757"/>
      <c r="V757"/>
      <c r="W757"/>
      <c r="X757"/>
      <c r="Y757"/>
      <c r="Z757"/>
      <c r="AA757"/>
    </row>
    <row r="758" spans="2:27" s="25" customFormat="1" ht="15.75" customHeight="1" x14ac:dyDescent="0.2">
      <c r="B758" s="89"/>
      <c r="C758"/>
      <c r="D758"/>
      <c r="E758" s="69"/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  <c r="T758"/>
      <c r="U758"/>
      <c r="V758"/>
      <c r="W758"/>
      <c r="X758"/>
      <c r="Y758"/>
      <c r="Z758"/>
      <c r="AA758"/>
    </row>
    <row r="759" spans="2:27" s="25" customFormat="1" ht="15.75" customHeight="1" x14ac:dyDescent="0.2">
      <c r="B759" s="89"/>
      <c r="C759"/>
      <c r="D759"/>
      <c r="E759" s="69"/>
      <c r="F759"/>
      <c r="G759"/>
      <c r="H759"/>
      <c r="I759"/>
      <c r="J759"/>
      <c r="K759"/>
      <c r="L759"/>
      <c r="M759"/>
      <c r="N759"/>
      <c r="O759"/>
      <c r="P759"/>
      <c r="Q759"/>
      <c r="R759"/>
      <c r="S759"/>
      <c r="T759"/>
      <c r="U759"/>
      <c r="V759"/>
      <c r="W759"/>
      <c r="X759"/>
      <c r="Y759"/>
      <c r="Z759"/>
      <c r="AA759"/>
    </row>
    <row r="760" spans="2:27" s="25" customFormat="1" ht="15.75" customHeight="1" x14ac:dyDescent="0.2">
      <c r="B760" s="89"/>
      <c r="C760"/>
      <c r="D760"/>
      <c r="E760" s="69"/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  <c r="T760"/>
      <c r="U760"/>
      <c r="V760"/>
      <c r="W760"/>
      <c r="X760"/>
      <c r="Y760"/>
      <c r="Z760"/>
      <c r="AA760"/>
    </row>
    <row r="761" spans="2:27" s="25" customFormat="1" ht="15.75" customHeight="1" x14ac:dyDescent="0.2">
      <c r="B761" s="89"/>
      <c r="C761"/>
      <c r="D761"/>
      <c r="E761" s="69"/>
      <c r="F761"/>
      <c r="G761"/>
      <c r="H761"/>
      <c r="I761"/>
      <c r="J761"/>
      <c r="K761"/>
      <c r="L761"/>
      <c r="M761"/>
      <c r="N761"/>
      <c r="O761"/>
      <c r="P761"/>
      <c r="Q761"/>
      <c r="R761"/>
      <c r="S761"/>
      <c r="T761"/>
      <c r="U761"/>
      <c r="V761"/>
      <c r="W761"/>
      <c r="X761"/>
      <c r="Y761"/>
      <c r="Z761"/>
      <c r="AA761"/>
    </row>
    <row r="762" spans="2:27" s="25" customFormat="1" ht="15.75" customHeight="1" x14ac:dyDescent="0.2">
      <c r="B762" s="89"/>
      <c r="C762"/>
      <c r="D762"/>
      <c r="E762" s="69"/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  <c r="U762"/>
      <c r="V762"/>
      <c r="W762"/>
      <c r="X762"/>
      <c r="Y762"/>
      <c r="Z762"/>
      <c r="AA762"/>
    </row>
    <row r="763" spans="2:27" s="25" customFormat="1" ht="15.75" customHeight="1" x14ac:dyDescent="0.2">
      <c r="B763" s="89"/>
      <c r="C763"/>
      <c r="D763"/>
      <c r="E763" s="69"/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  <c r="V763"/>
      <c r="W763"/>
      <c r="X763"/>
      <c r="Y763"/>
      <c r="Z763"/>
      <c r="AA763"/>
    </row>
    <row r="764" spans="2:27" s="25" customFormat="1" ht="15.75" customHeight="1" x14ac:dyDescent="0.2">
      <c r="B764" s="89"/>
      <c r="C764"/>
      <c r="D764"/>
      <c r="E764" s="69"/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  <c r="V764"/>
      <c r="W764"/>
      <c r="X764"/>
      <c r="Y764"/>
      <c r="Z764"/>
      <c r="AA764"/>
    </row>
    <row r="765" spans="2:27" s="25" customFormat="1" ht="15.75" customHeight="1" x14ac:dyDescent="0.2">
      <c r="B765" s="89"/>
      <c r="C765"/>
      <c r="D765"/>
      <c r="E765" s="69"/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  <c r="U765"/>
      <c r="V765"/>
      <c r="W765"/>
      <c r="X765"/>
      <c r="Y765"/>
      <c r="Z765"/>
      <c r="AA765"/>
    </row>
    <row r="766" spans="2:27" s="25" customFormat="1" ht="15.75" customHeight="1" x14ac:dyDescent="0.2">
      <c r="B766" s="89"/>
      <c r="C766"/>
      <c r="D766"/>
      <c r="E766" s="69"/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  <c r="T766"/>
      <c r="U766"/>
      <c r="V766"/>
      <c r="W766"/>
      <c r="X766"/>
      <c r="Y766"/>
      <c r="Z766"/>
      <c r="AA766"/>
    </row>
    <row r="767" spans="2:27" s="25" customFormat="1" ht="15.75" customHeight="1" x14ac:dyDescent="0.2">
      <c r="B767" s="89"/>
      <c r="C767"/>
      <c r="D767"/>
      <c r="E767" s="69"/>
      <c r="F767"/>
      <c r="G767"/>
      <c r="H767"/>
      <c r="I767"/>
      <c r="J767"/>
      <c r="K767"/>
      <c r="L767"/>
      <c r="M767"/>
      <c r="N767"/>
      <c r="O767"/>
      <c r="P767"/>
      <c r="Q767"/>
      <c r="R767"/>
      <c r="S767"/>
      <c r="T767"/>
      <c r="U767"/>
      <c r="V767"/>
      <c r="W767"/>
      <c r="X767"/>
      <c r="Y767"/>
      <c r="Z767"/>
      <c r="AA767"/>
    </row>
    <row r="768" spans="2:27" s="25" customFormat="1" ht="15.75" customHeight="1" x14ac:dyDescent="0.2">
      <c r="B768" s="89"/>
      <c r="C768"/>
      <c r="D768"/>
      <c r="E768" s="69"/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  <c r="U768"/>
      <c r="V768"/>
      <c r="W768"/>
      <c r="X768"/>
      <c r="Y768"/>
      <c r="Z768"/>
      <c r="AA768"/>
    </row>
    <row r="769" spans="2:27" s="25" customFormat="1" ht="15.75" customHeight="1" x14ac:dyDescent="0.2">
      <c r="B769" s="89"/>
      <c r="C769"/>
      <c r="D769"/>
      <c r="E769" s="69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  <c r="V769"/>
      <c r="W769"/>
      <c r="X769"/>
      <c r="Y769"/>
      <c r="Z769"/>
      <c r="AA769"/>
    </row>
    <row r="770" spans="2:27" s="25" customFormat="1" ht="15.75" customHeight="1" x14ac:dyDescent="0.2">
      <c r="B770" s="89"/>
      <c r="C770"/>
      <c r="D770"/>
      <c r="E770" s="69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  <c r="V770"/>
      <c r="W770"/>
      <c r="X770"/>
      <c r="Y770"/>
      <c r="Z770"/>
      <c r="AA770"/>
    </row>
    <row r="771" spans="2:27" s="25" customFormat="1" ht="15.75" customHeight="1" x14ac:dyDescent="0.2">
      <c r="B771" s="89"/>
      <c r="C771"/>
      <c r="D771"/>
      <c r="E771" s="69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  <c r="V771"/>
      <c r="W771"/>
      <c r="X771"/>
      <c r="Y771"/>
      <c r="Z771"/>
      <c r="AA771"/>
    </row>
    <row r="772" spans="2:27" s="25" customFormat="1" ht="15.75" customHeight="1" x14ac:dyDescent="0.2">
      <c r="B772" s="89"/>
      <c r="C772"/>
      <c r="D772"/>
      <c r="E772" s="69"/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  <c r="V772"/>
      <c r="W772"/>
      <c r="X772"/>
      <c r="Y772"/>
      <c r="Z772"/>
      <c r="AA772"/>
    </row>
    <row r="773" spans="2:27" s="25" customFormat="1" ht="15.75" customHeight="1" x14ac:dyDescent="0.2">
      <c r="B773" s="89"/>
      <c r="C773"/>
      <c r="D773"/>
      <c r="E773" s="69"/>
      <c r="F773"/>
      <c r="G773"/>
      <c r="H773"/>
      <c r="I773"/>
      <c r="J773"/>
      <c r="K773"/>
      <c r="L773"/>
      <c r="M773"/>
      <c r="N773"/>
      <c r="O773"/>
      <c r="P773"/>
      <c r="Q773"/>
      <c r="R773"/>
      <c r="S773"/>
      <c r="T773"/>
      <c r="U773"/>
      <c r="V773"/>
      <c r="W773"/>
      <c r="X773"/>
      <c r="Y773"/>
      <c r="Z773"/>
      <c r="AA773"/>
    </row>
    <row r="774" spans="2:27" s="25" customFormat="1" ht="15.75" customHeight="1" x14ac:dyDescent="0.2">
      <c r="B774" s="89"/>
      <c r="C774"/>
      <c r="D774"/>
      <c r="E774" s="69"/>
      <c r="F774"/>
      <c r="G774"/>
      <c r="H774"/>
      <c r="I774"/>
      <c r="J774"/>
      <c r="K774"/>
      <c r="L774"/>
      <c r="M774"/>
      <c r="N774"/>
      <c r="O774"/>
      <c r="P774"/>
      <c r="Q774"/>
      <c r="R774"/>
      <c r="S774"/>
      <c r="T774"/>
      <c r="U774"/>
      <c r="V774"/>
      <c r="W774"/>
      <c r="X774"/>
      <c r="Y774"/>
      <c r="Z774"/>
      <c r="AA774"/>
    </row>
    <row r="775" spans="2:27" s="25" customFormat="1" ht="15.75" customHeight="1" x14ac:dyDescent="0.2">
      <c r="B775" s="89"/>
      <c r="C775"/>
      <c r="D775"/>
      <c r="E775" s="69"/>
      <c r="F775"/>
      <c r="G775"/>
      <c r="H775"/>
      <c r="I775"/>
      <c r="J775"/>
      <c r="K775"/>
      <c r="L775"/>
      <c r="M775"/>
      <c r="N775"/>
      <c r="O775"/>
      <c r="P775"/>
      <c r="Q775"/>
      <c r="R775"/>
      <c r="S775"/>
      <c r="T775"/>
      <c r="U775"/>
      <c r="V775"/>
      <c r="W775"/>
      <c r="X775"/>
      <c r="Y775"/>
      <c r="Z775"/>
      <c r="AA775"/>
    </row>
    <row r="776" spans="2:27" s="25" customFormat="1" ht="15.75" customHeight="1" x14ac:dyDescent="0.2">
      <c r="B776" s="89"/>
      <c r="C776"/>
      <c r="D776"/>
      <c r="E776" s="69"/>
      <c r="F776"/>
      <c r="G776"/>
      <c r="H776"/>
      <c r="I776"/>
      <c r="J776"/>
      <c r="K776"/>
      <c r="L776"/>
      <c r="M776"/>
      <c r="N776"/>
      <c r="O776"/>
      <c r="P776"/>
      <c r="Q776"/>
      <c r="R776"/>
      <c r="S776"/>
      <c r="T776"/>
      <c r="U776"/>
      <c r="V776"/>
      <c r="W776"/>
      <c r="X776"/>
      <c r="Y776"/>
      <c r="Z776"/>
      <c r="AA776"/>
    </row>
    <row r="777" spans="2:27" s="25" customFormat="1" ht="15.75" customHeight="1" x14ac:dyDescent="0.2">
      <c r="B777" s="89"/>
      <c r="C777"/>
      <c r="D777"/>
      <c r="E777" s="69"/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  <c r="V777"/>
      <c r="W777"/>
      <c r="X777"/>
      <c r="Y777"/>
      <c r="Z777"/>
      <c r="AA777"/>
    </row>
    <row r="778" spans="2:27" s="25" customFormat="1" ht="15.75" customHeight="1" x14ac:dyDescent="0.2">
      <c r="B778" s="89"/>
      <c r="C778"/>
      <c r="D778"/>
      <c r="E778" s="69"/>
      <c r="F778"/>
      <c r="G778"/>
      <c r="H778"/>
      <c r="I778"/>
      <c r="J778"/>
      <c r="K778"/>
      <c r="L778"/>
      <c r="M778"/>
      <c r="N778"/>
      <c r="O778"/>
      <c r="P778"/>
      <c r="Q778"/>
      <c r="R778"/>
      <c r="S778"/>
      <c r="T778"/>
      <c r="U778"/>
      <c r="V778"/>
      <c r="W778"/>
      <c r="X778"/>
      <c r="Y778"/>
      <c r="Z778"/>
      <c r="AA778"/>
    </row>
    <row r="779" spans="2:27" s="25" customFormat="1" ht="15.75" customHeight="1" x14ac:dyDescent="0.2">
      <c r="B779" s="89"/>
      <c r="C779"/>
      <c r="D779"/>
      <c r="E779" s="69"/>
      <c r="F779"/>
      <c r="G779"/>
      <c r="H779"/>
      <c r="I779"/>
      <c r="J779"/>
      <c r="K779"/>
      <c r="L779"/>
      <c r="M779"/>
      <c r="N779"/>
      <c r="O779"/>
      <c r="P779"/>
      <c r="Q779"/>
      <c r="R779"/>
      <c r="S779"/>
      <c r="T779"/>
      <c r="U779"/>
      <c r="V779"/>
      <c r="W779"/>
      <c r="X779"/>
      <c r="Y779"/>
      <c r="Z779"/>
      <c r="AA779"/>
    </row>
    <row r="780" spans="2:27" s="25" customFormat="1" ht="15.75" customHeight="1" x14ac:dyDescent="0.2">
      <c r="B780" s="89"/>
      <c r="C780"/>
      <c r="D780"/>
      <c r="E780" s="69"/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  <c r="T780"/>
      <c r="U780"/>
      <c r="V780"/>
      <c r="W780"/>
      <c r="X780"/>
      <c r="Y780"/>
      <c r="Z780"/>
      <c r="AA780"/>
    </row>
    <row r="781" spans="2:27" s="25" customFormat="1" ht="15.75" customHeight="1" x14ac:dyDescent="0.2">
      <c r="B781" s="89"/>
      <c r="C781"/>
      <c r="D781"/>
      <c r="E781" s="69"/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  <c r="V781"/>
      <c r="W781"/>
      <c r="X781"/>
      <c r="Y781"/>
      <c r="Z781"/>
      <c r="AA781"/>
    </row>
    <row r="782" spans="2:27" s="25" customFormat="1" ht="15.75" customHeight="1" x14ac:dyDescent="0.2">
      <c r="B782" s="89"/>
      <c r="C782"/>
      <c r="D782"/>
      <c r="E782" s="69"/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  <c r="V782"/>
      <c r="W782"/>
      <c r="X782"/>
      <c r="Y782"/>
      <c r="Z782"/>
      <c r="AA782"/>
    </row>
    <row r="783" spans="2:27" s="25" customFormat="1" ht="15.75" customHeight="1" x14ac:dyDescent="0.2">
      <c r="B783" s="89"/>
      <c r="C783"/>
      <c r="D783"/>
      <c r="E783" s="69"/>
      <c r="F783"/>
      <c r="G783"/>
      <c r="H783"/>
      <c r="I783"/>
      <c r="J783"/>
      <c r="K783"/>
      <c r="L783"/>
      <c r="M783"/>
      <c r="N783"/>
      <c r="O783"/>
      <c r="P783"/>
      <c r="Q783"/>
      <c r="R783"/>
      <c r="S783"/>
      <c r="T783"/>
      <c r="U783"/>
      <c r="V783"/>
      <c r="W783"/>
      <c r="X783"/>
      <c r="Y783"/>
      <c r="Z783"/>
      <c r="AA783"/>
    </row>
    <row r="784" spans="2:27" s="25" customFormat="1" ht="15.75" customHeight="1" x14ac:dyDescent="0.2">
      <c r="B784" s="89"/>
      <c r="C784"/>
      <c r="D784"/>
      <c r="E784" s="69"/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  <c r="T784"/>
      <c r="U784"/>
      <c r="V784"/>
      <c r="W784"/>
      <c r="X784"/>
      <c r="Y784"/>
      <c r="Z784"/>
      <c r="AA784"/>
    </row>
    <row r="785" spans="2:27" s="25" customFormat="1" ht="15.75" customHeight="1" x14ac:dyDescent="0.2">
      <c r="B785" s="89"/>
      <c r="C785"/>
      <c r="D785"/>
      <c r="E785" s="69"/>
      <c r="F785"/>
      <c r="G785"/>
      <c r="H785"/>
      <c r="I785"/>
      <c r="J785"/>
      <c r="K785"/>
      <c r="L785"/>
      <c r="M785"/>
      <c r="N785"/>
      <c r="O785"/>
      <c r="P785"/>
      <c r="Q785"/>
      <c r="R785"/>
      <c r="S785"/>
      <c r="T785"/>
      <c r="U785"/>
      <c r="V785"/>
      <c r="W785"/>
      <c r="X785"/>
      <c r="Y785"/>
      <c r="Z785"/>
      <c r="AA785"/>
    </row>
    <row r="786" spans="2:27" s="25" customFormat="1" ht="15.75" customHeight="1" x14ac:dyDescent="0.2">
      <c r="B786" s="89"/>
      <c r="C786"/>
      <c r="D786"/>
      <c r="E786" s="69"/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  <c r="U786"/>
      <c r="V786"/>
      <c r="W786"/>
      <c r="X786"/>
      <c r="Y786"/>
      <c r="Z786"/>
      <c r="AA786"/>
    </row>
    <row r="787" spans="2:27" s="25" customFormat="1" ht="15.75" customHeight="1" x14ac:dyDescent="0.2">
      <c r="B787" s="89"/>
      <c r="C787"/>
      <c r="D787"/>
      <c r="E787" s="69"/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  <c r="V787"/>
      <c r="W787"/>
      <c r="X787"/>
      <c r="Y787"/>
      <c r="Z787"/>
      <c r="AA787"/>
    </row>
    <row r="788" spans="2:27" s="25" customFormat="1" ht="15.75" customHeight="1" x14ac:dyDescent="0.2">
      <c r="B788" s="89"/>
      <c r="C788"/>
      <c r="D788"/>
      <c r="E788" s="69"/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  <c r="V788"/>
      <c r="W788"/>
      <c r="X788"/>
      <c r="Y788"/>
      <c r="Z788"/>
      <c r="AA788"/>
    </row>
    <row r="789" spans="2:27" s="25" customFormat="1" ht="15.75" customHeight="1" x14ac:dyDescent="0.2">
      <c r="B789" s="89"/>
      <c r="C789"/>
      <c r="D789"/>
      <c r="E789" s="69"/>
      <c r="F789"/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  <c r="V789"/>
      <c r="W789"/>
      <c r="X789"/>
      <c r="Y789"/>
      <c r="Z789"/>
      <c r="AA789"/>
    </row>
    <row r="790" spans="2:27" s="25" customFormat="1" ht="15.75" customHeight="1" x14ac:dyDescent="0.2">
      <c r="B790" s="89"/>
      <c r="C790"/>
      <c r="D790"/>
      <c r="E790" s="69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  <c r="V790"/>
      <c r="W790"/>
      <c r="X790"/>
      <c r="Y790"/>
      <c r="Z790"/>
      <c r="AA790"/>
    </row>
    <row r="791" spans="2:27" s="25" customFormat="1" ht="15.75" customHeight="1" x14ac:dyDescent="0.2">
      <c r="B791" s="89"/>
      <c r="C791"/>
      <c r="D791"/>
      <c r="E791" s="69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  <c r="V791"/>
      <c r="W791"/>
      <c r="X791"/>
      <c r="Y791"/>
      <c r="Z791"/>
      <c r="AA791"/>
    </row>
    <row r="792" spans="2:27" s="25" customFormat="1" ht="15.75" customHeight="1" x14ac:dyDescent="0.2">
      <c r="B792" s="89"/>
      <c r="C792"/>
      <c r="D792"/>
      <c r="E792" s="69"/>
      <c r="F792"/>
      <c r="G792"/>
      <c r="H792"/>
      <c r="I792"/>
      <c r="J792"/>
      <c r="K792"/>
      <c r="L792"/>
      <c r="M792"/>
      <c r="N792"/>
      <c r="O792"/>
      <c r="P792"/>
      <c r="Q792"/>
      <c r="R792"/>
      <c r="S792"/>
      <c r="T792"/>
      <c r="U792"/>
      <c r="V792"/>
      <c r="W792"/>
      <c r="X792"/>
      <c r="Y792"/>
      <c r="Z792"/>
      <c r="AA792"/>
    </row>
    <row r="793" spans="2:27" s="25" customFormat="1" ht="15.75" customHeight="1" x14ac:dyDescent="0.2">
      <c r="B793" s="89"/>
      <c r="C793"/>
      <c r="D793"/>
      <c r="E793" s="69"/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  <c r="V793"/>
      <c r="W793"/>
      <c r="X793"/>
      <c r="Y793"/>
      <c r="Z793"/>
      <c r="AA793"/>
    </row>
    <row r="794" spans="2:27" s="25" customFormat="1" ht="15.75" customHeight="1" x14ac:dyDescent="0.2">
      <c r="B794" s="89"/>
      <c r="C794"/>
      <c r="D794"/>
      <c r="E794" s="69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  <c r="V794"/>
      <c r="W794"/>
      <c r="X794"/>
      <c r="Y794"/>
      <c r="Z794"/>
      <c r="AA794"/>
    </row>
    <row r="795" spans="2:27" s="25" customFormat="1" ht="15.75" customHeight="1" x14ac:dyDescent="0.2">
      <c r="B795" s="89"/>
      <c r="C795"/>
      <c r="D795"/>
      <c r="E795" s="69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  <c r="V795"/>
      <c r="W795"/>
      <c r="X795"/>
      <c r="Y795"/>
      <c r="Z795"/>
      <c r="AA795"/>
    </row>
    <row r="796" spans="2:27" s="25" customFormat="1" ht="15.75" customHeight="1" x14ac:dyDescent="0.2">
      <c r="B796" s="89"/>
      <c r="C796"/>
      <c r="D796"/>
      <c r="E796" s="69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  <c r="V796"/>
      <c r="W796"/>
      <c r="X796"/>
      <c r="Y796"/>
      <c r="Z796"/>
      <c r="AA796"/>
    </row>
    <row r="797" spans="2:27" s="25" customFormat="1" ht="15.75" customHeight="1" x14ac:dyDescent="0.2">
      <c r="B797" s="89"/>
      <c r="C797"/>
      <c r="D797"/>
      <c r="E797" s="69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  <c r="V797"/>
      <c r="W797"/>
      <c r="X797"/>
      <c r="Y797"/>
      <c r="Z797"/>
      <c r="AA797"/>
    </row>
    <row r="798" spans="2:27" s="25" customFormat="1" ht="15.75" customHeight="1" x14ac:dyDescent="0.2">
      <c r="B798" s="89"/>
      <c r="C798"/>
      <c r="D798"/>
      <c r="E798" s="69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  <c r="V798"/>
      <c r="W798"/>
      <c r="X798"/>
      <c r="Y798"/>
      <c r="Z798"/>
      <c r="AA798"/>
    </row>
    <row r="799" spans="2:27" s="25" customFormat="1" ht="15.75" customHeight="1" x14ac:dyDescent="0.2">
      <c r="B799" s="89"/>
      <c r="C799"/>
      <c r="D799"/>
      <c r="E799" s="6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  <c r="V799"/>
      <c r="W799"/>
      <c r="X799"/>
      <c r="Y799"/>
      <c r="Z799"/>
      <c r="AA799"/>
    </row>
    <row r="800" spans="2:27" s="25" customFormat="1" ht="15.75" customHeight="1" x14ac:dyDescent="0.2">
      <c r="B800" s="89"/>
      <c r="C800"/>
      <c r="D800"/>
      <c r="E800" s="69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  <c r="V800"/>
      <c r="W800"/>
      <c r="X800"/>
      <c r="Y800"/>
      <c r="Z800"/>
      <c r="AA800"/>
    </row>
    <row r="801" spans="2:27" s="25" customFormat="1" ht="15.75" customHeight="1" x14ac:dyDescent="0.2">
      <c r="B801" s="89"/>
      <c r="C801"/>
      <c r="D801"/>
      <c r="E801" s="69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  <c r="V801"/>
      <c r="W801"/>
      <c r="X801"/>
      <c r="Y801"/>
      <c r="Z801"/>
      <c r="AA801"/>
    </row>
    <row r="802" spans="2:27" s="25" customFormat="1" ht="15.75" customHeight="1" x14ac:dyDescent="0.2">
      <c r="B802" s="89"/>
      <c r="C802"/>
      <c r="D802"/>
      <c r="E802" s="69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  <c r="V802"/>
      <c r="W802"/>
      <c r="X802"/>
      <c r="Y802"/>
      <c r="Z802"/>
      <c r="AA802"/>
    </row>
    <row r="803" spans="2:27" s="25" customFormat="1" ht="15.75" customHeight="1" x14ac:dyDescent="0.2">
      <c r="B803" s="89"/>
      <c r="C803"/>
      <c r="D803"/>
      <c r="E803" s="69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  <c r="V803"/>
      <c r="W803"/>
      <c r="X803"/>
      <c r="Y803"/>
      <c r="Z803"/>
      <c r="AA803"/>
    </row>
    <row r="804" spans="2:27" s="25" customFormat="1" ht="15.75" customHeight="1" x14ac:dyDescent="0.2">
      <c r="B804" s="89"/>
      <c r="C804"/>
      <c r="D804"/>
      <c r="E804" s="69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  <c r="V804"/>
      <c r="W804"/>
      <c r="X804"/>
      <c r="Y804"/>
      <c r="Z804"/>
      <c r="AA804"/>
    </row>
    <row r="805" spans="2:27" s="25" customFormat="1" ht="15.75" customHeight="1" x14ac:dyDescent="0.2">
      <c r="B805" s="89"/>
      <c r="C805"/>
      <c r="D805"/>
      <c r="E805" s="69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  <c r="V805"/>
      <c r="W805"/>
      <c r="X805"/>
      <c r="Y805"/>
      <c r="Z805"/>
      <c r="AA805"/>
    </row>
    <row r="806" spans="2:27" s="25" customFormat="1" ht="15.75" customHeight="1" x14ac:dyDescent="0.2">
      <c r="B806" s="89"/>
      <c r="C806"/>
      <c r="D806"/>
      <c r="E806" s="69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  <c r="V806"/>
      <c r="W806"/>
      <c r="X806"/>
      <c r="Y806"/>
      <c r="Z806"/>
      <c r="AA806"/>
    </row>
    <row r="807" spans="2:27" s="25" customFormat="1" ht="15.75" customHeight="1" x14ac:dyDescent="0.2">
      <c r="B807" s="89"/>
      <c r="C807"/>
      <c r="D807"/>
      <c r="E807" s="69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  <c r="V807"/>
      <c r="W807"/>
      <c r="X807"/>
      <c r="Y807"/>
      <c r="Z807"/>
      <c r="AA807"/>
    </row>
    <row r="808" spans="2:27" s="25" customFormat="1" ht="15.75" customHeight="1" x14ac:dyDescent="0.2">
      <c r="B808" s="89"/>
      <c r="C808"/>
      <c r="D808"/>
      <c r="E808" s="69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  <c r="V808"/>
      <c r="W808"/>
      <c r="X808"/>
      <c r="Y808"/>
      <c r="Z808"/>
      <c r="AA808"/>
    </row>
    <row r="809" spans="2:27" s="25" customFormat="1" ht="15.75" customHeight="1" x14ac:dyDescent="0.2">
      <c r="B809" s="89"/>
      <c r="C809"/>
      <c r="D809"/>
      <c r="E809" s="6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  <c r="V809"/>
      <c r="W809"/>
      <c r="X809"/>
      <c r="Y809"/>
      <c r="Z809"/>
      <c r="AA809"/>
    </row>
    <row r="810" spans="2:27" s="25" customFormat="1" ht="15.75" customHeight="1" x14ac:dyDescent="0.2">
      <c r="B810" s="89"/>
      <c r="C810"/>
      <c r="D810"/>
      <c r="E810" s="69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  <c r="V810"/>
      <c r="W810"/>
      <c r="X810"/>
      <c r="Y810"/>
      <c r="Z810"/>
      <c r="AA810"/>
    </row>
    <row r="811" spans="2:27" s="25" customFormat="1" ht="15.75" customHeight="1" x14ac:dyDescent="0.2">
      <c r="B811" s="89"/>
      <c r="C811"/>
      <c r="D811"/>
      <c r="E811" s="69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  <c r="V811"/>
      <c r="W811"/>
      <c r="X811"/>
      <c r="Y811"/>
      <c r="Z811"/>
      <c r="AA811"/>
    </row>
    <row r="812" spans="2:27" s="25" customFormat="1" ht="15.75" customHeight="1" x14ac:dyDescent="0.2">
      <c r="B812" s="89"/>
      <c r="C812"/>
      <c r="D812"/>
      <c r="E812" s="69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  <c r="V812"/>
      <c r="W812"/>
      <c r="X812"/>
      <c r="Y812"/>
      <c r="Z812"/>
      <c r="AA812"/>
    </row>
    <row r="813" spans="2:27" s="25" customFormat="1" ht="15.75" customHeight="1" x14ac:dyDescent="0.2">
      <c r="B813" s="89"/>
      <c r="C813"/>
      <c r="D813"/>
      <c r="E813" s="69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  <c r="V813"/>
      <c r="W813"/>
      <c r="X813"/>
      <c r="Y813"/>
      <c r="Z813"/>
      <c r="AA813"/>
    </row>
    <row r="814" spans="2:27" s="25" customFormat="1" ht="15.75" customHeight="1" x14ac:dyDescent="0.2">
      <c r="B814" s="89"/>
      <c r="C814"/>
      <c r="D814"/>
      <c r="E814" s="69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  <c r="V814"/>
      <c r="W814"/>
      <c r="X814"/>
      <c r="Y814"/>
      <c r="Z814"/>
      <c r="AA814"/>
    </row>
    <row r="815" spans="2:27" s="25" customFormat="1" ht="15.75" customHeight="1" x14ac:dyDescent="0.2">
      <c r="B815" s="89"/>
      <c r="C815"/>
      <c r="D815"/>
      <c r="E815" s="69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  <c r="V815"/>
      <c r="W815"/>
      <c r="X815"/>
      <c r="Y815"/>
      <c r="Z815"/>
      <c r="AA815"/>
    </row>
    <row r="816" spans="2:27" s="25" customFormat="1" ht="15.75" customHeight="1" x14ac:dyDescent="0.2">
      <c r="B816" s="89"/>
      <c r="C816"/>
      <c r="D816"/>
      <c r="E816" s="69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  <c r="V816"/>
      <c r="W816"/>
      <c r="X816"/>
      <c r="Y816"/>
      <c r="Z816"/>
      <c r="AA816"/>
    </row>
    <row r="817" spans="2:27" s="25" customFormat="1" ht="15.75" customHeight="1" x14ac:dyDescent="0.2">
      <c r="B817" s="89"/>
      <c r="C817"/>
      <c r="D817"/>
      <c r="E817" s="69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  <c r="V817"/>
      <c r="W817"/>
      <c r="X817"/>
      <c r="Y817"/>
      <c r="Z817"/>
      <c r="AA817"/>
    </row>
    <row r="818" spans="2:27" s="25" customFormat="1" ht="15.75" customHeight="1" x14ac:dyDescent="0.2">
      <c r="B818" s="89"/>
      <c r="C818"/>
      <c r="D818"/>
      <c r="E818" s="69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  <c r="U818"/>
      <c r="V818"/>
      <c r="W818"/>
      <c r="X818"/>
      <c r="Y818"/>
      <c r="Z818"/>
      <c r="AA818"/>
    </row>
    <row r="819" spans="2:27" s="25" customFormat="1" ht="15.75" customHeight="1" x14ac:dyDescent="0.2">
      <c r="B819" s="89"/>
      <c r="C819"/>
      <c r="D819"/>
      <c r="E819" s="6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/>
      <c r="U819"/>
      <c r="V819"/>
      <c r="W819"/>
      <c r="X819"/>
      <c r="Y819"/>
      <c r="Z819"/>
      <c r="AA819"/>
    </row>
    <row r="820" spans="2:27" s="25" customFormat="1" ht="15.75" customHeight="1" x14ac:dyDescent="0.2">
      <c r="B820" s="89"/>
      <c r="C820"/>
      <c r="D820"/>
      <c r="E820" s="69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  <c r="U820"/>
      <c r="V820"/>
      <c r="W820"/>
      <c r="X820"/>
      <c r="Y820"/>
      <c r="Z820"/>
      <c r="AA820"/>
    </row>
    <row r="821" spans="2:27" s="25" customFormat="1" ht="15.75" customHeight="1" x14ac:dyDescent="0.2">
      <c r="B821" s="89"/>
      <c r="C821"/>
      <c r="D821"/>
      <c r="E821" s="69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  <c r="V821"/>
      <c r="W821"/>
      <c r="X821"/>
      <c r="Y821"/>
      <c r="Z821"/>
      <c r="AA821"/>
    </row>
    <row r="822" spans="2:27" s="25" customFormat="1" ht="15.75" customHeight="1" x14ac:dyDescent="0.2">
      <c r="B822" s="89"/>
      <c r="C822"/>
      <c r="D822"/>
      <c r="E822" s="69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  <c r="V822"/>
      <c r="W822"/>
      <c r="X822"/>
      <c r="Y822"/>
      <c r="Z822"/>
      <c r="AA822"/>
    </row>
    <row r="823" spans="2:27" s="25" customFormat="1" ht="15.75" customHeight="1" x14ac:dyDescent="0.2">
      <c r="B823" s="89"/>
      <c r="C823"/>
      <c r="D823"/>
      <c r="E823" s="69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  <c r="V823"/>
      <c r="W823"/>
      <c r="X823"/>
      <c r="Y823"/>
      <c r="Z823"/>
      <c r="AA823"/>
    </row>
    <row r="824" spans="2:27" s="25" customFormat="1" ht="15.75" customHeight="1" x14ac:dyDescent="0.2">
      <c r="B824" s="89"/>
      <c r="C824"/>
      <c r="D824"/>
      <c r="E824" s="69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  <c r="U824"/>
      <c r="V824"/>
      <c r="W824"/>
      <c r="X824"/>
      <c r="Y824"/>
      <c r="Z824"/>
      <c r="AA824"/>
    </row>
    <row r="825" spans="2:27" s="25" customFormat="1" ht="15.75" customHeight="1" x14ac:dyDescent="0.2">
      <c r="B825" s="89"/>
      <c r="C825"/>
      <c r="D825"/>
      <c r="E825" s="69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  <c r="V825"/>
      <c r="W825"/>
      <c r="X825"/>
      <c r="Y825"/>
      <c r="Z825"/>
      <c r="AA825"/>
    </row>
    <row r="826" spans="2:27" s="25" customFormat="1" ht="15.75" customHeight="1" x14ac:dyDescent="0.2">
      <c r="B826" s="89"/>
      <c r="C826"/>
      <c r="D826"/>
      <c r="E826" s="69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  <c r="U826"/>
      <c r="V826"/>
      <c r="W826"/>
      <c r="X826"/>
      <c r="Y826"/>
      <c r="Z826"/>
      <c r="AA826"/>
    </row>
    <row r="827" spans="2:27" s="25" customFormat="1" ht="15.75" customHeight="1" x14ac:dyDescent="0.2">
      <c r="B827" s="89"/>
      <c r="C827"/>
      <c r="D827"/>
      <c r="E827" s="69"/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  <c r="U827"/>
      <c r="V827"/>
      <c r="W827"/>
      <c r="X827"/>
      <c r="Y827"/>
      <c r="Z827"/>
      <c r="AA827"/>
    </row>
    <row r="828" spans="2:27" s="25" customFormat="1" ht="15.75" customHeight="1" x14ac:dyDescent="0.2">
      <c r="B828" s="89"/>
      <c r="C828"/>
      <c r="D828"/>
      <c r="E828" s="69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  <c r="V828"/>
      <c r="W828"/>
      <c r="X828"/>
      <c r="Y828"/>
      <c r="Z828"/>
      <c r="AA828"/>
    </row>
    <row r="829" spans="2:27" s="25" customFormat="1" ht="15.75" customHeight="1" x14ac:dyDescent="0.2">
      <c r="B829" s="89"/>
      <c r="C829"/>
      <c r="D829"/>
      <c r="E829" s="6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  <c r="V829"/>
      <c r="W829"/>
      <c r="X829"/>
      <c r="Y829"/>
      <c r="Z829"/>
      <c r="AA829"/>
    </row>
    <row r="830" spans="2:27" s="25" customFormat="1" ht="15.75" customHeight="1" x14ac:dyDescent="0.2">
      <c r="B830" s="89"/>
      <c r="C830"/>
      <c r="D830"/>
      <c r="E830" s="69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  <c r="V830"/>
      <c r="W830"/>
      <c r="X830"/>
      <c r="Y830"/>
      <c r="Z830"/>
      <c r="AA830"/>
    </row>
    <row r="831" spans="2:27" s="25" customFormat="1" ht="15.75" customHeight="1" x14ac:dyDescent="0.2">
      <c r="B831" s="89"/>
      <c r="C831"/>
      <c r="D831"/>
      <c r="E831" s="69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  <c r="V831"/>
      <c r="W831"/>
      <c r="X831"/>
      <c r="Y831"/>
      <c r="Z831"/>
      <c r="AA831"/>
    </row>
    <row r="832" spans="2:27" s="25" customFormat="1" ht="15.75" customHeight="1" x14ac:dyDescent="0.2">
      <c r="B832" s="89"/>
      <c r="C832"/>
      <c r="D832"/>
      <c r="E832" s="69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  <c r="V832"/>
      <c r="W832"/>
      <c r="X832"/>
      <c r="Y832"/>
      <c r="Z832"/>
      <c r="AA832"/>
    </row>
    <row r="833" spans="2:27" s="25" customFormat="1" ht="15.75" customHeight="1" x14ac:dyDescent="0.2">
      <c r="B833" s="89"/>
      <c r="C833"/>
      <c r="D833"/>
      <c r="E833" s="69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  <c r="V833"/>
      <c r="W833"/>
      <c r="X833"/>
      <c r="Y833"/>
      <c r="Z833"/>
      <c r="AA833"/>
    </row>
    <row r="834" spans="2:27" s="25" customFormat="1" ht="15.75" customHeight="1" x14ac:dyDescent="0.2">
      <c r="B834" s="89"/>
      <c r="C834"/>
      <c r="D834"/>
      <c r="E834" s="69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  <c r="V834"/>
      <c r="W834"/>
      <c r="X834"/>
      <c r="Y834"/>
      <c r="Z834"/>
      <c r="AA834"/>
    </row>
    <row r="835" spans="2:27" s="25" customFormat="1" ht="15.75" customHeight="1" x14ac:dyDescent="0.2">
      <c r="B835" s="89"/>
      <c r="C835"/>
      <c r="D835"/>
      <c r="E835" s="69"/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  <c r="U835"/>
      <c r="V835"/>
      <c r="W835"/>
      <c r="X835"/>
      <c r="Y835"/>
      <c r="Z835"/>
      <c r="AA835"/>
    </row>
    <row r="836" spans="2:27" s="25" customFormat="1" ht="15.75" customHeight="1" x14ac:dyDescent="0.2">
      <c r="B836" s="89"/>
      <c r="C836"/>
      <c r="D836"/>
      <c r="E836" s="69"/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  <c r="U836"/>
      <c r="V836"/>
      <c r="W836"/>
      <c r="X836"/>
      <c r="Y836"/>
      <c r="Z836"/>
      <c r="AA836"/>
    </row>
    <row r="837" spans="2:27" s="25" customFormat="1" ht="15.75" customHeight="1" x14ac:dyDescent="0.2">
      <c r="B837" s="89"/>
      <c r="C837"/>
      <c r="D837"/>
      <c r="E837" s="69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  <c r="U837"/>
      <c r="V837"/>
      <c r="W837"/>
      <c r="X837"/>
      <c r="Y837"/>
      <c r="Z837"/>
      <c r="AA837"/>
    </row>
    <row r="838" spans="2:27" s="25" customFormat="1" ht="15.75" customHeight="1" x14ac:dyDescent="0.2">
      <c r="B838" s="89"/>
      <c r="C838"/>
      <c r="D838"/>
      <c r="E838" s="69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  <c r="V838"/>
      <c r="W838"/>
      <c r="X838"/>
      <c r="Y838"/>
      <c r="Z838"/>
      <c r="AA838"/>
    </row>
    <row r="839" spans="2:27" s="25" customFormat="1" ht="15.75" customHeight="1" x14ac:dyDescent="0.2">
      <c r="B839" s="89"/>
      <c r="C839"/>
      <c r="D839"/>
      <c r="E839" s="6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  <c r="V839"/>
      <c r="W839"/>
      <c r="X839"/>
      <c r="Y839"/>
      <c r="Z839"/>
      <c r="AA839"/>
    </row>
    <row r="840" spans="2:27" s="25" customFormat="1" ht="15.75" customHeight="1" x14ac:dyDescent="0.2">
      <c r="B840" s="89"/>
      <c r="C840"/>
      <c r="D840"/>
      <c r="E840" s="69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  <c r="V840"/>
      <c r="W840"/>
      <c r="X840"/>
      <c r="Y840"/>
      <c r="Z840"/>
      <c r="AA840"/>
    </row>
    <row r="841" spans="2:27" s="25" customFormat="1" ht="15.75" customHeight="1" x14ac:dyDescent="0.2">
      <c r="B841" s="89"/>
      <c r="C841"/>
      <c r="D841"/>
      <c r="E841" s="69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  <c r="V841"/>
      <c r="W841"/>
      <c r="X841"/>
      <c r="Y841"/>
      <c r="Z841"/>
      <c r="AA841"/>
    </row>
    <row r="842" spans="2:27" s="25" customFormat="1" ht="15.75" customHeight="1" x14ac:dyDescent="0.2">
      <c r="B842" s="89"/>
      <c r="C842"/>
      <c r="D842"/>
      <c r="E842" s="69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  <c r="U842"/>
      <c r="V842"/>
      <c r="W842"/>
      <c r="X842"/>
      <c r="Y842"/>
      <c r="Z842"/>
      <c r="AA842"/>
    </row>
    <row r="843" spans="2:27" s="25" customFormat="1" ht="15.75" customHeight="1" x14ac:dyDescent="0.2">
      <c r="B843" s="89"/>
      <c r="C843"/>
      <c r="D843"/>
      <c r="E843" s="69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  <c r="V843"/>
      <c r="W843"/>
      <c r="X843"/>
      <c r="Y843"/>
      <c r="Z843"/>
      <c r="AA843"/>
    </row>
    <row r="844" spans="2:27" s="25" customFormat="1" ht="15.75" customHeight="1" x14ac:dyDescent="0.2">
      <c r="B844" s="89"/>
      <c r="C844"/>
      <c r="D844"/>
      <c r="E844" s="69"/>
      <c r="F844"/>
      <c r="G844"/>
      <c r="H844"/>
      <c r="I844"/>
      <c r="J844"/>
      <c r="K844"/>
      <c r="L844"/>
      <c r="M844"/>
      <c r="N844"/>
      <c r="O844"/>
      <c r="P844"/>
      <c r="Q844"/>
      <c r="R844"/>
      <c r="S844"/>
      <c r="T844"/>
      <c r="U844"/>
      <c r="V844"/>
      <c r="W844"/>
      <c r="X844"/>
      <c r="Y844"/>
      <c r="Z844"/>
      <c r="AA844"/>
    </row>
    <row r="845" spans="2:27" s="25" customFormat="1" ht="15.75" customHeight="1" x14ac:dyDescent="0.2">
      <c r="B845" s="89"/>
      <c r="C845"/>
      <c r="D845"/>
      <c r="E845" s="69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  <c r="U845"/>
      <c r="V845"/>
      <c r="W845"/>
      <c r="X845"/>
      <c r="Y845"/>
      <c r="Z845"/>
      <c r="AA845"/>
    </row>
    <row r="846" spans="2:27" s="25" customFormat="1" ht="15.75" customHeight="1" x14ac:dyDescent="0.2">
      <c r="B846" s="89"/>
      <c r="C846"/>
      <c r="D846"/>
      <c r="E846" s="69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  <c r="V846"/>
      <c r="W846"/>
      <c r="X846"/>
      <c r="Y846"/>
      <c r="Z846"/>
      <c r="AA846"/>
    </row>
    <row r="847" spans="2:27" s="25" customFormat="1" ht="15.75" customHeight="1" x14ac:dyDescent="0.2">
      <c r="B847" s="89"/>
      <c r="C847"/>
      <c r="D847"/>
      <c r="E847" s="69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  <c r="U847"/>
      <c r="V847"/>
      <c r="W847"/>
      <c r="X847"/>
      <c r="Y847"/>
      <c r="Z847"/>
      <c r="AA847"/>
    </row>
    <row r="848" spans="2:27" s="25" customFormat="1" ht="15.75" customHeight="1" x14ac:dyDescent="0.2">
      <c r="B848" s="89"/>
      <c r="C848"/>
      <c r="D848"/>
      <c r="E848" s="69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/>
      <c r="U848"/>
      <c r="V848"/>
      <c r="W848"/>
      <c r="X848"/>
      <c r="Y848"/>
      <c r="Z848"/>
      <c r="AA848"/>
    </row>
    <row r="849" spans="2:27" s="25" customFormat="1" ht="15.75" customHeight="1" x14ac:dyDescent="0.2">
      <c r="B849" s="89"/>
      <c r="C849"/>
      <c r="D849"/>
      <c r="E849" s="6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  <c r="V849"/>
      <c r="W849"/>
      <c r="X849"/>
      <c r="Y849"/>
      <c r="Z849"/>
      <c r="AA849"/>
    </row>
    <row r="850" spans="2:27" s="25" customFormat="1" ht="15.75" customHeight="1" x14ac:dyDescent="0.2">
      <c r="B850" s="89"/>
      <c r="C850"/>
      <c r="D850"/>
      <c r="E850" s="69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  <c r="V850"/>
      <c r="W850"/>
      <c r="X850"/>
      <c r="Y850"/>
      <c r="Z850"/>
      <c r="AA850"/>
    </row>
    <row r="851" spans="2:27" s="25" customFormat="1" ht="15.75" customHeight="1" x14ac:dyDescent="0.2">
      <c r="B851" s="89"/>
      <c r="C851"/>
      <c r="D851"/>
      <c r="E851" s="69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  <c r="U851"/>
      <c r="V851"/>
      <c r="W851"/>
      <c r="X851"/>
      <c r="Y851"/>
      <c r="Z851"/>
      <c r="AA851"/>
    </row>
    <row r="852" spans="2:27" s="25" customFormat="1" ht="15.75" customHeight="1" x14ac:dyDescent="0.2">
      <c r="B852" s="89"/>
      <c r="C852"/>
      <c r="D852"/>
      <c r="E852" s="69"/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  <c r="U852"/>
      <c r="V852"/>
      <c r="W852"/>
      <c r="X852"/>
      <c r="Y852"/>
      <c r="Z852"/>
      <c r="AA852"/>
    </row>
    <row r="853" spans="2:27" s="25" customFormat="1" ht="15.75" customHeight="1" x14ac:dyDescent="0.2">
      <c r="B853" s="89"/>
      <c r="C853"/>
      <c r="D853"/>
      <c r="E853" s="69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  <c r="V853"/>
      <c r="W853"/>
      <c r="X853"/>
      <c r="Y853"/>
      <c r="Z853"/>
      <c r="AA853"/>
    </row>
    <row r="854" spans="2:27" s="25" customFormat="1" ht="15.75" customHeight="1" x14ac:dyDescent="0.2">
      <c r="B854" s="89"/>
      <c r="C854"/>
      <c r="D854"/>
      <c r="E854" s="69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  <c r="V854"/>
      <c r="W854"/>
      <c r="X854"/>
      <c r="Y854"/>
      <c r="Z854"/>
      <c r="AA854"/>
    </row>
    <row r="855" spans="2:27" s="25" customFormat="1" ht="15.75" customHeight="1" x14ac:dyDescent="0.2">
      <c r="B855" s="89"/>
      <c r="C855"/>
      <c r="D855"/>
      <c r="E855" s="69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  <c r="U855"/>
      <c r="V855"/>
      <c r="W855"/>
      <c r="X855"/>
      <c r="Y855"/>
      <c r="Z855"/>
      <c r="AA855"/>
    </row>
    <row r="856" spans="2:27" s="25" customFormat="1" ht="15.75" customHeight="1" x14ac:dyDescent="0.2">
      <c r="B856" s="89"/>
      <c r="C856"/>
      <c r="D856"/>
      <c r="E856" s="69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  <c r="U856"/>
      <c r="V856"/>
      <c r="W856"/>
      <c r="X856"/>
      <c r="Y856"/>
      <c r="Z856"/>
      <c r="AA856"/>
    </row>
    <row r="857" spans="2:27" s="25" customFormat="1" ht="15.75" customHeight="1" x14ac:dyDescent="0.2">
      <c r="B857" s="89"/>
      <c r="C857"/>
      <c r="D857"/>
      <c r="E857" s="69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  <c r="U857"/>
      <c r="V857"/>
      <c r="W857"/>
      <c r="X857"/>
      <c r="Y857"/>
      <c r="Z857"/>
      <c r="AA857"/>
    </row>
    <row r="858" spans="2:27" s="25" customFormat="1" ht="15.75" customHeight="1" x14ac:dyDescent="0.2">
      <c r="B858" s="89"/>
      <c r="C858"/>
      <c r="D858"/>
      <c r="E858" s="69"/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  <c r="U858"/>
      <c r="V858"/>
      <c r="W858"/>
      <c r="X858"/>
      <c r="Y858"/>
      <c r="Z858"/>
      <c r="AA858"/>
    </row>
    <row r="859" spans="2:27" s="25" customFormat="1" ht="15.75" customHeight="1" x14ac:dyDescent="0.2">
      <c r="B859" s="89"/>
      <c r="C859"/>
      <c r="D859"/>
      <c r="E859" s="69"/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  <c r="U859"/>
      <c r="V859"/>
      <c r="W859"/>
      <c r="X859"/>
      <c r="Y859"/>
      <c r="Z859"/>
      <c r="AA859"/>
    </row>
    <row r="860" spans="2:27" s="25" customFormat="1" ht="15.75" customHeight="1" x14ac:dyDescent="0.2">
      <c r="B860" s="89"/>
      <c r="C860"/>
      <c r="D860"/>
      <c r="E860" s="69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  <c r="U860"/>
      <c r="V860"/>
      <c r="W860"/>
      <c r="X860"/>
      <c r="Y860"/>
      <c r="Z860"/>
      <c r="AA860"/>
    </row>
    <row r="861" spans="2:27" s="25" customFormat="1" ht="15.75" customHeight="1" x14ac:dyDescent="0.2">
      <c r="B861" s="89"/>
      <c r="C861"/>
      <c r="D861"/>
      <c r="E861" s="69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  <c r="V861"/>
      <c r="W861"/>
      <c r="X861"/>
      <c r="Y861"/>
      <c r="Z861"/>
      <c r="AA861"/>
    </row>
    <row r="862" spans="2:27" s="25" customFormat="1" ht="15.75" customHeight="1" x14ac:dyDescent="0.2">
      <c r="B862" s="89"/>
      <c r="C862"/>
      <c r="D862"/>
      <c r="E862" s="69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  <c r="V862"/>
      <c r="W862"/>
      <c r="X862"/>
      <c r="Y862"/>
      <c r="Z862"/>
      <c r="AA862"/>
    </row>
    <row r="863" spans="2:27" s="25" customFormat="1" ht="15.75" customHeight="1" x14ac:dyDescent="0.2">
      <c r="B863" s="89"/>
      <c r="C863"/>
      <c r="D863"/>
      <c r="E863" s="69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  <c r="V863"/>
      <c r="W863"/>
      <c r="X863"/>
      <c r="Y863"/>
      <c r="Z863"/>
      <c r="AA863"/>
    </row>
    <row r="864" spans="2:27" s="25" customFormat="1" ht="15.75" customHeight="1" x14ac:dyDescent="0.2">
      <c r="B864" s="89"/>
      <c r="C864"/>
      <c r="D864"/>
      <c r="E864" s="69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/>
      <c r="U864"/>
      <c r="V864"/>
      <c r="W864"/>
      <c r="X864"/>
      <c r="Y864"/>
      <c r="Z864"/>
      <c r="AA864"/>
    </row>
    <row r="865" spans="2:27" s="25" customFormat="1" ht="15.75" customHeight="1" x14ac:dyDescent="0.2">
      <c r="B865" s="89"/>
      <c r="C865"/>
      <c r="D865"/>
      <c r="E865" s="69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  <c r="V865"/>
      <c r="W865"/>
      <c r="X865"/>
      <c r="Y865"/>
      <c r="Z865"/>
      <c r="AA865"/>
    </row>
    <row r="866" spans="2:27" s="25" customFormat="1" ht="15.75" customHeight="1" x14ac:dyDescent="0.2">
      <c r="B866" s="89"/>
      <c r="C866"/>
      <c r="D866"/>
      <c r="E866" s="69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  <c r="U866"/>
      <c r="V866"/>
      <c r="W866"/>
      <c r="X866"/>
      <c r="Y866"/>
      <c r="Z866"/>
      <c r="AA866"/>
    </row>
    <row r="867" spans="2:27" s="25" customFormat="1" ht="15.75" customHeight="1" x14ac:dyDescent="0.2">
      <c r="B867" s="89"/>
      <c r="C867"/>
      <c r="D867"/>
      <c r="E867" s="69"/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  <c r="T867"/>
      <c r="U867"/>
      <c r="V867"/>
      <c r="W867"/>
      <c r="X867"/>
      <c r="Y867"/>
      <c r="Z867"/>
      <c r="AA867"/>
    </row>
    <row r="868" spans="2:27" s="25" customFormat="1" ht="15.75" customHeight="1" x14ac:dyDescent="0.2">
      <c r="B868" s="89"/>
      <c r="C868"/>
      <c r="D868"/>
      <c r="E868" s="69"/>
      <c r="F868"/>
      <c r="G868"/>
      <c r="H868"/>
      <c r="I868"/>
      <c r="J868"/>
      <c r="K868"/>
      <c r="L868"/>
      <c r="M868"/>
      <c r="N868"/>
      <c r="O868"/>
      <c r="P868"/>
      <c r="Q868"/>
      <c r="R868"/>
      <c r="S868"/>
      <c r="T868"/>
      <c r="U868"/>
      <c r="V868"/>
      <c r="W868"/>
      <c r="X868"/>
      <c r="Y868"/>
      <c r="Z868"/>
      <c r="AA868"/>
    </row>
    <row r="869" spans="2:27" s="25" customFormat="1" ht="15.75" customHeight="1" x14ac:dyDescent="0.2">
      <c r="B869" s="89"/>
      <c r="C869"/>
      <c r="D869"/>
      <c r="E869" s="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  <c r="V869"/>
      <c r="W869"/>
      <c r="X869"/>
      <c r="Y869"/>
      <c r="Z869"/>
      <c r="AA869"/>
    </row>
    <row r="870" spans="2:27" s="25" customFormat="1" ht="15.75" customHeight="1" x14ac:dyDescent="0.2">
      <c r="B870" s="89"/>
      <c r="C870"/>
      <c r="D870"/>
      <c r="E870" s="69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  <c r="V870"/>
      <c r="W870"/>
      <c r="X870"/>
      <c r="Y870"/>
      <c r="Z870"/>
      <c r="AA870"/>
    </row>
    <row r="871" spans="2:27" s="25" customFormat="1" ht="15.75" customHeight="1" x14ac:dyDescent="0.2">
      <c r="B871" s="89"/>
      <c r="C871"/>
      <c r="D871"/>
      <c r="E871" s="69"/>
      <c r="F871"/>
      <c r="G871"/>
      <c r="H871"/>
      <c r="I871"/>
      <c r="J871"/>
      <c r="K871"/>
      <c r="L871"/>
      <c r="M871"/>
      <c r="N871"/>
      <c r="O871"/>
      <c r="P871"/>
      <c r="Q871"/>
      <c r="R871"/>
      <c r="S871"/>
      <c r="T871"/>
      <c r="U871"/>
      <c r="V871"/>
      <c r="W871"/>
      <c r="X871"/>
      <c r="Y871"/>
      <c r="Z871"/>
      <c r="AA871"/>
    </row>
    <row r="872" spans="2:27" s="25" customFormat="1" ht="15.75" customHeight="1" x14ac:dyDescent="0.2">
      <c r="B872" s="89"/>
      <c r="C872"/>
      <c r="D872"/>
      <c r="E872" s="69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  <c r="U872"/>
      <c r="V872"/>
      <c r="W872"/>
      <c r="X872"/>
      <c r="Y872"/>
      <c r="Z872"/>
      <c r="AA872"/>
    </row>
    <row r="873" spans="2:27" s="25" customFormat="1" ht="15.75" customHeight="1" x14ac:dyDescent="0.2">
      <c r="B873" s="89"/>
      <c r="C873"/>
      <c r="D873"/>
      <c r="E873" s="69"/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  <c r="T873"/>
      <c r="U873"/>
      <c r="V873"/>
      <c r="W873"/>
      <c r="X873"/>
      <c r="Y873"/>
      <c r="Z873"/>
      <c r="AA873"/>
    </row>
    <row r="874" spans="2:27" s="25" customFormat="1" ht="15.75" customHeight="1" x14ac:dyDescent="0.2">
      <c r="B874" s="89"/>
      <c r="C874"/>
      <c r="D874"/>
      <c r="E874" s="69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  <c r="V874"/>
      <c r="W874"/>
      <c r="X874"/>
      <c r="Y874"/>
      <c r="Z874"/>
      <c r="AA874"/>
    </row>
    <row r="875" spans="2:27" s="25" customFormat="1" ht="15.75" customHeight="1" x14ac:dyDescent="0.2">
      <c r="B875" s="89"/>
      <c r="C875"/>
      <c r="D875"/>
      <c r="E875" s="69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  <c r="V875"/>
      <c r="W875"/>
      <c r="X875"/>
      <c r="Y875"/>
      <c r="Z875"/>
      <c r="AA875"/>
    </row>
    <row r="876" spans="2:27" s="25" customFormat="1" ht="15.75" customHeight="1" x14ac:dyDescent="0.2">
      <c r="B876" s="89"/>
      <c r="C876"/>
      <c r="D876"/>
      <c r="E876" s="69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  <c r="V876"/>
      <c r="W876"/>
      <c r="X876"/>
      <c r="Y876"/>
      <c r="Z876"/>
      <c r="AA876"/>
    </row>
    <row r="877" spans="2:27" s="25" customFormat="1" ht="15.75" customHeight="1" x14ac:dyDescent="0.2">
      <c r="B877" s="89"/>
      <c r="C877"/>
      <c r="D877"/>
      <c r="E877" s="69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  <c r="U877"/>
      <c r="V877"/>
      <c r="W877"/>
      <c r="X877"/>
      <c r="Y877"/>
      <c r="Z877"/>
      <c r="AA877"/>
    </row>
    <row r="878" spans="2:27" s="25" customFormat="1" ht="15.75" customHeight="1" x14ac:dyDescent="0.2">
      <c r="B878" s="89"/>
      <c r="C878"/>
      <c r="D878"/>
      <c r="E878" s="69"/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  <c r="T878"/>
      <c r="U878"/>
      <c r="V878"/>
      <c r="W878"/>
      <c r="X878"/>
      <c r="Y878"/>
      <c r="Z878"/>
      <c r="AA878"/>
    </row>
    <row r="879" spans="2:27" s="25" customFormat="1" ht="15.75" customHeight="1" x14ac:dyDescent="0.2">
      <c r="B879" s="89"/>
      <c r="C879"/>
      <c r="D879"/>
      <c r="E879" s="6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  <c r="U879"/>
      <c r="V879"/>
      <c r="W879"/>
      <c r="X879"/>
      <c r="Y879"/>
      <c r="Z879"/>
      <c r="AA879"/>
    </row>
    <row r="880" spans="2:27" s="25" customFormat="1" ht="15.75" customHeight="1" x14ac:dyDescent="0.2">
      <c r="B880" s="89"/>
      <c r="C880"/>
      <c r="D880"/>
      <c r="E880" s="69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  <c r="U880"/>
      <c r="V880"/>
      <c r="W880"/>
      <c r="X880"/>
      <c r="Y880"/>
      <c r="Z880"/>
      <c r="AA880"/>
    </row>
    <row r="881" spans="2:27" s="25" customFormat="1" ht="15.75" customHeight="1" x14ac:dyDescent="0.2">
      <c r="B881" s="89"/>
      <c r="C881"/>
      <c r="D881"/>
      <c r="E881" s="69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  <c r="U881"/>
      <c r="V881"/>
      <c r="W881"/>
      <c r="X881"/>
      <c r="Y881"/>
      <c r="Z881"/>
      <c r="AA881"/>
    </row>
    <row r="882" spans="2:27" s="25" customFormat="1" ht="15.75" customHeight="1" x14ac:dyDescent="0.2">
      <c r="B882" s="89"/>
      <c r="C882"/>
      <c r="D882"/>
      <c r="E882" s="69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  <c r="U882"/>
      <c r="V882"/>
      <c r="W882"/>
      <c r="X882"/>
      <c r="Y882"/>
      <c r="Z882"/>
      <c r="AA882"/>
    </row>
    <row r="883" spans="2:27" s="25" customFormat="1" ht="15.75" customHeight="1" x14ac:dyDescent="0.2">
      <c r="B883" s="89"/>
      <c r="C883"/>
      <c r="D883"/>
      <c r="E883" s="69"/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  <c r="T883"/>
      <c r="U883"/>
      <c r="V883"/>
      <c r="W883"/>
      <c r="X883"/>
      <c r="Y883"/>
      <c r="Z883"/>
      <c r="AA883"/>
    </row>
    <row r="884" spans="2:27" s="25" customFormat="1" ht="15.75" customHeight="1" x14ac:dyDescent="0.2">
      <c r="B884" s="89"/>
      <c r="C884"/>
      <c r="D884"/>
      <c r="E884" s="69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  <c r="V884"/>
      <c r="W884"/>
      <c r="X884"/>
      <c r="Y884"/>
      <c r="Z884"/>
      <c r="AA884"/>
    </row>
    <row r="885" spans="2:27" s="25" customFormat="1" ht="15.75" customHeight="1" x14ac:dyDescent="0.2">
      <c r="B885" s="89"/>
      <c r="C885"/>
      <c r="D885"/>
      <c r="E885" s="69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  <c r="V885"/>
      <c r="W885"/>
      <c r="X885"/>
      <c r="Y885"/>
      <c r="Z885"/>
      <c r="AA885"/>
    </row>
    <row r="886" spans="2:27" s="25" customFormat="1" ht="15.75" customHeight="1" x14ac:dyDescent="0.2">
      <c r="B886" s="89"/>
      <c r="C886"/>
      <c r="D886"/>
      <c r="E886" s="69"/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  <c r="T886"/>
      <c r="U886"/>
      <c r="V886"/>
      <c r="W886"/>
      <c r="X886"/>
      <c r="Y886"/>
      <c r="Z886"/>
      <c r="AA886"/>
    </row>
    <row r="887" spans="2:27" s="25" customFormat="1" ht="15.75" customHeight="1" x14ac:dyDescent="0.2">
      <c r="B887" s="89"/>
      <c r="C887"/>
      <c r="D887"/>
      <c r="E887" s="69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  <c r="V887"/>
      <c r="W887"/>
      <c r="X887"/>
      <c r="Y887"/>
      <c r="Z887"/>
      <c r="AA887"/>
    </row>
    <row r="888" spans="2:27" s="25" customFormat="1" ht="15.75" customHeight="1" x14ac:dyDescent="0.2">
      <c r="B888" s="89"/>
      <c r="C888"/>
      <c r="D888"/>
      <c r="E888" s="69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  <c r="U888"/>
      <c r="V888"/>
      <c r="W888"/>
      <c r="X888"/>
      <c r="Y888"/>
      <c r="Z888"/>
      <c r="AA888"/>
    </row>
    <row r="889" spans="2:27" s="25" customFormat="1" ht="15.75" customHeight="1" x14ac:dyDescent="0.2">
      <c r="B889" s="89"/>
      <c r="C889"/>
      <c r="D889"/>
      <c r="E889" s="6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  <c r="V889"/>
      <c r="W889"/>
      <c r="X889"/>
      <c r="Y889"/>
      <c r="Z889"/>
      <c r="AA889"/>
    </row>
    <row r="890" spans="2:27" s="25" customFormat="1" ht="15.75" customHeight="1" x14ac:dyDescent="0.2">
      <c r="B890" s="89"/>
      <c r="C890"/>
      <c r="D890"/>
      <c r="E890" s="69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  <c r="V890"/>
      <c r="W890"/>
      <c r="X890"/>
      <c r="Y890"/>
      <c r="Z890"/>
      <c r="AA890"/>
    </row>
    <row r="891" spans="2:27" s="25" customFormat="1" ht="15.75" customHeight="1" x14ac:dyDescent="0.2">
      <c r="B891" s="89"/>
      <c r="C891"/>
      <c r="D891"/>
      <c r="E891" s="69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  <c r="V891"/>
      <c r="W891"/>
      <c r="X891"/>
      <c r="Y891"/>
      <c r="Z891"/>
      <c r="AA891"/>
    </row>
    <row r="892" spans="2:27" s="25" customFormat="1" ht="15.75" customHeight="1" x14ac:dyDescent="0.2">
      <c r="B892" s="89"/>
      <c r="C892"/>
      <c r="D892"/>
      <c r="E892" s="69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  <c r="V892"/>
      <c r="W892"/>
      <c r="X892"/>
      <c r="Y892"/>
      <c r="Z892"/>
      <c r="AA892"/>
    </row>
    <row r="893" spans="2:27" s="25" customFormat="1" ht="15.75" customHeight="1" x14ac:dyDescent="0.2">
      <c r="B893" s="89"/>
      <c r="C893"/>
      <c r="D893"/>
      <c r="E893" s="69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  <c r="U893"/>
      <c r="V893"/>
      <c r="W893"/>
      <c r="X893"/>
      <c r="Y893"/>
      <c r="Z893"/>
      <c r="AA893"/>
    </row>
    <row r="894" spans="2:27" s="25" customFormat="1" ht="15.75" customHeight="1" x14ac:dyDescent="0.2">
      <c r="B894" s="89"/>
      <c r="C894"/>
      <c r="D894"/>
      <c r="E894" s="69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  <c r="V894"/>
      <c r="W894"/>
      <c r="X894"/>
      <c r="Y894"/>
      <c r="Z894"/>
      <c r="AA894"/>
    </row>
    <row r="895" spans="2:27" s="25" customFormat="1" ht="15.75" customHeight="1" x14ac:dyDescent="0.2">
      <c r="B895" s="89"/>
      <c r="C895"/>
      <c r="D895"/>
      <c r="E895" s="69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  <c r="V895"/>
      <c r="W895"/>
      <c r="X895"/>
      <c r="Y895"/>
      <c r="Z895"/>
      <c r="AA895"/>
    </row>
    <row r="896" spans="2:27" s="25" customFormat="1" ht="15.75" customHeight="1" x14ac:dyDescent="0.2">
      <c r="B896" s="89"/>
      <c r="C896"/>
      <c r="D896"/>
      <c r="E896" s="69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  <c r="V896"/>
      <c r="W896"/>
      <c r="X896"/>
      <c r="Y896"/>
      <c r="Z896"/>
      <c r="AA896"/>
    </row>
    <row r="897" spans="2:27" s="25" customFormat="1" ht="15.75" customHeight="1" x14ac:dyDescent="0.2">
      <c r="B897" s="89"/>
      <c r="C897"/>
      <c r="D897"/>
      <c r="E897" s="69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  <c r="V897"/>
      <c r="W897"/>
      <c r="X897"/>
      <c r="Y897"/>
      <c r="Z897"/>
      <c r="AA897"/>
    </row>
    <row r="898" spans="2:27" s="25" customFormat="1" ht="15.75" customHeight="1" x14ac:dyDescent="0.2">
      <c r="B898" s="89"/>
      <c r="C898"/>
      <c r="D898"/>
      <c r="E898" s="69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  <c r="V898"/>
      <c r="W898"/>
      <c r="X898"/>
      <c r="Y898"/>
      <c r="Z898"/>
      <c r="AA898"/>
    </row>
    <row r="899" spans="2:27" s="25" customFormat="1" ht="15.75" customHeight="1" x14ac:dyDescent="0.2">
      <c r="B899" s="89"/>
      <c r="C899"/>
      <c r="D899"/>
      <c r="E899" s="6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  <c r="V899"/>
      <c r="W899"/>
      <c r="X899"/>
      <c r="Y899"/>
      <c r="Z899"/>
      <c r="AA899"/>
    </row>
    <row r="900" spans="2:27" s="25" customFormat="1" ht="15.75" customHeight="1" x14ac:dyDescent="0.2">
      <c r="B900" s="89"/>
      <c r="C900"/>
      <c r="D900"/>
      <c r="E900" s="69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  <c r="V900"/>
      <c r="W900"/>
      <c r="X900"/>
      <c r="Y900"/>
      <c r="Z900"/>
      <c r="AA900"/>
    </row>
    <row r="901" spans="2:27" s="25" customFormat="1" ht="15.75" customHeight="1" x14ac:dyDescent="0.2">
      <c r="B901" s="89"/>
      <c r="C901"/>
      <c r="D901"/>
      <c r="E901" s="69"/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/>
      <c r="U901"/>
      <c r="V901"/>
      <c r="W901"/>
      <c r="X901"/>
      <c r="Y901"/>
      <c r="Z901"/>
      <c r="AA901"/>
    </row>
    <row r="902" spans="2:27" s="25" customFormat="1" ht="15.75" customHeight="1" x14ac:dyDescent="0.2">
      <c r="B902" s="89"/>
      <c r="C902"/>
      <c r="D902"/>
      <c r="E902" s="69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  <c r="V902"/>
      <c r="W902"/>
      <c r="X902"/>
      <c r="Y902"/>
      <c r="Z902"/>
      <c r="AA902"/>
    </row>
    <row r="903" spans="2:27" s="25" customFormat="1" ht="15.75" customHeight="1" x14ac:dyDescent="0.2">
      <c r="B903" s="89"/>
      <c r="C903"/>
      <c r="D903"/>
      <c r="E903" s="69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  <c r="V903"/>
      <c r="W903"/>
      <c r="X903"/>
      <c r="Y903"/>
      <c r="Z903"/>
      <c r="AA903"/>
    </row>
    <row r="904" spans="2:27" s="25" customFormat="1" ht="15.75" customHeight="1" x14ac:dyDescent="0.2">
      <c r="B904" s="89"/>
      <c r="C904"/>
      <c r="D904"/>
      <c r="E904" s="69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  <c r="V904"/>
      <c r="W904"/>
      <c r="X904"/>
      <c r="Y904"/>
      <c r="Z904"/>
      <c r="AA904"/>
    </row>
    <row r="905" spans="2:27" s="25" customFormat="1" ht="15.75" customHeight="1" x14ac:dyDescent="0.2">
      <c r="B905" s="89"/>
      <c r="C905"/>
      <c r="D905"/>
      <c r="E905" s="69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  <c r="V905"/>
      <c r="W905"/>
      <c r="X905"/>
      <c r="Y905"/>
      <c r="Z905"/>
      <c r="AA905"/>
    </row>
    <row r="906" spans="2:27" s="25" customFormat="1" ht="15.75" customHeight="1" x14ac:dyDescent="0.2">
      <c r="B906" s="89"/>
      <c r="C906"/>
      <c r="D906"/>
      <c r="E906" s="69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  <c r="V906"/>
      <c r="W906"/>
      <c r="X906"/>
      <c r="Y906"/>
      <c r="Z906"/>
      <c r="AA906"/>
    </row>
    <row r="907" spans="2:27" s="25" customFormat="1" ht="15.75" customHeight="1" x14ac:dyDescent="0.2">
      <c r="B907" s="89"/>
      <c r="C907"/>
      <c r="D907"/>
      <c r="E907" s="69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  <c r="V907"/>
      <c r="W907"/>
      <c r="X907"/>
      <c r="Y907"/>
      <c r="Z907"/>
      <c r="AA907"/>
    </row>
    <row r="908" spans="2:27" s="25" customFormat="1" ht="15.75" customHeight="1" x14ac:dyDescent="0.2">
      <c r="B908" s="89"/>
      <c r="C908"/>
      <c r="D908"/>
      <c r="E908" s="69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  <c r="V908"/>
      <c r="W908"/>
      <c r="X908"/>
      <c r="Y908"/>
      <c r="Z908"/>
      <c r="AA908"/>
    </row>
    <row r="909" spans="2:27" s="25" customFormat="1" ht="15.75" customHeight="1" x14ac:dyDescent="0.2">
      <c r="B909" s="89"/>
      <c r="C909"/>
      <c r="D909"/>
      <c r="E909" s="6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  <c r="V909"/>
      <c r="W909"/>
      <c r="X909"/>
      <c r="Y909"/>
      <c r="Z909"/>
      <c r="AA909"/>
    </row>
    <row r="910" spans="2:27" s="25" customFormat="1" ht="15.75" customHeight="1" x14ac:dyDescent="0.2">
      <c r="B910" s="89"/>
      <c r="C910"/>
      <c r="D910"/>
      <c r="E910" s="69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  <c r="V910"/>
      <c r="W910"/>
      <c r="X910"/>
      <c r="Y910"/>
      <c r="Z910"/>
      <c r="AA910"/>
    </row>
    <row r="911" spans="2:27" s="25" customFormat="1" ht="15.75" customHeight="1" x14ac:dyDescent="0.2">
      <c r="B911" s="89"/>
      <c r="C911"/>
      <c r="D911"/>
      <c r="E911" s="69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  <c r="V911"/>
      <c r="W911"/>
      <c r="X911"/>
      <c r="Y911"/>
      <c r="Z911"/>
      <c r="AA911"/>
    </row>
    <row r="912" spans="2:27" s="25" customFormat="1" ht="15.75" customHeight="1" x14ac:dyDescent="0.2">
      <c r="B912" s="89"/>
      <c r="C912"/>
      <c r="D912"/>
      <c r="E912" s="69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  <c r="V912"/>
      <c r="W912"/>
      <c r="X912"/>
      <c r="Y912"/>
      <c r="Z912"/>
      <c r="AA912"/>
    </row>
    <row r="913" spans="2:27" s="25" customFormat="1" ht="15.75" customHeight="1" x14ac:dyDescent="0.2">
      <c r="B913" s="89"/>
      <c r="C913"/>
      <c r="D913"/>
      <c r="E913" s="69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  <c r="V913"/>
      <c r="W913"/>
      <c r="X913"/>
      <c r="Y913"/>
      <c r="Z913"/>
      <c r="AA913"/>
    </row>
    <row r="914" spans="2:27" s="25" customFormat="1" ht="15.75" customHeight="1" x14ac:dyDescent="0.2">
      <c r="B914" s="89"/>
      <c r="C914"/>
      <c r="D914"/>
      <c r="E914" s="69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  <c r="V914"/>
      <c r="W914"/>
      <c r="X914"/>
      <c r="Y914"/>
      <c r="Z914"/>
      <c r="AA914"/>
    </row>
    <row r="915" spans="2:27" s="25" customFormat="1" ht="15.75" customHeight="1" x14ac:dyDescent="0.2">
      <c r="B915" s="89"/>
      <c r="C915"/>
      <c r="D915"/>
      <c r="E915" s="69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  <c r="V915"/>
      <c r="W915"/>
      <c r="X915"/>
      <c r="Y915"/>
      <c r="Z915"/>
      <c r="AA915"/>
    </row>
    <row r="916" spans="2:27" s="25" customFormat="1" ht="15.75" customHeight="1" x14ac:dyDescent="0.2">
      <c r="B916" s="89"/>
      <c r="C916"/>
      <c r="D916"/>
      <c r="E916" s="69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  <c r="V916"/>
      <c r="W916"/>
      <c r="X916"/>
      <c r="Y916"/>
      <c r="Z916"/>
      <c r="AA916"/>
    </row>
    <row r="917" spans="2:27" s="25" customFormat="1" ht="15.75" customHeight="1" x14ac:dyDescent="0.2">
      <c r="B917" s="89"/>
      <c r="C917"/>
      <c r="D917"/>
      <c r="E917" s="69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  <c r="V917"/>
      <c r="W917"/>
      <c r="X917"/>
      <c r="Y917"/>
      <c r="Z917"/>
      <c r="AA917"/>
    </row>
    <row r="918" spans="2:27" s="25" customFormat="1" ht="15.75" customHeight="1" x14ac:dyDescent="0.2">
      <c r="B918" s="89"/>
      <c r="C918"/>
      <c r="D918"/>
      <c r="E918" s="69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  <c r="V918"/>
      <c r="W918"/>
      <c r="X918"/>
      <c r="Y918"/>
      <c r="Z918"/>
      <c r="AA918"/>
    </row>
    <row r="919" spans="2:27" s="25" customFormat="1" ht="15.75" customHeight="1" x14ac:dyDescent="0.2">
      <c r="B919" s="89"/>
      <c r="C919"/>
      <c r="D919"/>
      <c r="E919" s="6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  <c r="V919"/>
      <c r="W919"/>
      <c r="X919"/>
      <c r="Y919"/>
      <c r="Z919"/>
      <c r="AA919"/>
    </row>
    <row r="920" spans="2:27" s="25" customFormat="1" ht="15.75" customHeight="1" x14ac:dyDescent="0.2">
      <c r="B920" s="89"/>
      <c r="C920"/>
      <c r="D920"/>
      <c r="E920" s="69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  <c r="V920"/>
      <c r="W920"/>
      <c r="X920"/>
      <c r="Y920"/>
      <c r="Z920"/>
      <c r="AA920"/>
    </row>
    <row r="921" spans="2:27" s="25" customFormat="1" ht="15.75" customHeight="1" x14ac:dyDescent="0.2">
      <c r="B921" s="89"/>
      <c r="C921"/>
      <c r="D921"/>
      <c r="E921" s="69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  <c r="V921"/>
      <c r="W921"/>
      <c r="X921"/>
      <c r="Y921"/>
      <c r="Z921"/>
      <c r="AA921"/>
    </row>
    <row r="922" spans="2:27" s="25" customFormat="1" ht="15.75" customHeight="1" x14ac:dyDescent="0.2">
      <c r="B922" s="89"/>
      <c r="C922"/>
      <c r="D922"/>
      <c r="E922" s="69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  <c r="V922"/>
      <c r="W922"/>
      <c r="X922"/>
      <c r="Y922"/>
      <c r="Z922"/>
      <c r="AA922"/>
    </row>
    <row r="923" spans="2:27" s="25" customFormat="1" ht="15.75" customHeight="1" x14ac:dyDescent="0.2">
      <c r="B923" s="89"/>
      <c r="C923"/>
      <c r="D923"/>
      <c r="E923" s="69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  <c r="V923"/>
      <c r="W923"/>
      <c r="X923"/>
      <c r="Y923"/>
      <c r="Z923"/>
      <c r="AA923"/>
    </row>
    <row r="924" spans="2:27" s="25" customFormat="1" ht="15.75" customHeight="1" x14ac:dyDescent="0.2">
      <c r="B924" s="89"/>
      <c r="C924"/>
      <c r="D924"/>
      <c r="E924" s="69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  <c r="V924"/>
      <c r="W924"/>
      <c r="X924"/>
      <c r="Y924"/>
      <c r="Z924"/>
      <c r="AA924"/>
    </row>
    <row r="925" spans="2:27" s="25" customFormat="1" ht="15.75" customHeight="1" x14ac:dyDescent="0.2">
      <c r="B925" s="89"/>
      <c r="C925"/>
      <c r="D925"/>
      <c r="E925" s="69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  <c r="V925"/>
      <c r="W925"/>
      <c r="X925"/>
      <c r="Y925"/>
      <c r="Z925"/>
      <c r="AA925"/>
    </row>
    <row r="926" spans="2:27" s="25" customFormat="1" ht="15.75" customHeight="1" x14ac:dyDescent="0.2">
      <c r="B926" s="89"/>
      <c r="C926"/>
      <c r="D926"/>
      <c r="E926" s="69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  <c r="V926"/>
      <c r="W926"/>
      <c r="X926"/>
      <c r="Y926"/>
      <c r="Z926"/>
      <c r="AA926"/>
    </row>
    <row r="927" spans="2:27" s="25" customFormat="1" ht="15.75" customHeight="1" x14ac:dyDescent="0.2">
      <c r="B927" s="89"/>
      <c r="C927"/>
      <c r="D927"/>
      <c r="E927" s="69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  <c r="V927"/>
      <c r="W927"/>
      <c r="X927"/>
      <c r="Y927"/>
      <c r="Z927"/>
      <c r="AA927"/>
    </row>
    <row r="928" spans="2:27" s="25" customFormat="1" ht="15.75" customHeight="1" x14ac:dyDescent="0.2">
      <c r="B928" s="89"/>
      <c r="C928"/>
      <c r="D928"/>
      <c r="E928" s="69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  <c r="V928"/>
      <c r="W928"/>
      <c r="X928"/>
      <c r="Y928"/>
      <c r="Z928"/>
      <c r="AA928"/>
    </row>
    <row r="929" spans="2:27" s="25" customFormat="1" ht="15.75" customHeight="1" x14ac:dyDescent="0.2">
      <c r="B929" s="89"/>
      <c r="C929"/>
      <c r="D929"/>
      <c r="E929" s="6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  <c r="V929"/>
      <c r="W929"/>
      <c r="X929"/>
      <c r="Y929"/>
      <c r="Z929"/>
      <c r="AA929"/>
    </row>
    <row r="930" spans="2:27" s="25" customFormat="1" ht="15.75" customHeight="1" x14ac:dyDescent="0.2">
      <c r="B930" s="89"/>
      <c r="C930"/>
      <c r="D930"/>
      <c r="E930" s="69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  <c r="V930"/>
      <c r="W930"/>
      <c r="X930"/>
      <c r="Y930"/>
      <c r="Z930"/>
      <c r="AA930"/>
    </row>
    <row r="931" spans="2:27" s="25" customFormat="1" ht="15.75" customHeight="1" x14ac:dyDescent="0.2">
      <c r="B931" s="89"/>
      <c r="C931"/>
      <c r="D931"/>
      <c r="E931" s="69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  <c r="V931"/>
      <c r="W931"/>
      <c r="X931"/>
      <c r="Y931"/>
      <c r="Z931"/>
      <c r="AA931"/>
    </row>
    <row r="932" spans="2:27" s="25" customFormat="1" ht="15.75" customHeight="1" x14ac:dyDescent="0.2">
      <c r="B932" s="89"/>
      <c r="C932"/>
      <c r="D932"/>
      <c r="E932" s="69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  <c r="V932"/>
      <c r="W932"/>
      <c r="X932"/>
      <c r="Y932"/>
      <c r="Z932"/>
      <c r="AA932"/>
    </row>
    <row r="933" spans="2:27" s="25" customFormat="1" ht="15.75" customHeight="1" x14ac:dyDescent="0.2">
      <c r="B933" s="89"/>
      <c r="C933"/>
      <c r="D933"/>
      <c r="E933" s="69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  <c r="V933"/>
      <c r="W933"/>
      <c r="X933"/>
      <c r="Y933"/>
      <c r="Z933"/>
      <c r="AA933"/>
    </row>
    <row r="934" spans="2:27" s="25" customFormat="1" ht="15.75" customHeight="1" x14ac:dyDescent="0.2">
      <c r="B934" s="89"/>
      <c r="C934"/>
      <c r="D934"/>
      <c r="E934" s="69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  <c r="V934"/>
      <c r="W934"/>
      <c r="X934"/>
      <c r="Y934"/>
      <c r="Z934"/>
      <c r="AA934"/>
    </row>
    <row r="935" spans="2:27" s="25" customFormat="1" ht="15.75" customHeight="1" x14ac:dyDescent="0.2">
      <c r="B935" s="89"/>
      <c r="C935"/>
      <c r="D935"/>
      <c r="E935" s="69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  <c r="V935"/>
      <c r="W935"/>
      <c r="X935"/>
      <c r="Y935"/>
      <c r="Z935"/>
      <c r="AA935"/>
    </row>
    <row r="936" spans="2:27" s="25" customFormat="1" ht="15.75" customHeight="1" x14ac:dyDescent="0.2">
      <c r="B936" s="89"/>
      <c r="C936"/>
      <c r="D936"/>
      <c r="E936" s="69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  <c r="V936"/>
      <c r="W936"/>
      <c r="X936"/>
      <c r="Y936"/>
      <c r="Z936"/>
      <c r="AA936"/>
    </row>
    <row r="937" spans="2:27" s="25" customFormat="1" ht="15.75" customHeight="1" x14ac:dyDescent="0.2">
      <c r="B937" s="89"/>
      <c r="C937"/>
      <c r="D937"/>
      <c r="E937" s="69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  <c r="V937"/>
      <c r="W937"/>
      <c r="X937"/>
      <c r="Y937"/>
      <c r="Z937"/>
      <c r="AA937"/>
    </row>
    <row r="938" spans="2:27" s="25" customFormat="1" ht="15.75" customHeight="1" x14ac:dyDescent="0.2">
      <c r="B938" s="89"/>
      <c r="C938"/>
      <c r="D938"/>
      <c r="E938" s="69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  <c r="V938"/>
      <c r="W938"/>
      <c r="X938"/>
      <c r="Y938"/>
      <c r="Z938"/>
      <c r="AA938"/>
    </row>
    <row r="939" spans="2:27" s="25" customFormat="1" ht="15.75" customHeight="1" x14ac:dyDescent="0.2">
      <c r="B939" s="89"/>
      <c r="C939"/>
      <c r="D939"/>
      <c r="E939" s="6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  <c r="V939"/>
      <c r="W939"/>
      <c r="X939"/>
      <c r="Y939"/>
      <c r="Z939"/>
      <c r="AA939"/>
    </row>
    <row r="940" spans="2:27" s="25" customFormat="1" ht="15.75" customHeight="1" x14ac:dyDescent="0.2">
      <c r="B940" s="89"/>
      <c r="C940"/>
      <c r="D940"/>
      <c r="E940" s="69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  <c r="V940"/>
      <c r="W940"/>
      <c r="X940"/>
      <c r="Y940"/>
      <c r="Z940"/>
      <c r="AA940"/>
    </row>
    <row r="941" spans="2:27" s="25" customFormat="1" ht="15.75" customHeight="1" x14ac:dyDescent="0.2">
      <c r="B941" s="89"/>
      <c r="C941"/>
      <c r="D941"/>
      <c r="E941" s="69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  <c r="V941"/>
      <c r="W941"/>
      <c r="X941"/>
      <c r="Y941"/>
      <c r="Z941"/>
      <c r="AA941"/>
    </row>
    <row r="942" spans="2:27" s="25" customFormat="1" ht="15.75" customHeight="1" x14ac:dyDescent="0.2">
      <c r="B942" s="89"/>
      <c r="C942"/>
      <c r="D942"/>
      <c r="E942" s="69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  <c r="V942"/>
      <c r="W942"/>
      <c r="X942"/>
      <c r="Y942"/>
      <c r="Z942"/>
      <c r="AA942"/>
    </row>
    <row r="943" spans="2:27" s="25" customFormat="1" ht="15.75" customHeight="1" x14ac:dyDescent="0.2">
      <c r="B943" s="89"/>
      <c r="C943"/>
      <c r="D943"/>
      <c r="E943" s="69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  <c r="V943"/>
      <c r="W943"/>
      <c r="X943"/>
      <c r="Y943"/>
      <c r="Z943"/>
      <c r="AA943"/>
    </row>
    <row r="944" spans="2:27" s="25" customFormat="1" ht="15.75" customHeight="1" x14ac:dyDescent="0.2">
      <c r="B944" s="89"/>
      <c r="C944"/>
      <c r="D944"/>
      <c r="E944" s="69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  <c r="V944"/>
      <c r="W944"/>
      <c r="X944"/>
      <c r="Y944"/>
      <c r="Z944"/>
      <c r="AA944"/>
    </row>
    <row r="945" spans="2:27" s="25" customFormat="1" ht="15.75" customHeight="1" x14ac:dyDescent="0.2">
      <c r="B945" s="89"/>
      <c r="C945"/>
      <c r="D945"/>
      <c r="E945" s="69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  <c r="U945"/>
      <c r="V945"/>
      <c r="W945"/>
      <c r="X945"/>
      <c r="Y945"/>
      <c r="Z945"/>
      <c r="AA945"/>
    </row>
    <row r="946" spans="2:27" s="25" customFormat="1" ht="15.75" customHeight="1" x14ac:dyDescent="0.2">
      <c r="B946" s="89"/>
      <c r="C946"/>
      <c r="D946"/>
      <c r="E946" s="69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  <c r="V946"/>
      <c r="W946"/>
      <c r="X946"/>
      <c r="Y946"/>
      <c r="Z946"/>
      <c r="AA946"/>
    </row>
    <row r="947" spans="2:27" s="25" customFormat="1" ht="15.75" customHeight="1" x14ac:dyDescent="0.2">
      <c r="B947" s="89"/>
      <c r="C947"/>
      <c r="D947"/>
      <c r="E947" s="69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  <c r="U947"/>
      <c r="V947"/>
      <c r="W947"/>
      <c r="X947"/>
      <c r="Y947"/>
      <c r="Z947"/>
      <c r="AA947"/>
    </row>
    <row r="948" spans="2:27" s="25" customFormat="1" ht="15.75" customHeight="1" x14ac:dyDescent="0.2">
      <c r="B948" s="89"/>
      <c r="C948"/>
      <c r="D948"/>
      <c r="E948" s="69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  <c r="U948"/>
      <c r="V948"/>
      <c r="W948"/>
      <c r="X948"/>
      <c r="Y948"/>
      <c r="Z948"/>
      <c r="AA948"/>
    </row>
    <row r="949" spans="2:27" s="25" customFormat="1" ht="15.75" customHeight="1" x14ac:dyDescent="0.2">
      <c r="B949" s="89"/>
      <c r="C949"/>
      <c r="D949"/>
      <c r="E949" s="6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  <c r="V949"/>
      <c r="W949"/>
      <c r="X949"/>
      <c r="Y949"/>
      <c r="Z949"/>
      <c r="AA949"/>
    </row>
    <row r="950" spans="2:27" s="25" customFormat="1" ht="15.75" customHeight="1" x14ac:dyDescent="0.2">
      <c r="B950" s="89"/>
      <c r="C950"/>
      <c r="D950"/>
      <c r="E950" s="69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  <c r="U950"/>
      <c r="V950"/>
      <c r="W950"/>
      <c r="X950"/>
      <c r="Y950"/>
      <c r="Z950"/>
      <c r="AA950"/>
    </row>
    <row r="951" spans="2:27" s="25" customFormat="1" ht="15.75" customHeight="1" x14ac:dyDescent="0.2">
      <c r="B951" s="89"/>
      <c r="C951"/>
      <c r="D951"/>
      <c r="E951" s="69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  <c r="V951"/>
      <c r="W951"/>
      <c r="X951"/>
      <c r="Y951"/>
      <c r="Z951"/>
      <c r="AA951"/>
    </row>
    <row r="952" spans="2:27" s="25" customFormat="1" ht="15.75" customHeight="1" x14ac:dyDescent="0.2">
      <c r="B952" s="89"/>
      <c r="C952"/>
      <c r="D952"/>
      <c r="E952" s="69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  <c r="U952"/>
      <c r="V952"/>
      <c r="W952"/>
      <c r="X952"/>
      <c r="Y952"/>
      <c r="Z952"/>
      <c r="AA952"/>
    </row>
    <row r="953" spans="2:27" s="25" customFormat="1" ht="15.75" customHeight="1" x14ac:dyDescent="0.2">
      <c r="B953" s="89"/>
      <c r="C953"/>
      <c r="D953"/>
      <c r="E953" s="69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  <c r="U953"/>
      <c r="V953"/>
      <c r="W953"/>
      <c r="X953"/>
      <c r="Y953"/>
      <c r="Z953"/>
      <c r="AA953"/>
    </row>
    <row r="954" spans="2:27" s="25" customFormat="1" ht="15.75" customHeight="1" x14ac:dyDescent="0.2">
      <c r="B954" s="89"/>
      <c r="C954"/>
      <c r="D954"/>
      <c r="E954" s="69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  <c r="V954"/>
      <c r="W954"/>
      <c r="X954"/>
      <c r="Y954"/>
      <c r="Z954"/>
      <c r="AA954"/>
    </row>
    <row r="955" spans="2:27" s="25" customFormat="1" ht="15.75" customHeight="1" x14ac:dyDescent="0.2">
      <c r="B955" s="89"/>
      <c r="C955"/>
      <c r="D955"/>
      <c r="E955" s="69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  <c r="V955"/>
      <c r="W955"/>
      <c r="X955"/>
      <c r="Y955"/>
      <c r="Z955"/>
      <c r="AA955"/>
    </row>
    <row r="956" spans="2:27" s="25" customFormat="1" ht="15.75" customHeight="1" x14ac:dyDescent="0.2">
      <c r="B956" s="89"/>
      <c r="C956"/>
      <c r="D956"/>
      <c r="E956" s="69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  <c r="U956"/>
      <c r="V956"/>
      <c r="W956"/>
      <c r="X956"/>
      <c r="Y956"/>
      <c r="Z956"/>
      <c r="AA956"/>
    </row>
    <row r="957" spans="2:27" s="25" customFormat="1" ht="15.75" customHeight="1" x14ac:dyDescent="0.2">
      <c r="B957" s="89"/>
      <c r="C957"/>
      <c r="D957"/>
      <c r="E957" s="69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  <c r="V957"/>
      <c r="W957"/>
      <c r="X957"/>
      <c r="Y957"/>
      <c r="Z957"/>
      <c r="AA957"/>
    </row>
    <row r="958" spans="2:27" s="25" customFormat="1" ht="15.75" customHeight="1" x14ac:dyDescent="0.2">
      <c r="B958" s="89"/>
      <c r="C958"/>
      <c r="D958"/>
      <c r="E958" s="69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  <c r="V958"/>
      <c r="W958"/>
      <c r="X958"/>
      <c r="Y958"/>
      <c r="Z958"/>
      <c r="AA958"/>
    </row>
    <row r="959" spans="2:27" s="25" customFormat="1" ht="15.75" customHeight="1" x14ac:dyDescent="0.2">
      <c r="B959" s="89"/>
      <c r="C959"/>
      <c r="D959"/>
      <c r="E959" s="6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  <c r="V959"/>
      <c r="W959"/>
      <c r="X959"/>
      <c r="Y959"/>
      <c r="Z959"/>
      <c r="AA959"/>
    </row>
    <row r="960" spans="2:27" s="25" customFormat="1" ht="15.75" customHeight="1" x14ac:dyDescent="0.2">
      <c r="B960" s="89"/>
      <c r="C960"/>
      <c r="D960"/>
      <c r="E960" s="69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  <c r="U960"/>
      <c r="V960"/>
      <c r="W960"/>
      <c r="X960"/>
      <c r="Y960"/>
      <c r="Z960"/>
      <c r="AA960"/>
    </row>
    <row r="961" spans="2:27" s="25" customFormat="1" ht="15.75" customHeight="1" x14ac:dyDescent="0.2">
      <c r="B961" s="89"/>
      <c r="C961"/>
      <c r="D961"/>
      <c r="E961" s="69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  <c r="V961"/>
      <c r="W961"/>
      <c r="X961"/>
      <c r="Y961"/>
      <c r="Z961"/>
      <c r="AA961"/>
    </row>
    <row r="962" spans="2:27" s="25" customFormat="1" ht="15.75" customHeight="1" x14ac:dyDescent="0.2">
      <c r="B962" s="89"/>
      <c r="C962"/>
      <c r="D962"/>
      <c r="E962" s="69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  <c r="V962"/>
      <c r="W962"/>
      <c r="X962"/>
      <c r="Y962"/>
      <c r="Z962"/>
      <c r="AA962"/>
    </row>
    <row r="963" spans="2:27" s="25" customFormat="1" ht="15.75" customHeight="1" x14ac:dyDescent="0.2">
      <c r="B963" s="89"/>
      <c r="C963"/>
      <c r="D963"/>
      <c r="E963" s="69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  <c r="V963"/>
      <c r="W963"/>
      <c r="X963"/>
      <c r="Y963"/>
      <c r="Z963"/>
      <c r="AA963"/>
    </row>
    <row r="964" spans="2:27" s="25" customFormat="1" ht="15.75" customHeight="1" x14ac:dyDescent="0.2">
      <c r="B964" s="89"/>
      <c r="C964"/>
      <c r="D964"/>
      <c r="E964" s="69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  <c r="V964"/>
      <c r="W964"/>
      <c r="X964"/>
      <c r="Y964"/>
      <c r="Z964"/>
      <c r="AA964"/>
    </row>
    <row r="965" spans="2:27" s="25" customFormat="1" ht="15.75" customHeight="1" x14ac:dyDescent="0.2">
      <c r="B965" s="89"/>
      <c r="C965"/>
      <c r="D965"/>
      <c r="E965" s="69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  <c r="T965"/>
      <c r="U965"/>
      <c r="V965"/>
      <c r="W965"/>
      <c r="X965"/>
      <c r="Y965"/>
      <c r="Z965"/>
      <c r="AA965"/>
    </row>
    <row r="966" spans="2:27" s="25" customFormat="1" ht="15.75" customHeight="1" x14ac:dyDescent="0.2">
      <c r="B966" s="89"/>
      <c r="C966"/>
      <c r="D966"/>
      <c r="E966" s="69"/>
      <c r="F966"/>
      <c r="G966"/>
      <c r="H966"/>
      <c r="I966"/>
      <c r="J966"/>
      <c r="K966"/>
      <c r="L966"/>
      <c r="M966"/>
      <c r="N966"/>
      <c r="O966"/>
      <c r="P966"/>
      <c r="Q966"/>
      <c r="R966"/>
      <c r="S966"/>
      <c r="T966"/>
      <c r="U966"/>
      <c r="V966"/>
      <c r="W966"/>
      <c r="X966"/>
      <c r="Y966"/>
      <c r="Z966"/>
      <c r="AA966"/>
    </row>
    <row r="967" spans="2:27" s="25" customFormat="1" ht="15.75" customHeight="1" x14ac:dyDescent="0.2">
      <c r="B967" s="89"/>
      <c r="C967"/>
      <c r="D967"/>
      <c r="E967" s="69"/>
      <c r="F967"/>
      <c r="G967"/>
      <c r="H967"/>
      <c r="I967"/>
      <c r="J967"/>
      <c r="K967"/>
      <c r="L967"/>
      <c r="M967"/>
      <c r="N967"/>
      <c r="O967"/>
      <c r="P967"/>
      <c r="Q967"/>
      <c r="R967"/>
      <c r="S967"/>
      <c r="T967"/>
      <c r="U967"/>
      <c r="V967"/>
      <c r="W967"/>
      <c r="X967"/>
      <c r="Y967"/>
      <c r="Z967"/>
      <c r="AA967"/>
    </row>
    <row r="968" spans="2:27" s="25" customFormat="1" ht="15.75" customHeight="1" x14ac:dyDescent="0.2">
      <c r="B968" s="89"/>
      <c r="C968"/>
      <c r="D968"/>
      <c r="E968" s="69"/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  <c r="U968"/>
      <c r="V968"/>
      <c r="W968"/>
      <c r="X968"/>
      <c r="Y968"/>
      <c r="Z968"/>
      <c r="AA968"/>
    </row>
    <row r="969" spans="2:27" s="25" customFormat="1" ht="15.75" customHeight="1" x14ac:dyDescent="0.2">
      <c r="B969" s="89"/>
      <c r="C969"/>
      <c r="D969"/>
      <c r="E969" s="69"/>
      <c r="F969"/>
      <c r="G969"/>
      <c r="H969"/>
      <c r="I969"/>
      <c r="J969"/>
      <c r="K969"/>
      <c r="L969"/>
      <c r="M969"/>
      <c r="N969"/>
      <c r="O969"/>
      <c r="P969"/>
      <c r="Q969"/>
      <c r="R969"/>
      <c r="S969"/>
      <c r="T969"/>
      <c r="U969"/>
      <c r="V969"/>
      <c r="W969"/>
      <c r="X969"/>
      <c r="Y969"/>
      <c r="Z969"/>
      <c r="AA969"/>
    </row>
    <row r="970" spans="2:27" s="25" customFormat="1" ht="15.75" customHeight="1" x14ac:dyDescent="0.2">
      <c r="B970" s="89"/>
      <c r="C970"/>
      <c r="D970"/>
      <c r="E970" s="69"/>
      <c r="F970"/>
      <c r="G970"/>
      <c r="H970"/>
      <c r="I970"/>
      <c r="J970"/>
      <c r="K970"/>
      <c r="L970"/>
      <c r="M970"/>
      <c r="N970"/>
      <c r="O970"/>
      <c r="P970"/>
      <c r="Q970"/>
      <c r="R970"/>
      <c r="S970"/>
      <c r="T970"/>
      <c r="U970"/>
      <c r="V970"/>
      <c r="W970"/>
      <c r="X970"/>
      <c r="Y970"/>
      <c r="Z970"/>
      <c r="AA970"/>
    </row>
    <row r="971" spans="2:27" s="25" customFormat="1" ht="15.75" customHeight="1" x14ac:dyDescent="0.2">
      <c r="B971" s="89"/>
      <c r="C971"/>
      <c r="D971"/>
      <c r="E971" s="69"/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  <c r="T971"/>
      <c r="U971"/>
      <c r="V971"/>
      <c r="W971"/>
      <c r="X971"/>
      <c r="Y971"/>
      <c r="Z971"/>
      <c r="AA971"/>
    </row>
    <row r="972" spans="2:27" s="25" customFormat="1" ht="15.75" customHeight="1" x14ac:dyDescent="0.2">
      <c r="B972" s="89"/>
      <c r="C972"/>
      <c r="D972"/>
      <c r="E972" s="69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  <c r="U972"/>
      <c r="V972"/>
      <c r="W972"/>
      <c r="X972"/>
      <c r="Y972"/>
      <c r="Z972"/>
      <c r="AA972"/>
    </row>
    <row r="973" spans="2:27" s="25" customFormat="1" ht="15.75" customHeight="1" x14ac:dyDescent="0.2">
      <c r="B973" s="89"/>
      <c r="C973"/>
      <c r="D973"/>
      <c r="E973" s="69"/>
      <c r="F973"/>
      <c r="G973"/>
      <c r="H973"/>
      <c r="I973"/>
      <c r="J973"/>
      <c r="K973"/>
      <c r="L973"/>
      <c r="M973"/>
      <c r="N973"/>
      <c r="O973"/>
      <c r="P973"/>
      <c r="Q973"/>
      <c r="R973"/>
      <c r="S973"/>
      <c r="T973"/>
      <c r="U973"/>
      <c r="V973"/>
      <c r="W973"/>
      <c r="X973"/>
      <c r="Y973"/>
      <c r="Z973"/>
      <c r="AA973"/>
    </row>
    <row r="974" spans="2:27" s="25" customFormat="1" ht="15.75" customHeight="1" x14ac:dyDescent="0.2">
      <c r="B974" s="89"/>
      <c r="C974"/>
      <c r="D974"/>
      <c r="E974" s="69"/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  <c r="T974"/>
      <c r="U974"/>
      <c r="V974"/>
      <c r="W974"/>
      <c r="X974"/>
      <c r="Y974"/>
      <c r="Z974"/>
      <c r="AA974"/>
    </row>
    <row r="975" spans="2:27" s="25" customFormat="1" ht="15.75" customHeight="1" x14ac:dyDescent="0.2">
      <c r="B975" s="89"/>
      <c r="C975"/>
      <c r="D975"/>
      <c r="E975" s="69"/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  <c r="U975"/>
      <c r="V975"/>
      <c r="W975"/>
      <c r="X975"/>
      <c r="Y975"/>
      <c r="Z975"/>
      <c r="AA975"/>
    </row>
    <row r="976" spans="2:27" s="25" customFormat="1" ht="15.75" customHeight="1" x14ac:dyDescent="0.2">
      <c r="B976" s="89"/>
      <c r="C976"/>
      <c r="D976"/>
      <c r="E976" s="69"/>
      <c r="F976"/>
      <c r="G976"/>
      <c r="H976"/>
      <c r="I976"/>
      <c r="J976"/>
      <c r="K976"/>
      <c r="L976"/>
      <c r="M976"/>
      <c r="N976"/>
      <c r="O976"/>
      <c r="P976"/>
      <c r="Q976"/>
      <c r="R976"/>
      <c r="S976"/>
      <c r="T976"/>
      <c r="U976"/>
      <c r="V976"/>
      <c r="W976"/>
      <c r="X976"/>
      <c r="Y976"/>
      <c r="Z976"/>
      <c r="AA976"/>
    </row>
    <row r="977" spans="2:27" s="25" customFormat="1" ht="15.75" customHeight="1" x14ac:dyDescent="0.2">
      <c r="B977" s="89"/>
      <c r="C977"/>
      <c r="D977"/>
      <c r="E977" s="69"/>
      <c r="F977"/>
      <c r="G977"/>
      <c r="H977"/>
      <c r="I977"/>
      <c r="J977"/>
      <c r="K977"/>
      <c r="L977"/>
      <c r="M977"/>
      <c r="N977"/>
      <c r="O977"/>
      <c r="P977"/>
      <c r="Q977"/>
      <c r="R977"/>
      <c r="S977"/>
      <c r="T977"/>
      <c r="U977"/>
      <c r="V977"/>
      <c r="W977"/>
      <c r="X977"/>
      <c r="Y977"/>
      <c r="Z977"/>
      <c r="AA977"/>
    </row>
    <row r="978" spans="2:27" s="25" customFormat="1" ht="15.75" customHeight="1" x14ac:dyDescent="0.2">
      <c r="B978" s="89"/>
      <c r="C978"/>
      <c r="D978"/>
      <c r="E978" s="69"/>
      <c r="F978"/>
      <c r="G978"/>
      <c r="H978"/>
      <c r="I978"/>
      <c r="J978"/>
      <c r="K978"/>
      <c r="L978"/>
      <c r="M978"/>
      <c r="N978"/>
      <c r="O978"/>
      <c r="P978"/>
      <c r="Q978"/>
      <c r="R978"/>
      <c r="S978"/>
      <c r="T978"/>
      <c r="U978"/>
      <c r="V978"/>
      <c r="W978"/>
      <c r="X978"/>
      <c r="Y978"/>
      <c r="Z978"/>
      <c r="AA978"/>
    </row>
    <row r="979" spans="2:27" s="25" customFormat="1" ht="15.75" customHeight="1" x14ac:dyDescent="0.2">
      <c r="B979" s="89"/>
      <c r="C979"/>
      <c r="D979"/>
      <c r="E979" s="69"/>
      <c r="F979"/>
      <c r="G979"/>
      <c r="H979"/>
      <c r="I979"/>
      <c r="J979"/>
      <c r="K979"/>
      <c r="L979"/>
      <c r="M979"/>
      <c r="N979"/>
      <c r="O979"/>
      <c r="P979"/>
      <c r="Q979"/>
      <c r="R979"/>
      <c r="S979"/>
      <c r="T979"/>
      <c r="U979"/>
      <c r="V979"/>
      <c r="W979"/>
      <c r="X979"/>
      <c r="Y979"/>
      <c r="Z979"/>
      <c r="AA979"/>
    </row>
    <row r="980" spans="2:27" s="25" customFormat="1" ht="15.75" customHeight="1" x14ac:dyDescent="0.2">
      <c r="B980" s="89"/>
      <c r="C980"/>
      <c r="D980"/>
      <c r="E980" s="69"/>
      <c r="F980"/>
      <c r="G980"/>
      <c r="H980"/>
      <c r="I980"/>
      <c r="J980"/>
      <c r="K980"/>
      <c r="L980"/>
      <c r="M980"/>
      <c r="N980"/>
      <c r="O980"/>
      <c r="P980"/>
      <c r="Q980"/>
      <c r="R980"/>
      <c r="S980"/>
      <c r="T980"/>
      <c r="U980"/>
      <c r="V980"/>
      <c r="W980"/>
      <c r="X980"/>
      <c r="Y980"/>
      <c r="Z980"/>
      <c r="AA980"/>
    </row>
    <row r="981" spans="2:27" s="25" customFormat="1" ht="15.75" customHeight="1" x14ac:dyDescent="0.2">
      <c r="B981" s="89"/>
      <c r="C981"/>
      <c r="D981"/>
      <c r="E981" s="69"/>
      <c r="F981"/>
      <c r="G981"/>
      <c r="H981"/>
      <c r="I981"/>
      <c r="J981"/>
      <c r="K981"/>
      <c r="L981"/>
      <c r="M981"/>
      <c r="N981"/>
      <c r="O981"/>
      <c r="P981"/>
      <c r="Q981"/>
      <c r="R981"/>
      <c r="S981"/>
      <c r="T981"/>
      <c r="U981"/>
      <c r="V981"/>
      <c r="W981"/>
      <c r="X981"/>
      <c r="Y981"/>
      <c r="Z981"/>
      <c r="AA981"/>
    </row>
    <row r="982" spans="2:27" s="25" customFormat="1" ht="15.75" customHeight="1" x14ac:dyDescent="0.2">
      <c r="B982" s="89"/>
      <c r="C982"/>
      <c r="D982"/>
      <c r="E982" s="69"/>
      <c r="F982"/>
      <c r="G982"/>
      <c r="H982"/>
      <c r="I982"/>
      <c r="J982"/>
      <c r="K982"/>
      <c r="L982"/>
      <c r="M982"/>
      <c r="N982"/>
      <c r="O982"/>
      <c r="P982"/>
      <c r="Q982"/>
      <c r="R982"/>
      <c r="S982"/>
      <c r="T982"/>
      <c r="U982"/>
      <c r="V982"/>
      <c r="W982"/>
      <c r="X982"/>
      <c r="Y982"/>
      <c r="Z982"/>
      <c r="AA982"/>
    </row>
    <row r="983" spans="2:27" s="25" customFormat="1" ht="15.75" customHeight="1" x14ac:dyDescent="0.2">
      <c r="B983" s="89"/>
      <c r="C983"/>
      <c r="D983"/>
      <c r="E983" s="69"/>
      <c r="F983"/>
      <c r="G983"/>
      <c r="H983"/>
      <c r="I983"/>
      <c r="J983"/>
      <c r="K983"/>
      <c r="L983"/>
      <c r="M983"/>
      <c r="N983"/>
      <c r="O983"/>
      <c r="P983"/>
      <c r="Q983"/>
      <c r="R983"/>
      <c r="S983"/>
      <c r="T983"/>
      <c r="U983"/>
      <c r="V983"/>
      <c r="W983"/>
      <c r="X983"/>
      <c r="Y983"/>
      <c r="Z983"/>
      <c r="AA983"/>
    </row>
    <row r="984" spans="2:27" s="25" customFormat="1" ht="15.75" customHeight="1" x14ac:dyDescent="0.2">
      <c r="B984" s="89"/>
      <c r="C984"/>
      <c r="D984"/>
      <c r="E984" s="69"/>
      <c r="F984"/>
      <c r="G984"/>
      <c r="H984"/>
      <c r="I984"/>
      <c r="J984"/>
      <c r="K984"/>
      <c r="L984"/>
      <c r="M984"/>
      <c r="N984"/>
      <c r="O984"/>
      <c r="P984"/>
      <c r="Q984"/>
      <c r="R984"/>
      <c r="S984"/>
      <c r="T984"/>
      <c r="U984"/>
      <c r="V984"/>
      <c r="W984"/>
      <c r="X984"/>
      <c r="Y984"/>
      <c r="Z984"/>
      <c r="AA984"/>
    </row>
    <row r="985" spans="2:27" s="25" customFormat="1" ht="15.75" customHeight="1" x14ac:dyDescent="0.2">
      <c r="B985" s="89"/>
      <c r="C985"/>
      <c r="D985"/>
      <c r="E985" s="69"/>
      <c r="F985"/>
      <c r="G985"/>
      <c r="H985"/>
      <c r="I985"/>
      <c r="J985"/>
      <c r="K985"/>
      <c r="L985"/>
      <c r="M985"/>
      <c r="N985"/>
      <c r="O985"/>
      <c r="P985"/>
      <c r="Q985"/>
      <c r="R985"/>
      <c r="S985"/>
      <c r="T985"/>
      <c r="U985"/>
      <c r="V985"/>
      <c r="W985"/>
      <c r="X985"/>
      <c r="Y985"/>
      <c r="Z985"/>
      <c r="AA985"/>
    </row>
    <row r="986" spans="2:27" s="25" customFormat="1" ht="15.75" customHeight="1" x14ac:dyDescent="0.2">
      <c r="B986" s="89"/>
      <c r="C986"/>
      <c r="D986"/>
      <c r="E986" s="69"/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  <c r="U986"/>
      <c r="V986"/>
      <c r="W986"/>
      <c r="X986"/>
      <c r="Y986"/>
      <c r="Z986"/>
      <c r="AA986"/>
    </row>
    <row r="987" spans="2:27" s="25" customFormat="1" ht="15.75" customHeight="1" x14ac:dyDescent="0.2">
      <c r="B987" s="89"/>
      <c r="C987"/>
      <c r="D987"/>
      <c r="E987" s="69"/>
      <c r="F987"/>
      <c r="G987"/>
      <c r="H987"/>
      <c r="I987"/>
      <c r="J987"/>
      <c r="K987"/>
      <c r="L987"/>
      <c r="M987"/>
      <c r="N987"/>
      <c r="O987"/>
      <c r="P987"/>
      <c r="Q987"/>
      <c r="R987"/>
      <c r="S987"/>
      <c r="T987"/>
      <c r="U987"/>
      <c r="V987"/>
      <c r="W987"/>
      <c r="X987"/>
      <c r="Y987"/>
      <c r="Z987"/>
      <c r="AA987"/>
    </row>
    <row r="988" spans="2:27" s="25" customFormat="1" ht="15.75" customHeight="1" x14ac:dyDescent="0.2">
      <c r="B988" s="89"/>
      <c r="C988"/>
      <c r="D988"/>
      <c r="E988" s="69"/>
      <c r="F988"/>
      <c r="G988"/>
      <c r="H988"/>
      <c r="I988"/>
      <c r="J988"/>
      <c r="K988"/>
      <c r="L988"/>
      <c r="M988"/>
      <c r="N988"/>
      <c r="O988"/>
      <c r="P988"/>
      <c r="Q988"/>
      <c r="R988"/>
      <c r="S988"/>
      <c r="T988"/>
      <c r="U988"/>
      <c r="V988"/>
      <c r="W988"/>
      <c r="X988"/>
      <c r="Y988"/>
      <c r="Z988"/>
      <c r="AA988"/>
    </row>
    <row r="989" spans="2:27" s="25" customFormat="1" ht="15.75" customHeight="1" x14ac:dyDescent="0.2">
      <c r="B989" s="89"/>
      <c r="C989"/>
      <c r="D989"/>
      <c r="E989" s="69"/>
      <c r="F989"/>
      <c r="G989"/>
      <c r="H989"/>
      <c r="I989"/>
      <c r="J989"/>
      <c r="K989"/>
      <c r="L989"/>
      <c r="M989"/>
      <c r="N989"/>
      <c r="O989"/>
      <c r="P989"/>
      <c r="Q989"/>
      <c r="R989"/>
      <c r="S989"/>
      <c r="T989"/>
      <c r="U989"/>
      <c r="V989"/>
      <c r="W989"/>
      <c r="X989"/>
      <c r="Y989"/>
      <c r="Z989"/>
      <c r="AA989"/>
    </row>
    <row r="990" spans="2:27" s="25" customFormat="1" ht="15.75" customHeight="1" x14ac:dyDescent="0.2">
      <c r="B990" s="89"/>
      <c r="C990"/>
      <c r="D990"/>
      <c r="E990" s="69"/>
      <c r="F990"/>
      <c r="G990"/>
      <c r="H990"/>
      <c r="I990"/>
      <c r="J990"/>
      <c r="K990"/>
      <c r="L990"/>
      <c r="M990"/>
      <c r="N990"/>
      <c r="O990"/>
      <c r="P990"/>
      <c r="Q990"/>
      <c r="R990"/>
      <c r="S990"/>
      <c r="T990"/>
      <c r="U990"/>
      <c r="V990"/>
      <c r="W990"/>
      <c r="X990"/>
      <c r="Y990"/>
      <c r="Z990"/>
      <c r="AA990"/>
    </row>
    <row r="991" spans="2:27" s="25" customFormat="1" ht="15.75" customHeight="1" x14ac:dyDescent="0.2">
      <c r="B991" s="89"/>
      <c r="C991"/>
      <c r="D991"/>
      <c r="E991" s="69"/>
      <c r="F991"/>
      <c r="G991"/>
      <c r="H991"/>
      <c r="I991"/>
      <c r="J991"/>
      <c r="K991"/>
      <c r="L991"/>
      <c r="M991"/>
      <c r="N991"/>
      <c r="O991"/>
      <c r="P991"/>
      <c r="Q991"/>
      <c r="R991"/>
      <c r="S991"/>
      <c r="T991"/>
      <c r="U991"/>
      <c r="V991"/>
      <c r="W991"/>
      <c r="X991"/>
      <c r="Y991"/>
      <c r="Z991"/>
      <c r="AA991"/>
    </row>
    <row r="992" spans="2:27" s="25" customFormat="1" ht="15.75" customHeight="1" x14ac:dyDescent="0.2">
      <c r="B992" s="89"/>
      <c r="C992"/>
      <c r="D992"/>
      <c r="E992" s="69"/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  <c r="T992"/>
      <c r="U992"/>
      <c r="V992"/>
      <c r="W992"/>
      <c r="X992"/>
      <c r="Y992"/>
      <c r="Z992"/>
      <c r="AA992"/>
    </row>
    <row r="993" spans="2:27" s="25" customFormat="1" ht="15.75" customHeight="1" x14ac:dyDescent="0.2">
      <c r="B993" s="89"/>
      <c r="C993"/>
      <c r="D993"/>
      <c r="E993" s="69"/>
      <c r="F993"/>
      <c r="G993"/>
      <c r="H993"/>
      <c r="I993"/>
      <c r="J993"/>
      <c r="K993"/>
      <c r="L993"/>
      <c r="M993"/>
      <c r="N993"/>
      <c r="O993"/>
      <c r="P993"/>
      <c r="Q993"/>
      <c r="R993"/>
      <c r="S993"/>
      <c r="T993"/>
      <c r="U993"/>
      <c r="V993"/>
      <c r="W993"/>
      <c r="X993"/>
      <c r="Y993"/>
      <c r="Z993"/>
      <c r="AA993"/>
    </row>
    <row r="994" spans="2:27" s="25" customFormat="1" ht="15.75" customHeight="1" x14ac:dyDescent="0.2">
      <c r="B994" s="89"/>
      <c r="C994"/>
      <c r="D994"/>
      <c r="E994" s="69"/>
      <c r="F994"/>
      <c r="G994"/>
      <c r="H994"/>
      <c r="I994"/>
      <c r="J994"/>
      <c r="K994"/>
      <c r="L994"/>
      <c r="M994"/>
      <c r="N994"/>
      <c r="O994"/>
      <c r="P994"/>
      <c r="Q994"/>
      <c r="R994"/>
      <c r="S994"/>
      <c r="T994"/>
      <c r="U994"/>
      <c r="V994"/>
      <c r="W994"/>
      <c r="X994"/>
      <c r="Y994"/>
      <c r="Z994"/>
      <c r="AA994"/>
    </row>
    <row r="995" spans="2:27" s="25" customFormat="1" ht="15.75" customHeight="1" x14ac:dyDescent="0.2">
      <c r="B995" s="89"/>
      <c r="C995"/>
      <c r="D995"/>
      <c r="E995" s="69"/>
      <c r="F995"/>
      <c r="G995"/>
      <c r="H995"/>
      <c r="I995"/>
      <c r="J995"/>
      <c r="K995"/>
      <c r="L995"/>
      <c r="M995"/>
      <c r="N995"/>
      <c r="O995"/>
      <c r="P995"/>
      <c r="Q995"/>
      <c r="R995"/>
      <c r="S995"/>
      <c r="T995"/>
      <c r="U995"/>
      <c r="V995"/>
      <c r="W995"/>
      <c r="X995"/>
      <c r="Y995"/>
      <c r="Z995"/>
      <c r="AA995"/>
    </row>
    <row r="996" spans="2:27" s="25" customFormat="1" ht="15.75" customHeight="1" x14ac:dyDescent="0.2">
      <c r="B996" s="89"/>
      <c r="C996"/>
      <c r="D996"/>
      <c r="E996" s="69"/>
      <c r="F996"/>
      <c r="G996"/>
      <c r="H996"/>
      <c r="I996"/>
      <c r="J996"/>
      <c r="K996"/>
      <c r="L996"/>
      <c r="M996"/>
      <c r="N996"/>
      <c r="O996"/>
      <c r="P996"/>
      <c r="Q996"/>
      <c r="R996"/>
      <c r="S996"/>
      <c r="T996"/>
      <c r="U996"/>
      <c r="V996"/>
      <c r="W996"/>
      <c r="X996"/>
      <c r="Y996"/>
      <c r="Z996"/>
      <c r="AA996"/>
    </row>
    <row r="997" spans="2:27" s="25" customFormat="1" ht="15.75" customHeight="1" x14ac:dyDescent="0.2">
      <c r="B997" s="89"/>
      <c r="C997"/>
      <c r="D997"/>
      <c r="E997" s="69"/>
      <c r="F997"/>
      <c r="G997"/>
      <c r="H997"/>
      <c r="I997"/>
      <c r="J997"/>
      <c r="K997"/>
      <c r="L997"/>
      <c r="M997"/>
      <c r="N997"/>
      <c r="O997"/>
      <c r="P997"/>
      <c r="Q997"/>
      <c r="R997"/>
      <c r="S997"/>
      <c r="T997"/>
      <c r="U997"/>
      <c r="V997"/>
      <c r="W997"/>
      <c r="X997"/>
      <c r="Y997"/>
      <c r="Z997"/>
      <c r="AA997"/>
    </row>
    <row r="998" spans="2:27" s="25" customFormat="1" ht="15.75" customHeight="1" x14ac:dyDescent="0.2">
      <c r="B998" s="89"/>
      <c r="C998"/>
      <c r="D998"/>
      <c r="E998" s="69"/>
      <c r="F998"/>
      <c r="G998"/>
      <c r="H998"/>
      <c r="I998"/>
      <c r="J998"/>
      <c r="K998"/>
      <c r="L998"/>
      <c r="M998"/>
      <c r="N998"/>
      <c r="O998"/>
      <c r="P998"/>
      <c r="Q998"/>
      <c r="R998"/>
      <c r="S998"/>
      <c r="T998"/>
      <c r="U998"/>
      <c r="V998"/>
      <c r="W998"/>
      <c r="X998"/>
      <c r="Y998"/>
      <c r="Z998"/>
      <c r="AA998"/>
    </row>
    <row r="999" spans="2:27" s="25" customFormat="1" ht="15.75" customHeight="1" x14ac:dyDescent="0.2">
      <c r="B999" s="89"/>
      <c r="C999"/>
      <c r="D999"/>
      <c r="E999" s="69"/>
      <c r="F999"/>
      <c r="G999"/>
      <c r="H999"/>
      <c r="I999"/>
      <c r="J999"/>
      <c r="K999"/>
      <c r="L999"/>
      <c r="M999"/>
      <c r="N999"/>
      <c r="O999"/>
      <c r="P999"/>
      <c r="Q999"/>
      <c r="R999"/>
      <c r="S999"/>
      <c r="T999"/>
      <c r="U999"/>
      <c r="V999"/>
      <c r="W999"/>
      <c r="X999"/>
      <c r="Y999"/>
      <c r="Z999"/>
      <c r="AA999"/>
    </row>
  </sheetData>
  <mergeCells count="11">
    <mergeCell ref="B7:E7"/>
    <mergeCell ref="F7:G7"/>
    <mergeCell ref="B8:E8"/>
    <mergeCell ref="F8:G8"/>
    <mergeCell ref="E1:E3"/>
    <mergeCell ref="B4:E4"/>
    <mergeCell ref="F4:G4"/>
    <mergeCell ref="B5:E5"/>
    <mergeCell ref="F5:G5"/>
    <mergeCell ref="B6:E6"/>
    <mergeCell ref="F6:G6"/>
  </mergeCells>
  <conditionalFormatting sqref="A4:B8 A9:H1048576">
    <cfRule type="expression" dxfId="29" priority="1">
      <formula>ISNUMBER(SEARCH("Holiday", $E4))</formula>
    </cfRule>
    <cfRule type="expression" dxfId="28" priority="2">
      <formula>AND(WEEKDAY($A4,2)&lt;6, $A4&lt;&gt;"")</formula>
    </cfRule>
  </conditionalFormatting>
  <conditionalFormatting sqref="A1:H3">
    <cfRule type="expression" dxfId="27" priority="5">
      <formula>ISNUMBER(SEARCH("Holiday", $E1))</formula>
    </cfRule>
    <cfRule type="expression" dxfId="26" priority="6">
      <formula>AND(WEEKDAY($A1,2)&lt;6, $A1&lt;&gt;"")</formula>
    </cfRule>
  </conditionalFormatting>
  <conditionalFormatting sqref="F4:H8">
    <cfRule type="expression" dxfId="25" priority="3">
      <formula>ISNUMBER(SEARCH("Holiday", $E4))</formula>
    </cfRule>
    <cfRule type="expression" dxfId="24" priority="4">
      <formula>AND(WEEKDAY($A4,2)&lt;6, $A4&lt;&gt;"")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E4100-B1C2-46CE-83ED-733208C54B31}">
  <dimension ref="A1:AA995"/>
  <sheetViews>
    <sheetView workbookViewId="0">
      <selection activeCell="E11" sqref="E11"/>
    </sheetView>
  </sheetViews>
  <sheetFormatPr defaultColWidth="12.5" defaultRowHeight="14.25" x14ac:dyDescent="0.2"/>
  <cols>
    <col min="1" max="1" width="20.25" style="25" bestFit="1" customWidth="1"/>
    <col min="2" max="2" width="7.375" style="89" bestFit="1" customWidth="1"/>
    <col min="3" max="3" width="11" customWidth="1"/>
    <col min="4" max="4" width="11.25" customWidth="1"/>
    <col min="5" max="5" width="28" style="69" customWidth="1"/>
    <col min="7" max="7" width="12" customWidth="1"/>
    <col min="8" max="8" width="19" customWidth="1"/>
    <col min="9" max="9" width="7.75" customWidth="1"/>
    <col min="10" max="10" width="94.25" bestFit="1" customWidth="1"/>
    <col min="11" max="13" width="7.75" customWidth="1"/>
    <col min="14" max="14" width="9" customWidth="1"/>
    <col min="15" max="27" width="7.75" customWidth="1"/>
  </cols>
  <sheetData>
    <row r="1" spans="1:27" ht="17.25" customHeight="1" x14ac:dyDescent="0.25">
      <c r="A1" s="48"/>
      <c r="B1" s="81"/>
      <c r="C1" s="49"/>
      <c r="D1" s="49"/>
      <c r="E1" s="97" t="s">
        <v>0</v>
      </c>
      <c r="F1" s="50"/>
      <c r="G1" s="51"/>
      <c r="H1" s="52"/>
      <c r="K1" s="28"/>
      <c r="L1" s="28"/>
      <c r="M1" s="28"/>
      <c r="N1" s="28"/>
      <c r="O1" s="28"/>
      <c r="P1" s="28"/>
    </row>
    <row r="2" spans="1:27" ht="17.25" customHeight="1" x14ac:dyDescent="0.25">
      <c r="A2" s="53"/>
      <c r="B2" s="82"/>
      <c r="C2" s="54"/>
      <c r="D2" s="54"/>
      <c r="E2" s="98"/>
      <c r="F2" s="55"/>
      <c r="G2" s="56"/>
      <c r="H2" s="57"/>
      <c r="J2" s="26" t="s">
        <v>17</v>
      </c>
      <c r="K2" s="29"/>
      <c r="L2" s="29"/>
      <c r="M2" s="30"/>
      <c r="N2" s="31"/>
      <c r="O2" s="28"/>
      <c r="P2" s="28"/>
    </row>
    <row r="3" spans="1:27" ht="15.75" x14ac:dyDescent="0.25">
      <c r="A3" s="58"/>
      <c r="B3" s="83"/>
      <c r="C3" s="59"/>
      <c r="D3" s="59"/>
      <c r="E3" s="99"/>
      <c r="F3" s="60"/>
      <c r="G3" s="61"/>
      <c r="H3" s="62"/>
      <c r="J3" s="27" t="s">
        <v>18</v>
      </c>
      <c r="K3" s="29"/>
      <c r="L3" s="29"/>
      <c r="M3" s="32"/>
      <c r="N3" s="33"/>
      <c r="O3" s="34"/>
      <c r="P3" s="35"/>
    </row>
    <row r="4" spans="1:27" ht="15" x14ac:dyDescent="0.25">
      <c r="A4" s="21" t="s">
        <v>1</v>
      </c>
      <c r="B4" s="94"/>
      <c r="C4" s="95"/>
      <c r="D4" s="95"/>
      <c r="E4" s="96"/>
      <c r="F4" s="91" t="s">
        <v>2</v>
      </c>
      <c r="G4" s="92"/>
      <c r="H4" s="1"/>
      <c r="J4" s="25"/>
      <c r="K4" s="20"/>
      <c r="L4" s="20"/>
      <c r="M4" s="14"/>
      <c r="N4" s="15"/>
    </row>
    <row r="5" spans="1:27" ht="15" x14ac:dyDescent="0.25">
      <c r="A5" s="21" t="s">
        <v>43</v>
      </c>
      <c r="B5" s="94"/>
      <c r="C5" s="95"/>
      <c r="D5" s="95"/>
      <c r="E5" s="96"/>
      <c r="F5" s="91" t="s">
        <v>3</v>
      </c>
      <c r="G5" s="92"/>
      <c r="H5" s="1"/>
      <c r="J5" s="26" t="s">
        <v>19</v>
      </c>
      <c r="K5" s="19"/>
      <c r="L5" s="19"/>
      <c r="M5" s="14"/>
      <c r="N5" s="15"/>
    </row>
    <row r="6" spans="1:27" ht="15" x14ac:dyDescent="0.25">
      <c r="A6" s="21" t="s">
        <v>4</v>
      </c>
      <c r="B6" s="94"/>
      <c r="C6" s="95"/>
      <c r="D6" s="95"/>
      <c r="E6" s="96"/>
      <c r="F6" s="91" t="s">
        <v>6</v>
      </c>
      <c r="G6" s="92"/>
      <c r="H6" s="1"/>
      <c r="J6" s="26" t="s">
        <v>30</v>
      </c>
      <c r="K6" s="19"/>
      <c r="L6" s="19"/>
      <c r="M6" s="14"/>
      <c r="N6" s="15"/>
    </row>
    <row r="7" spans="1:27" ht="15" x14ac:dyDescent="0.25">
      <c r="A7" s="21" t="s">
        <v>5</v>
      </c>
      <c r="B7" s="94"/>
      <c r="C7" s="95"/>
      <c r="D7" s="95"/>
      <c r="E7" s="96"/>
      <c r="F7" s="91" t="s">
        <v>8</v>
      </c>
      <c r="G7" s="92"/>
      <c r="H7" s="1"/>
    </row>
    <row r="8" spans="1:27" ht="15" x14ac:dyDescent="0.25">
      <c r="A8" s="21" t="s">
        <v>7</v>
      </c>
      <c r="B8" s="94"/>
      <c r="C8" s="95"/>
      <c r="D8" s="95"/>
      <c r="E8" s="96"/>
      <c r="F8" s="93"/>
      <c r="G8" s="92"/>
      <c r="H8" s="2"/>
    </row>
    <row r="9" spans="1:27" ht="15" x14ac:dyDescent="0.25">
      <c r="A9" s="78"/>
      <c r="B9" s="84"/>
      <c r="C9" s="77"/>
      <c r="D9" s="77"/>
      <c r="E9" s="77"/>
      <c r="F9" s="77"/>
      <c r="G9" s="77"/>
      <c r="H9" s="77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ht="15" x14ac:dyDescent="0.25">
      <c r="A10" s="40" t="s">
        <v>9</v>
      </c>
      <c r="B10" s="85" t="s">
        <v>31</v>
      </c>
      <c r="C10" s="41" t="s">
        <v>10</v>
      </c>
      <c r="D10" s="41" t="s">
        <v>11</v>
      </c>
      <c r="E10" s="42" t="s">
        <v>12</v>
      </c>
      <c r="F10" s="43" t="s">
        <v>13</v>
      </c>
      <c r="G10" s="42" t="s">
        <v>14</v>
      </c>
      <c r="H10" s="42" t="s">
        <v>15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1:27" s="37" customFormat="1" ht="15" x14ac:dyDescent="0.25">
      <c r="A11" s="75">
        <f>'August 2026'!A56+1</f>
        <v>46266</v>
      </c>
      <c r="B11" s="79">
        <f>WEEKNUM(A11, 2)</f>
        <v>36</v>
      </c>
      <c r="C11" s="71"/>
      <c r="D11" s="71"/>
      <c r="E11" s="76"/>
      <c r="F11" s="73"/>
      <c r="G11" s="73"/>
      <c r="H11" s="73">
        <f t="shared" ref="H11" si="0">SUM(F11:G11)</f>
        <v>0</v>
      </c>
    </row>
    <row r="12" spans="1:27" s="37" customFormat="1" ht="15" x14ac:dyDescent="0.25">
      <c r="A12" s="70">
        <f t="shared" ref="A12:A16" si="1">A11+1</f>
        <v>46267</v>
      </c>
      <c r="B12" s="79">
        <f t="shared" ref="B12:B15" si="2">WEEKNUM(A12, 2)</f>
        <v>36</v>
      </c>
      <c r="C12" s="71"/>
      <c r="D12" s="71"/>
      <c r="E12" s="72"/>
      <c r="F12" s="73"/>
      <c r="G12" s="73"/>
      <c r="H12" s="73">
        <f>SUM(F12:G12)</f>
        <v>0</v>
      </c>
    </row>
    <row r="13" spans="1:27" s="37" customFormat="1" ht="15" x14ac:dyDescent="0.25">
      <c r="A13" s="70">
        <f t="shared" si="1"/>
        <v>46268</v>
      </c>
      <c r="B13" s="79">
        <f t="shared" si="2"/>
        <v>36</v>
      </c>
      <c r="C13" s="71"/>
      <c r="D13" s="71"/>
      <c r="E13" s="72"/>
      <c r="F13" s="73"/>
      <c r="G13" s="73"/>
      <c r="H13" s="73">
        <f t="shared" ref="H13:H15" si="3">SUM(F13:G13)</f>
        <v>0</v>
      </c>
    </row>
    <row r="14" spans="1:27" s="37" customFormat="1" ht="15" x14ac:dyDescent="0.25">
      <c r="A14" s="70">
        <f t="shared" si="1"/>
        <v>46269</v>
      </c>
      <c r="B14" s="79">
        <f t="shared" si="2"/>
        <v>36</v>
      </c>
      <c r="C14" s="71"/>
      <c r="D14" s="71"/>
      <c r="E14" s="72"/>
      <c r="F14" s="73"/>
      <c r="G14" s="73"/>
      <c r="H14" s="73">
        <f t="shared" si="3"/>
        <v>0</v>
      </c>
    </row>
    <row r="15" spans="1:27" ht="15.75" customHeight="1" x14ac:dyDescent="0.25">
      <c r="A15" s="70">
        <f t="shared" si="1"/>
        <v>46270</v>
      </c>
      <c r="B15" s="79">
        <f t="shared" si="2"/>
        <v>36</v>
      </c>
      <c r="C15" s="71"/>
      <c r="D15" s="71"/>
      <c r="E15" s="72"/>
      <c r="F15" s="73"/>
      <c r="G15" s="73"/>
      <c r="H15" s="73">
        <f t="shared" si="3"/>
        <v>0</v>
      </c>
    </row>
    <row r="16" spans="1:27" ht="15.75" customHeight="1" x14ac:dyDescent="0.25">
      <c r="A16" s="70">
        <f t="shared" si="1"/>
        <v>46271</v>
      </c>
      <c r="B16" s="79">
        <f>WEEKNUM(A16, 2)</f>
        <v>36</v>
      </c>
      <c r="C16" s="71"/>
      <c r="D16" s="71"/>
      <c r="E16" s="74"/>
      <c r="F16" s="73"/>
      <c r="G16" s="73"/>
      <c r="H16" s="73">
        <f>SUM(F16:G16)</f>
        <v>0</v>
      </c>
    </row>
    <row r="17" spans="1:27" s="28" customFormat="1" ht="15.75" customHeight="1" x14ac:dyDescent="0.2">
      <c r="A17" s="44" t="s">
        <v>39</v>
      </c>
      <c r="B17" s="80"/>
      <c r="C17" s="45"/>
      <c r="D17" s="45"/>
      <c r="E17" s="63"/>
      <c r="F17" s="46">
        <f ca="1">SUMIF($B:$E,RIGHT($A17,2),F:F)</f>
        <v>0</v>
      </c>
      <c r="G17" s="46">
        <f ca="1">SUMIF($B:$E,RIGHT($A17,2),G:G)</f>
        <v>0</v>
      </c>
      <c r="H17" s="47">
        <f ca="1">SUMIF($B:$E,RIGHT($A17,2),H:H)</f>
        <v>0</v>
      </c>
    </row>
    <row r="18" spans="1:27" s="28" customFormat="1" ht="15.75" customHeight="1" x14ac:dyDescent="0.2">
      <c r="A18" s="36"/>
      <c r="B18" s="86"/>
      <c r="C18" s="34"/>
      <c r="D18" s="34"/>
      <c r="E18" s="64"/>
      <c r="F18" s="38"/>
      <c r="G18" s="38"/>
      <c r="H18" s="39"/>
    </row>
    <row r="19" spans="1:27" ht="15" x14ac:dyDescent="0.25">
      <c r="A19" s="40" t="s">
        <v>9</v>
      </c>
      <c r="B19" s="85" t="s">
        <v>31</v>
      </c>
      <c r="C19" s="41" t="s">
        <v>10</v>
      </c>
      <c r="D19" s="41" t="s">
        <v>11</v>
      </c>
      <c r="E19" s="42" t="s">
        <v>12</v>
      </c>
      <c r="F19" s="43" t="s">
        <v>13</v>
      </c>
      <c r="G19" s="42" t="s">
        <v>14</v>
      </c>
      <c r="H19" s="42" t="s">
        <v>15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spans="1:27" ht="15.75" customHeight="1" x14ac:dyDescent="0.25">
      <c r="A20" s="70">
        <f>A16+1</f>
        <v>46272</v>
      </c>
      <c r="B20" s="79">
        <f t="shared" ref="B20:B25" si="4">WEEKNUM(A20, 2)</f>
        <v>37</v>
      </c>
      <c r="C20" s="71"/>
      <c r="D20" s="71"/>
      <c r="E20" s="72" t="s">
        <v>25</v>
      </c>
      <c r="F20" s="73"/>
      <c r="G20" s="73"/>
      <c r="H20" s="73">
        <f>SUM(F20:G20)</f>
        <v>0</v>
      </c>
    </row>
    <row r="21" spans="1:27" ht="15.75" customHeight="1" x14ac:dyDescent="0.25">
      <c r="A21" s="70">
        <f>A20+1</f>
        <v>46273</v>
      </c>
      <c r="B21" s="79">
        <f t="shared" si="4"/>
        <v>37</v>
      </c>
      <c r="C21" s="71"/>
      <c r="D21" s="71"/>
      <c r="E21" s="74"/>
      <c r="F21" s="73"/>
      <c r="G21" s="73"/>
      <c r="H21" s="73">
        <f t="shared" ref="H21:H25" si="5">SUM(F21:G21)</f>
        <v>0</v>
      </c>
    </row>
    <row r="22" spans="1:27" ht="15.75" customHeight="1" x14ac:dyDescent="0.25">
      <c r="A22" s="70">
        <f t="shared" ref="A22:A26" si="6">A21+1</f>
        <v>46274</v>
      </c>
      <c r="B22" s="79">
        <f t="shared" si="4"/>
        <v>37</v>
      </c>
      <c r="C22" s="71"/>
      <c r="D22" s="71"/>
      <c r="E22" s="72"/>
      <c r="F22" s="73"/>
      <c r="G22" s="73"/>
      <c r="H22" s="73">
        <f t="shared" si="5"/>
        <v>0</v>
      </c>
    </row>
    <row r="23" spans="1:27" ht="15.75" customHeight="1" x14ac:dyDescent="0.25">
      <c r="A23" s="70">
        <f t="shared" si="6"/>
        <v>46275</v>
      </c>
      <c r="B23" s="79">
        <f t="shared" si="4"/>
        <v>37</v>
      </c>
      <c r="C23" s="71"/>
      <c r="D23" s="71"/>
      <c r="E23" s="74"/>
      <c r="F23" s="73"/>
      <c r="G23" s="73"/>
      <c r="H23" s="73">
        <f t="shared" si="5"/>
        <v>0</v>
      </c>
    </row>
    <row r="24" spans="1:27" ht="15.75" customHeight="1" x14ac:dyDescent="0.25">
      <c r="A24" s="70">
        <f t="shared" si="6"/>
        <v>46276</v>
      </c>
      <c r="B24" s="79">
        <f>WEEKNUM(A24, 2)</f>
        <v>37</v>
      </c>
      <c r="C24" s="71"/>
      <c r="D24" s="71"/>
      <c r="E24" s="72"/>
      <c r="F24" s="73"/>
      <c r="G24" s="73"/>
      <c r="H24" s="73">
        <f t="shared" si="5"/>
        <v>0</v>
      </c>
    </row>
    <row r="25" spans="1:27" ht="15.75" customHeight="1" x14ac:dyDescent="0.25">
      <c r="A25" s="70">
        <f t="shared" si="6"/>
        <v>46277</v>
      </c>
      <c r="B25" s="79">
        <f t="shared" si="4"/>
        <v>37</v>
      </c>
      <c r="C25" s="71"/>
      <c r="D25" s="71"/>
      <c r="E25" s="72"/>
      <c r="F25" s="73"/>
      <c r="G25" s="73"/>
      <c r="H25" s="73">
        <f t="shared" si="5"/>
        <v>0</v>
      </c>
    </row>
    <row r="26" spans="1:27" ht="15.75" customHeight="1" x14ac:dyDescent="0.25">
      <c r="A26" s="70">
        <f t="shared" si="6"/>
        <v>46278</v>
      </c>
      <c r="B26" s="79">
        <f>WEEKNUM(A26, 2)</f>
        <v>37</v>
      </c>
      <c r="C26" s="71"/>
      <c r="D26" s="71"/>
      <c r="E26" s="74"/>
      <c r="F26" s="73"/>
      <c r="G26" s="73"/>
      <c r="H26" s="73">
        <f>SUM(F26:G26)</f>
        <v>0</v>
      </c>
    </row>
    <row r="27" spans="1:27" s="28" customFormat="1" ht="15.75" customHeight="1" x14ac:dyDescent="0.2">
      <c r="A27" s="44" t="str">
        <f>"Total of Week "&amp;RIGHT(A17,2)+1</f>
        <v>Total of Week 37</v>
      </c>
      <c r="B27" s="80"/>
      <c r="C27" s="45"/>
      <c r="D27" s="45"/>
      <c r="E27" s="63"/>
      <c r="F27" s="46">
        <f ca="1">SUMIF($B:$E,RIGHT($A27,2),F:F)</f>
        <v>0</v>
      </c>
      <c r="G27" s="46">
        <f ca="1">SUMIF($B:$E,RIGHT($A27,2),G:G)</f>
        <v>0</v>
      </c>
      <c r="H27" s="47">
        <f ca="1">SUMIF($B:$E,RIGHT($A27,2),H:H)</f>
        <v>0</v>
      </c>
    </row>
    <row r="28" spans="1:27" ht="15.75" customHeight="1" x14ac:dyDescent="0.25">
      <c r="A28" s="22"/>
      <c r="B28" s="87"/>
      <c r="C28" s="5"/>
      <c r="D28" s="5"/>
      <c r="E28" s="65"/>
      <c r="F28" s="6"/>
      <c r="G28" s="5"/>
      <c r="H28" s="7"/>
    </row>
    <row r="29" spans="1:27" ht="15" x14ac:dyDescent="0.25">
      <c r="A29" s="40" t="s">
        <v>9</v>
      </c>
      <c r="B29" s="85" t="s">
        <v>31</v>
      </c>
      <c r="C29" s="41" t="s">
        <v>10</v>
      </c>
      <c r="D29" s="41" t="s">
        <v>11</v>
      </c>
      <c r="E29" s="42" t="s">
        <v>12</v>
      </c>
      <c r="F29" s="43" t="s">
        <v>13</v>
      </c>
      <c r="G29" s="42" t="s">
        <v>14</v>
      </c>
      <c r="H29" s="42" t="s">
        <v>15</v>
      </c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spans="1:27" ht="15.75" customHeight="1" x14ac:dyDescent="0.25">
      <c r="A30" s="70">
        <f>A26+1</f>
        <v>46279</v>
      </c>
      <c r="B30" s="79">
        <f t="shared" ref="B30:B35" si="7">WEEKNUM(A30, 2)</f>
        <v>38</v>
      </c>
      <c r="C30" s="71"/>
      <c r="D30" s="71"/>
      <c r="E30" s="72"/>
      <c r="F30" s="73"/>
      <c r="G30" s="73"/>
      <c r="H30" s="73">
        <f>SUM(F30:G30)</f>
        <v>0</v>
      </c>
    </row>
    <row r="31" spans="1:27" ht="15.75" customHeight="1" x14ac:dyDescent="0.25">
      <c r="A31" s="70">
        <f>A30+1</f>
        <v>46280</v>
      </c>
      <c r="B31" s="79">
        <f t="shared" si="7"/>
        <v>38</v>
      </c>
      <c r="C31" s="71"/>
      <c r="D31" s="71"/>
      <c r="E31" s="74"/>
      <c r="F31" s="73"/>
      <c r="G31" s="73"/>
      <c r="H31" s="73">
        <f t="shared" ref="H31:H35" si="8">SUM(F31:G31)</f>
        <v>0</v>
      </c>
    </row>
    <row r="32" spans="1:27" ht="15.75" customHeight="1" x14ac:dyDescent="0.25">
      <c r="A32" s="70">
        <f t="shared" ref="A32:A36" si="9">A31+1</f>
        <v>46281</v>
      </c>
      <c r="B32" s="79">
        <f t="shared" si="7"/>
        <v>38</v>
      </c>
      <c r="C32" s="71"/>
      <c r="D32" s="71"/>
      <c r="E32" s="72"/>
      <c r="F32" s="73"/>
      <c r="G32" s="73"/>
      <c r="H32" s="73">
        <f t="shared" si="8"/>
        <v>0</v>
      </c>
    </row>
    <row r="33" spans="1:27" ht="15.75" customHeight="1" x14ac:dyDescent="0.25">
      <c r="A33" s="70">
        <f t="shared" si="9"/>
        <v>46282</v>
      </c>
      <c r="B33" s="79">
        <f t="shared" si="7"/>
        <v>38</v>
      </c>
      <c r="C33" s="71"/>
      <c r="D33" s="71"/>
      <c r="E33" s="74"/>
      <c r="F33" s="73"/>
      <c r="G33" s="73"/>
      <c r="H33" s="73">
        <f t="shared" si="8"/>
        <v>0</v>
      </c>
    </row>
    <row r="34" spans="1:27" ht="15.75" customHeight="1" x14ac:dyDescent="0.25">
      <c r="A34" s="70">
        <f t="shared" si="9"/>
        <v>46283</v>
      </c>
      <c r="B34" s="79">
        <f>WEEKNUM(A34, 2)</f>
        <v>38</v>
      </c>
      <c r="C34" s="71"/>
      <c r="D34" s="71"/>
      <c r="E34" s="72"/>
      <c r="F34" s="73"/>
      <c r="G34" s="73"/>
      <c r="H34" s="73">
        <f t="shared" si="8"/>
        <v>0</v>
      </c>
    </row>
    <row r="35" spans="1:27" ht="15.75" customHeight="1" x14ac:dyDescent="0.25">
      <c r="A35" s="70">
        <f t="shared" si="9"/>
        <v>46284</v>
      </c>
      <c r="B35" s="79">
        <f t="shared" si="7"/>
        <v>38</v>
      </c>
      <c r="C35" s="71"/>
      <c r="D35" s="71"/>
      <c r="E35" s="72"/>
      <c r="F35" s="73"/>
      <c r="G35" s="73"/>
      <c r="H35" s="73">
        <f t="shared" si="8"/>
        <v>0</v>
      </c>
    </row>
    <row r="36" spans="1:27" ht="15.75" customHeight="1" x14ac:dyDescent="0.25">
      <c r="A36" s="70">
        <f t="shared" si="9"/>
        <v>46285</v>
      </c>
      <c r="B36" s="79">
        <f>WEEKNUM(A36, 2)</f>
        <v>38</v>
      </c>
      <c r="C36" s="71"/>
      <c r="D36" s="71"/>
      <c r="E36" s="74"/>
      <c r="F36" s="73"/>
      <c r="G36" s="73"/>
      <c r="H36" s="73">
        <f>SUM(F36:G36)</f>
        <v>0</v>
      </c>
    </row>
    <row r="37" spans="1:27" s="28" customFormat="1" ht="15.75" customHeight="1" x14ac:dyDescent="0.2">
      <c r="A37" s="44" t="str">
        <f>"Total of Week "&amp;RIGHT(A27,2)+1</f>
        <v>Total of Week 38</v>
      </c>
      <c r="B37" s="80"/>
      <c r="C37" s="45"/>
      <c r="D37" s="45"/>
      <c r="E37" s="63"/>
      <c r="F37" s="46">
        <f ca="1">SUMIF($B:$E,RIGHT($A37,2),F:F)</f>
        <v>0</v>
      </c>
      <c r="G37" s="46">
        <f ca="1">SUMIF($B:$E,RIGHT($A37,2),G:G)</f>
        <v>0</v>
      </c>
      <c r="H37" s="47">
        <f ca="1">SUMIF($B:$E,RIGHT($A37,2),H:H)</f>
        <v>0</v>
      </c>
    </row>
    <row r="38" spans="1:27" ht="15.75" customHeight="1" x14ac:dyDescent="0.25">
      <c r="A38" s="22"/>
      <c r="B38" s="87"/>
      <c r="C38" s="5"/>
      <c r="D38" s="5"/>
      <c r="E38" s="65"/>
      <c r="F38" s="6"/>
      <c r="G38" s="5"/>
      <c r="H38" s="7"/>
    </row>
    <row r="39" spans="1:27" ht="15" x14ac:dyDescent="0.25">
      <c r="A39" s="40" t="s">
        <v>9</v>
      </c>
      <c r="B39" s="85" t="s">
        <v>31</v>
      </c>
      <c r="C39" s="41" t="s">
        <v>10</v>
      </c>
      <c r="D39" s="41" t="s">
        <v>11</v>
      </c>
      <c r="E39" s="42" t="s">
        <v>12</v>
      </c>
      <c r="F39" s="43" t="s">
        <v>13</v>
      </c>
      <c r="G39" s="42" t="s">
        <v>14</v>
      </c>
      <c r="H39" s="42" t="s">
        <v>15</v>
      </c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spans="1:27" ht="15.75" customHeight="1" x14ac:dyDescent="0.25">
      <c r="A40" s="70">
        <f>A36+1</f>
        <v>46286</v>
      </c>
      <c r="B40" s="79">
        <f t="shared" ref="B40:B43" si="10">WEEKNUM(A40, 2)</f>
        <v>39</v>
      </c>
      <c r="C40" s="71"/>
      <c r="D40" s="71"/>
      <c r="E40" s="72"/>
      <c r="F40" s="73"/>
      <c r="G40" s="73"/>
      <c r="H40" s="73">
        <f>SUM(F40:G40)</f>
        <v>0</v>
      </c>
    </row>
    <row r="41" spans="1:27" ht="15.75" customHeight="1" x14ac:dyDescent="0.25">
      <c r="A41" s="70">
        <f>A40+1</f>
        <v>46287</v>
      </c>
      <c r="B41" s="79">
        <f t="shared" si="10"/>
        <v>39</v>
      </c>
      <c r="C41" s="71"/>
      <c r="D41" s="71"/>
      <c r="E41" s="74"/>
      <c r="F41" s="73"/>
      <c r="G41" s="73"/>
      <c r="H41" s="73">
        <f t="shared" ref="H41:H44" si="11">SUM(F41:G41)</f>
        <v>0</v>
      </c>
    </row>
    <row r="42" spans="1:27" ht="15.75" customHeight="1" x14ac:dyDescent="0.25">
      <c r="A42" s="70">
        <f>A41+1</f>
        <v>46288</v>
      </c>
      <c r="B42" s="79">
        <f t="shared" si="10"/>
        <v>39</v>
      </c>
      <c r="C42" s="71"/>
      <c r="D42" s="71"/>
      <c r="E42" s="72"/>
      <c r="F42" s="73"/>
      <c r="G42" s="73"/>
      <c r="H42" s="73">
        <f t="shared" si="11"/>
        <v>0</v>
      </c>
    </row>
    <row r="43" spans="1:27" ht="15.75" customHeight="1" x14ac:dyDescent="0.25">
      <c r="A43" s="70">
        <f>A42+1</f>
        <v>46289</v>
      </c>
      <c r="B43" s="79">
        <f t="shared" si="10"/>
        <v>39</v>
      </c>
      <c r="C43" s="71"/>
      <c r="D43" s="71"/>
      <c r="E43" s="74"/>
      <c r="F43" s="73"/>
      <c r="G43" s="73"/>
      <c r="H43" s="73">
        <f t="shared" si="11"/>
        <v>0</v>
      </c>
    </row>
    <row r="44" spans="1:27" ht="15.75" customHeight="1" x14ac:dyDescent="0.25">
      <c r="A44" s="70">
        <f>A43+1</f>
        <v>46290</v>
      </c>
      <c r="B44" s="79">
        <f>WEEKNUM(A44, 2)</f>
        <v>39</v>
      </c>
      <c r="C44" s="71"/>
      <c r="D44" s="71"/>
      <c r="E44" s="72"/>
      <c r="F44" s="73"/>
      <c r="G44" s="73"/>
      <c r="H44" s="73">
        <f t="shared" si="11"/>
        <v>0</v>
      </c>
    </row>
    <row r="45" spans="1:27" ht="15.75" customHeight="1" x14ac:dyDescent="0.25">
      <c r="A45" s="70">
        <f t="shared" ref="A45:A46" si="12">A44+1</f>
        <v>46291</v>
      </c>
      <c r="B45" s="79">
        <f>WEEKNUM(A45, 2)</f>
        <v>39</v>
      </c>
      <c r="C45" s="71"/>
      <c r="D45" s="71"/>
      <c r="E45" s="74"/>
      <c r="F45" s="73"/>
      <c r="G45" s="73"/>
      <c r="H45" s="73">
        <f>SUM(F45:G45)</f>
        <v>0</v>
      </c>
    </row>
    <row r="46" spans="1:27" ht="15.75" customHeight="1" x14ac:dyDescent="0.25">
      <c r="A46" s="70">
        <f t="shared" si="12"/>
        <v>46292</v>
      </c>
      <c r="B46" s="79">
        <f t="shared" ref="B46:B52" si="13">WEEKNUM(A46, 2)</f>
        <v>39</v>
      </c>
      <c r="C46" s="71"/>
      <c r="D46" s="71"/>
      <c r="E46" s="72"/>
      <c r="F46" s="73"/>
      <c r="G46" s="73"/>
      <c r="H46" s="73">
        <f>SUM(F46:G46)</f>
        <v>0</v>
      </c>
    </row>
    <row r="47" spans="1:27" s="28" customFormat="1" ht="15.75" customHeight="1" x14ac:dyDescent="0.2">
      <c r="A47" s="44" t="str">
        <f>"Total of Week "&amp;RIGHT(A37,2)+1</f>
        <v>Total of Week 39</v>
      </c>
      <c r="B47" s="80"/>
      <c r="C47" s="45"/>
      <c r="D47" s="45"/>
      <c r="E47" s="63"/>
      <c r="F47" s="46">
        <f ca="1">SUMIF($B:$E,RIGHT($A47,2),F:F)</f>
        <v>0</v>
      </c>
      <c r="G47" s="46">
        <f ca="1">SUMIF($B:$E,RIGHT($A47,2),G:G)</f>
        <v>0</v>
      </c>
      <c r="H47" s="47">
        <f ca="1">SUMIF($B:$E,RIGHT($A47,2),H:H)</f>
        <v>0</v>
      </c>
    </row>
    <row r="48" spans="1:27" ht="15.75" customHeight="1" x14ac:dyDescent="0.25">
      <c r="A48" s="22"/>
      <c r="B48" s="87"/>
      <c r="C48" s="5"/>
      <c r="D48" s="5"/>
      <c r="E48" s="65"/>
      <c r="F48" s="6"/>
      <c r="G48" s="5"/>
      <c r="H48" s="7"/>
    </row>
    <row r="49" spans="1:27" ht="15" x14ac:dyDescent="0.25">
      <c r="A49" s="40" t="s">
        <v>9</v>
      </c>
      <c r="B49" s="85" t="s">
        <v>31</v>
      </c>
      <c r="C49" s="41" t="s">
        <v>10</v>
      </c>
      <c r="D49" s="41" t="s">
        <v>11</v>
      </c>
      <c r="E49" s="42" t="s">
        <v>12</v>
      </c>
      <c r="F49" s="43" t="s">
        <v>13</v>
      </c>
      <c r="G49" s="42" t="s">
        <v>14</v>
      </c>
      <c r="H49" s="42" t="s">
        <v>15</v>
      </c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spans="1:27" ht="15.75" customHeight="1" x14ac:dyDescent="0.25">
      <c r="A50" s="70">
        <f>A46+1</f>
        <v>46293</v>
      </c>
      <c r="B50" s="79">
        <f t="shared" si="13"/>
        <v>40</v>
      </c>
      <c r="C50" s="71"/>
      <c r="D50" s="71"/>
      <c r="E50" s="74"/>
      <c r="F50" s="73"/>
      <c r="G50" s="73"/>
      <c r="H50" s="73">
        <f t="shared" ref="H50" si="14">SUM(F50:G50)</f>
        <v>0</v>
      </c>
    </row>
    <row r="51" spans="1:27" ht="15.75" customHeight="1" x14ac:dyDescent="0.25">
      <c r="A51" s="70">
        <f>A50+1</f>
        <v>46294</v>
      </c>
      <c r="B51" s="79">
        <f>WEEKNUM(A51, 2)</f>
        <v>40</v>
      </c>
      <c r="C51" s="71"/>
      <c r="D51" s="71"/>
      <c r="E51" s="72"/>
      <c r="F51" s="73"/>
      <c r="G51" s="73"/>
      <c r="H51" s="73">
        <f>SUM(F51:G51)</f>
        <v>0</v>
      </c>
    </row>
    <row r="52" spans="1:27" ht="15.75" customHeight="1" x14ac:dyDescent="0.25">
      <c r="A52" s="70">
        <f t="shared" ref="A52" si="15">A51+1</f>
        <v>46295</v>
      </c>
      <c r="B52" s="79">
        <f t="shared" si="13"/>
        <v>40</v>
      </c>
      <c r="C52" s="71"/>
      <c r="D52" s="71"/>
      <c r="E52" s="74" t="s">
        <v>44</v>
      </c>
      <c r="F52" s="73"/>
      <c r="G52" s="73"/>
      <c r="H52" s="73">
        <f t="shared" ref="H52" si="16">SUM(F52:G52)</f>
        <v>0</v>
      </c>
    </row>
    <row r="53" spans="1:27" s="28" customFormat="1" ht="15.75" customHeight="1" x14ac:dyDescent="0.2">
      <c r="A53" s="44" t="str">
        <f>"Total of Week "&amp;RIGHT(A47,2)+1</f>
        <v>Total of Week 40</v>
      </c>
      <c r="B53" s="80"/>
      <c r="C53" s="45"/>
      <c r="D53" s="45"/>
      <c r="E53" s="63"/>
      <c r="F53" s="46">
        <f ca="1">SUMIF($B:$E,RIGHT($A53,2),F:F)</f>
        <v>0</v>
      </c>
      <c r="G53" s="46">
        <f ca="1">SUMIF($B:$E,RIGHT($A53,2),G:G)</f>
        <v>0</v>
      </c>
      <c r="H53" s="47">
        <f ca="1">SUMIF($B:$E,RIGHT($A53,2),H:H)</f>
        <v>0</v>
      </c>
    </row>
    <row r="54" spans="1:27" ht="12" customHeight="1" x14ac:dyDescent="0.25">
      <c r="A54" s="23"/>
      <c r="B54" s="84"/>
      <c r="C54" s="8"/>
      <c r="D54" s="8"/>
      <c r="E54" s="66"/>
      <c r="F54" s="9"/>
      <c r="G54" s="9"/>
      <c r="H54" s="10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 ht="15.75" customHeight="1" x14ac:dyDescent="0.25">
      <c r="A55" s="24" t="s">
        <v>16</v>
      </c>
      <c r="B55" s="88"/>
      <c r="C55" s="11"/>
      <c r="D55" s="11"/>
      <c r="E55" s="67"/>
      <c r="F55" s="12"/>
      <c r="G55" s="11"/>
      <c r="H55" s="13">
        <f ca="1">SUMIF(A7:A54,"*Total of week*",H7:H54)</f>
        <v>0</v>
      </c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1:27" ht="15.75" customHeight="1" x14ac:dyDescent="0.25">
      <c r="E56" s="4"/>
      <c r="F56" s="15"/>
      <c r="O56" s="3"/>
      <c r="P56" s="3"/>
      <c r="R56" s="3"/>
    </row>
    <row r="57" spans="1:27" ht="15.75" customHeight="1" x14ac:dyDescent="0.25">
      <c r="E57" s="4"/>
      <c r="F57" s="15"/>
      <c r="O57" s="3"/>
    </row>
    <row r="58" spans="1:27" ht="15.75" customHeight="1" x14ac:dyDescent="0.25">
      <c r="A58" s="26"/>
      <c r="B58" s="90"/>
      <c r="C58" s="17"/>
      <c r="D58" s="16"/>
      <c r="E58" s="4"/>
      <c r="F58" s="15"/>
    </row>
    <row r="59" spans="1:27" ht="15.75" customHeight="1" x14ac:dyDescent="0.25">
      <c r="A59" s="26"/>
      <c r="B59" s="90"/>
      <c r="C59" s="16"/>
      <c r="D59" s="16"/>
      <c r="E59" s="68"/>
      <c r="F59" s="18"/>
      <c r="G59" s="16"/>
      <c r="H59" s="3"/>
    </row>
    <row r="60" spans="1:27" ht="15.75" customHeight="1" x14ac:dyDescent="0.25">
      <c r="A60" s="26"/>
      <c r="B60" s="90"/>
      <c r="C60" s="19"/>
      <c r="D60" s="19"/>
      <c r="E60" s="4"/>
      <c r="F60" s="15"/>
    </row>
    <row r="61" spans="1:27" s="28" customFormat="1" ht="15.75" customHeight="1" x14ac:dyDescent="0.25">
      <c r="A61" s="36"/>
      <c r="B61" s="86"/>
      <c r="C61" s="29"/>
      <c r="D61" s="29"/>
      <c r="E61" s="64"/>
      <c r="F61" s="33"/>
      <c r="G61" s="34"/>
      <c r="H61" s="35"/>
    </row>
    <row r="62" spans="1:27" ht="15.75" customHeight="1" x14ac:dyDescent="0.25">
      <c r="C62" s="20"/>
      <c r="D62" s="20"/>
      <c r="E62" s="4"/>
      <c r="F62" s="15"/>
    </row>
    <row r="63" spans="1:27" ht="15.75" customHeight="1" x14ac:dyDescent="0.25">
      <c r="A63" s="26"/>
      <c r="B63" s="90"/>
      <c r="C63" s="19"/>
      <c r="D63" s="19"/>
      <c r="E63" s="4"/>
      <c r="F63" s="15"/>
    </row>
    <row r="64" spans="1:27" ht="15.75" customHeight="1" x14ac:dyDescent="0.25">
      <c r="A64" s="26"/>
      <c r="B64" s="90"/>
      <c r="C64" s="19"/>
      <c r="D64" s="19"/>
      <c r="E64" s="4"/>
      <c r="F64" s="15"/>
    </row>
    <row r="65" spans="2:27" ht="15.75" customHeight="1" x14ac:dyDescent="0.2"/>
    <row r="66" spans="2:27" ht="15.75" customHeight="1" x14ac:dyDescent="0.2"/>
    <row r="67" spans="2:27" ht="15.75" customHeight="1" x14ac:dyDescent="0.2"/>
    <row r="68" spans="2:27" ht="15.75" customHeight="1" x14ac:dyDescent="0.2"/>
    <row r="69" spans="2:27" ht="15.75" customHeight="1" x14ac:dyDescent="0.2"/>
    <row r="70" spans="2:27" ht="15.75" customHeight="1" x14ac:dyDescent="0.2"/>
    <row r="71" spans="2:27" ht="15.75" customHeight="1" x14ac:dyDescent="0.2"/>
    <row r="72" spans="2:27" ht="15.75" customHeight="1" x14ac:dyDescent="0.2"/>
    <row r="73" spans="2:27" ht="15.75" customHeight="1" x14ac:dyDescent="0.2"/>
    <row r="74" spans="2:27" ht="15.75" customHeight="1" x14ac:dyDescent="0.2"/>
    <row r="75" spans="2:27" ht="15.75" customHeight="1" x14ac:dyDescent="0.2"/>
    <row r="76" spans="2:27" ht="15.75" customHeight="1" x14ac:dyDescent="0.2"/>
    <row r="77" spans="2:27" ht="15.75" customHeight="1" x14ac:dyDescent="0.2"/>
    <row r="78" spans="2:27" ht="15.75" customHeight="1" x14ac:dyDescent="0.2"/>
    <row r="79" spans="2:27" ht="15.75" customHeight="1" x14ac:dyDescent="0.2"/>
    <row r="80" spans="2:27" s="25" customFormat="1" ht="15.75" customHeight="1" x14ac:dyDescent="0.2">
      <c r="B80" s="89"/>
      <c r="C80"/>
      <c r="D80"/>
      <c r="E80" s="69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</row>
    <row r="81" spans="2:27" s="25" customFormat="1" ht="15.75" customHeight="1" x14ac:dyDescent="0.2">
      <c r="B81" s="89"/>
      <c r="C81"/>
      <c r="D81"/>
      <c r="E81" s="69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</row>
    <row r="82" spans="2:27" s="25" customFormat="1" ht="15.75" customHeight="1" x14ac:dyDescent="0.2">
      <c r="B82" s="89"/>
      <c r="C82"/>
      <c r="D82"/>
      <c r="E82" s="69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2:27" s="25" customFormat="1" ht="15.75" customHeight="1" x14ac:dyDescent="0.2">
      <c r="B83" s="89"/>
      <c r="C83"/>
      <c r="D83"/>
      <c r="E83" s="69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</row>
    <row r="84" spans="2:27" s="25" customFormat="1" ht="15.75" customHeight="1" x14ac:dyDescent="0.2">
      <c r="B84" s="89"/>
      <c r="C84"/>
      <c r="D84"/>
      <c r="E84" s="69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</row>
    <row r="85" spans="2:27" s="25" customFormat="1" ht="15.75" customHeight="1" x14ac:dyDescent="0.2">
      <c r="B85" s="89"/>
      <c r="C85"/>
      <c r="D85"/>
      <c r="E85" s="69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</row>
    <row r="86" spans="2:27" s="25" customFormat="1" ht="15.75" customHeight="1" x14ac:dyDescent="0.2">
      <c r="B86" s="89"/>
      <c r="C86"/>
      <c r="D86"/>
      <c r="E86" s="69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</row>
    <row r="87" spans="2:27" s="25" customFormat="1" ht="15.75" customHeight="1" x14ac:dyDescent="0.2">
      <c r="B87" s="89"/>
      <c r="C87"/>
      <c r="D87"/>
      <c r="E87" s="69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</row>
    <row r="88" spans="2:27" s="25" customFormat="1" ht="15.75" customHeight="1" x14ac:dyDescent="0.2">
      <c r="B88" s="89"/>
      <c r="C88"/>
      <c r="D88"/>
      <c r="E88" s="69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</row>
    <row r="89" spans="2:27" s="25" customFormat="1" ht="15.75" customHeight="1" x14ac:dyDescent="0.2">
      <c r="B89" s="89"/>
      <c r="C89"/>
      <c r="D89"/>
      <c r="E89" s="6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</row>
    <row r="90" spans="2:27" s="25" customFormat="1" ht="15.75" customHeight="1" x14ac:dyDescent="0.2">
      <c r="B90" s="89"/>
      <c r="C90"/>
      <c r="D90"/>
      <c r="E90" s="69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2:27" s="25" customFormat="1" ht="15.75" customHeight="1" x14ac:dyDescent="0.2">
      <c r="B91" s="89"/>
      <c r="C91"/>
      <c r="D91"/>
      <c r="E91" s="69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</row>
    <row r="92" spans="2:27" s="25" customFormat="1" ht="15.75" customHeight="1" x14ac:dyDescent="0.2">
      <c r="B92" s="89"/>
      <c r="C92"/>
      <c r="D92"/>
      <c r="E92" s="69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2:27" s="25" customFormat="1" ht="15.75" customHeight="1" x14ac:dyDescent="0.2">
      <c r="B93" s="89"/>
      <c r="C93"/>
      <c r="D93"/>
      <c r="E93" s="69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</row>
    <row r="94" spans="2:27" s="25" customFormat="1" ht="15.75" customHeight="1" x14ac:dyDescent="0.2">
      <c r="B94" s="89"/>
      <c r="C94"/>
      <c r="D94"/>
      <c r="E94" s="69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</row>
    <row r="95" spans="2:27" s="25" customFormat="1" ht="15.75" customHeight="1" x14ac:dyDescent="0.2">
      <c r="B95" s="89"/>
      <c r="C95"/>
      <c r="D95"/>
      <c r="E95" s="69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</row>
    <row r="96" spans="2:27" s="25" customFormat="1" ht="15.75" customHeight="1" x14ac:dyDescent="0.2">
      <c r="B96" s="89"/>
      <c r="C96"/>
      <c r="D96"/>
      <c r="E96" s="69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</row>
    <row r="97" spans="2:27" s="25" customFormat="1" ht="15.75" customHeight="1" x14ac:dyDescent="0.2">
      <c r="B97" s="89"/>
      <c r="C97"/>
      <c r="D97"/>
      <c r="E97" s="69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</row>
    <row r="98" spans="2:27" s="25" customFormat="1" ht="15.75" customHeight="1" x14ac:dyDescent="0.2">
      <c r="B98" s="89"/>
      <c r="C98"/>
      <c r="D98"/>
      <c r="E98" s="69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</row>
    <row r="99" spans="2:27" s="25" customFormat="1" ht="15.75" customHeight="1" x14ac:dyDescent="0.2">
      <c r="B99" s="89"/>
      <c r="C99"/>
      <c r="D99"/>
      <c r="E99" s="6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</row>
    <row r="100" spans="2:27" s="25" customFormat="1" ht="15.75" customHeight="1" x14ac:dyDescent="0.2">
      <c r="B100" s="89"/>
      <c r="C100"/>
      <c r="D100"/>
      <c r="E100" s="69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</row>
    <row r="101" spans="2:27" s="25" customFormat="1" ht="15.75" customHeight="1" x14ac:dyDescent="0.2">
      <c r="B101" s="89"/>
      <c r="C101"/>
      <c r="D101"/>
      <c r="E101" s="69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</row>
    <row r="102" spans="2:27" s="25" customFormat="1" ht="15.75" customHeight="1" x14ac:dyDescent="0.2">
      <c r="B102" s="89"/>
      <c r="C102"/>
      <c r="D102"/>
      <c r="E102" s="69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2:27" s="25" customFormat="1" ht="15.75" customHeight="1" x14ac:dyDescent="0.2">
      <c r="B103" s="89"/>
      <c r="C103"/>
      <c r="D103"/>
      <c r="E103" s="69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</row>
    <row r="104" spans="2:27" s="25" customFormat="1" ht="15.75" customHeight="1" x14ac:dyDescent="0.2">
      <c r="B104" s="89"/>
      <c r="C104"/>
      <c r="D104"/>
      <c r="E104" s="69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</row>
    <row r="105" spans="2:27" s="25" customFormat="1" ht="15.75" customHeight="1" x14ac:dyDescent="0.2">
      <c r="B105" s="89"/>
      <c r="C105"/>
      <c r="D105"/>
      <c r="E105" s="69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</row>
    <row r="106" spans="2:27" s="25" customFormat="1" ht="15.75" customHeight="1" x14ac:dyDescent="0.2">
      <c r="B106" s="89"/>
      <c r="C106"/>
      <c r="D106"/>
      <c r="E106" s="69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</row>
    <row r="107" spans="2:27" s="25" customFormat="1" ht="15.75" customHeight="1" x14ac:dyDescent="0.2">
      <c r="B107" s="89"/>
      <c r="C107"/>
      <c r="D107"/>
      <c r="E107" s="69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</row>
    <row r="108" spans="2:27" s="25" customFormat="1" ht="15.75" customHeight="1" x14ac:dyDescent="0.2">
      <c r="B108" s="89"/>
      <c r="C108"/>
      <c r="D108"/>
      <c r="E108" s="69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</row>
    <row r="109" spans="2:27" s="25" customFormat="1" ht="15.75" customHeight="1" x14ac:dyDescent="0.2">
      <c r="B109" s="89"/>
      <c r="C109"/>
      <c r="D109"/>
      <c r="E109" s="6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</row>
    <row r="110" spans="2:27" s="25" customFormat="1" ht="15.75" customHeight="1" x14ac:dyDescent="0.2">
      <c r="B110" s="89"/>
      <c r="C110"/>
      <c r="D110"/>
      <c r="E110" s="69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</row>
    <row r="111" spans="2:27" s="25" customFormat="1" ht="15.75" customHeight="1" x14ac:dyDescent="0.2">
      <c r="B111" s="89"/>
      <c r="C111"/>
      <c r="D111"/>
      <c r="E111" s="69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2:27" s="25" customFormat="1" ht="15.75" customHeight="1" x14ac:dyDescent="0.2">
      <c r="B112" s="89"/>
      <c r="C112"/>
      <c r="D112"/>
      <c r="E112" s="69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</row>
    <row r="113" spans="2:27" s="25" customFormat="1" ht="15.75" customHeight="1" x14ac:dyDescent="0.2">
      <c r="B113" s="89"/>
      <c r="C113"/>
      <c r="D113"/>
      <c r="E113" s="69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</row>
    <row r="114" spans="2:27" s="25" customFormat="1" ht="15.75" customHeight="1" x14ac:dyDescent="0.2">
      <c r="B114" s="89"/>
      <c r="C114"/>
      <c r="D114"/>
      <c r="E114" s="69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2:27" s="25" customFormat="1" ht="15.75" customHeight="1" x14ac:dyDescent="0.2">
      <c r="B115" s="89"/>
      <c r="C115"/>
      <c r="D115"/>
      <c r="E115" s="69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</row>
    <row r="116" spans="2:27" s="25" customFormat="1" ht="15.75" customHeight="1" x14ac:dyDescent="0.2">
      <c r="B116" s="89"/>
      <c r="C116"/>
      <c r="D116"/>
      <c r="E116" s="69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</row>
    <row r="117" spans="2:27" s="25" customFormat="1" ht="15.75" customHeight="1" x14ac:dyDescent="0.2">
      <c r="B117" s="89"/>
      <c r="C117"/>
      <c r="D117"/>
      <c r="E117" s="69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</row>
    <row r="118" spans="2:27" s="25" customFormat="1" ht="15.75" customHeight="1" x14ac:dyDescent="0.2">
      <c r="B118" s="89"/>
      <c r="C118"/>
      <c r="D118"/>
      <c r="E118" s="69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</row>
    <row r="119" spans="2:27" s="25" customFormat="1" ht="15.75" customHeight="1" x14ac:dyDescent="0.2">
      <c r="B119" s="89"/>
      <c r="C119"/>
      <c r="D119"/>
      <c r="E119" s="6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</row>
    <row r="120" spans="2:27" s="25" customFormat="1" ht="15.75" customHeight="1" x14ac:dyDescent="0.2">
      <c r="B120" s="89"/>
      <c r="C120"/>
      <c r="D120"/>
      <c r="E120" s="69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</row>
    <row r="121" spans="2:27" s="25" customFormat="1" ht="15.75" customHeight="1" x14ac:dyDescent="0.2">
      <c r="B121" s="89"/>
      <c r="C121"/>
      <c r="D121"/>
      <c r="E121" s="69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</row>
    <row r="122" spans="2:27" s="25" customFormat="1" ht="15.75" customHeight="1" x14ac:dyDescent="0.2">
      <c r="B122" s="89"/>
      <c r="C122"/>
      <c r="D122"/>
      <c r="E122" s="69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</row>
    <row r="123" spans="2:27" s="25" customFormat="1" ht="15.75" customHeight="1" x14ac:dyDescent="0.2">
      <c r="B123" s="89"/>
      <c r="C123"/>
      <c r="D123"/>
      <c r="E123" s="69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2:27" s="25" customFormat="1" ht="15.75" customHeight="1" x14ac:dyDescent="0.2">
      <c r="B124" s="89"/>
      <c r="C124"/>
      <c r="D124"/>
      <c r="E124" s="69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</row>
    <row r="125" spans="2:27" s="25" customFormat="1" ht="15.75" customHeight="1" x14ac:dyDescent="0.2">
      <c r="B125" s="89"/>
      <c r="C125"/>
      <c r="D125"/>
      <c r="E125" s="69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</row>
    <row r="126" spans="2:27" s="25" customFormat="1" ht="15.75" customHeight="1" x14ac:dyDescent="0.2">
      <c r="B126" s="89"/>
      <c r="C126"/>
      <c r="D126"/>
      <c r="E126" s="69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</row>
    <row r="127" spans="2:27" s="25" customFormat="1" ht="15.75" customHeight="1" x14ac:dyDescent="0.2">
      <c r="B127" s="89"/>
      <c r="C127"/>
      <c r="D127"/>
      <c r="E127" s="69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</row>
    <row r="128" spans="2:27" s="25" customFormat="1" ht="15.75" customHeight="1" x14ac:dyDescent="0.2">
      <c r="B128" s="89"/>
      <c r="C128"/>
      <c r="D128"/>
      <c r="E128" s="69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</row>
    <row r="129" spans="2:27" s="25" customFormat="1" ht="15.75" customHeight="1" x14ac:dyDescent="0.2">
      <c r="B129" s="89"/>
      <c r="C129"/>
      <c r="D129"/>
      <c r="E129" s="6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</row>
    <row r="130" spans="2:27" s="25" customFormat="1" ht="15.75" customHeight="1" x14ac:dyDescent="0.2">
      <c r="B130" s="89"/>
      <c r="C130"/>
      <c r="D130"/>
      <c r="E130" s="69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</row>
    <row r="131" spans="2:27" s="25" customFormat="1" ht="15.75" customHeight="1" x14ac:dyDescent="0.2">
      <c r="B131" s="89"/>
      <c r="C131"/>
      <c r="D131"/>
      <c r="E131" s="69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</row>
    <row r="132" spans="2:27" s="25" customFormat="1" ht="15.75" customHeight="1" x14ac:dyDescent="0.2">
      <c r="B132" s="89"/>
      <c r="C132"/>
      <c r="D132"/>
      <c r="E132" s="69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</row>
    <row r="133" spans="2:27" s="25" customFormat="1" ht="15.75" customHeight="1" x14ac:dyDescent="0.2">
      <c r="B133" s="89"/>
      <c r="C133"/>
      <c r="D133"/>
      <c r="E133" s="69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</row>
    <row r="134" spans="2:27" s="25" customFormat="1" ht="15.75" customHeight="1" x14ac:dyDescent="0.2">
      <c r="B134" s="89"/>
      <c r="C134"/>
      <c r="D134"/>
      <c r="E134" s="69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</row>
    <row r="135" spans="2:27" s="25" customFormat="1" ht="15.75" customHeight="1" x14ac:dyDescent="0.2">
      <c r="B135" s="89"/>
      <c r="C135"/>
      <c r="D135"/>
      <c r="E135" s="69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</row>
    <row r="136" spans="2:27" s="25" customFormat="1" ht="15.75" customHeight="1" x14ac:dyDescent="0.2">
      <c r="B136" s="89"/>
      <c r="C136"/>
      <c r="D136"/>
      <c r="E136" s="69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</row>
    <row r="137" spans="2:27" s="25" customFormat="1" ht="15.75" customHeight="1" x14ac:dyDescent="0.2">
      <c r="B137" s="89"/>
      <c r="C137"/>
      <c r="D137"/>
      <c r="E137" s="69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</row>
    <row r="138" spans="2:27" s="25" customFormat="1" ht="15.75" customHeight="1" x14ac:dyDescent="0.2">
      <c r="B138" s="89"/>
      <c r="C138"/>
      <c r="D138"/>
      <c r="E138" s="69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</row>
    <row r="139" spans="2:27" s="25" customFormat="1" ht="15.75" customHeight="1" x14ac:dyDescent="0.2">
      <c r="B139" s="89"/>
      <c r="C139"/>
      <c r="D139"/>
      <c r="E139" s="6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</row>
    <row r="140" spans="2:27" s="25" customFormat="1" ht="15.75" customHeight="1" x14ac:dyDescent="0.2">
      <c r="B140" s="89"/>
      <c r="C140"/>
      <c r="D140"/>
      <c r="E140" s="69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</row>
    <row r="141" spans="2:27" s="25" customFormat="1" ht="15.75" customHeight="1" x14ac:dyDescent="0.2">
      <c r="B141" s="89"/>
      <c r="C141"/>
      <c r="D141"/>
      <c r="E141" s="69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</row>
    <row r="142" spans="2:27" s="25" customFormat="1" ht="15.75" customHeight="1" x14ac:dyDescent="0.2">
      <c r="B142" s="89"/>
      <c r="C142"/>
      <c r="D142"/>
      <c r="E142" s="69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</row>
    <row r="143" spans="2:27" s="25" customFormat="1" ht="15.75" customHeight="1" x14ac:dyDescent="0.2">
      <c r="B143" s="89"/>
      <c r="C143"/>
      <c r="D143"/>
      <c r="E143" s="69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</row>
    <row r="144" spans="2:27" s="25" customFormat="1" ht="15.75" customHeight="1" x14ac:dyDescent="0.2">
      <c r="B144" s="89"/>
      <c r="C144"/>
      <c r="D144"/>
      <c r="E144" s="69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</row>
    <row r="145" spans="2:27" s="25" customFormat="1" ht="15.75" customHeight="1" x14ac:dyDescent="0.2">
      <c r="B145" s="89"/>
      <c r="C145"/>
      <c r="D145"/>
      <c r="E145" s="69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</row>
    <row r="146" spans="2:27" s="25" customFormat="1" ht="15.75" customHeight="1" x14ac:dyDescent="0.2">
      <c r="B146" s="89"/>
      <c r="C146"/>
      <c r="D146"/>
      <c r="E146" s="69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</row>
    <row r="147" spans="2:27" s="25" customFormat="1" ht="15.75" customHeight="1" x14ac:dyDescent="0.2">
      <c r="B147" s="89"/>
      <c r="C147"/>
      <c r="D147"/>
      <c r="E147" s="69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</row>
    <row r="148" spans="2:27" s="25" customFormat="1" ht="15.75" customHeight="1" x14ac:dyDescent="0.2">
      <c r="B148" s="89"/>
      <c r="C148"/>
      <c r="D148"/>
      <c r="E148" s="69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</row>
    <row r="149" spans="2:27" s="25" customFormat="1" ht="15.75" customHeight="1" x14ac:dyDescent="0.2">
      <c r="B149" s="89"/>
      <c r="C149"/>
      <c r="D149"/>
      <c r="E149" s="6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</row>
    <row r="150" spans="2:27" s="25" customFormat="1" ht="15.75" customHeight="1" x14ac:dyDescent="0.2">
      <c r="B150" s="89"/>
      <c r="C150"/>
      <c r="D150"/>
      <c r="E150" s="69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</row>
    <row r="151" spans="2:27" s="25" customFormat="1" ht="15.75" customHeight="1" x14ac:dyDescent="0.2">
      <c r="B151" s="89"/>
      <c r="C151"/>
      <c r="D151"/>
      <c r="E151" s="69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</row>
    <row r="152" spans="2:27" s="25" customFormat="1" ht="15.75" customHeight="1" x14ac:dyDescent="0.2">
      <c r="B152" s="89"/>
      <c r="C152"/>
      <c r="D152"/>
      <c r="E152" s="69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</row>
    <row r="153" spans="2:27" s="25" customFormat="1" ht="15.75" customHeight="1" x14ac:dyDescent="0.2">
      <c r="B153" s="89"/>
      <c r="C153"/>
      <c r="D153"/>
      <c r="E153" s="69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</row>
    <row r="154" spans="2:27" s="25" customFormat="1" ht="15.75" customHeight="1" x14ac:dyDescent="0.2">
      <c r="B154" s="89"/>
      <c r="C154"/>
      <c r="D154"/>
      <c r="E154" s="69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</row>
    <row r="155" spans="2:27" s="25" customFormat="1" ht="15.75" customHeight="1" x14ac:dyDescent="0.2">
      <c r="B155" s="89"/>
      <c r="C155"/>
      <c r="D155"/>
      <c r="E155" s="69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</row>
    <row r="156" spans="2:27" s="25" customFormat="1" ht="15.75" customHeight="1" x14ac:dyDescent="0.2">
      <c r="B156" s="89"/>
      <c r="C156"/>
      <c r="D156"/>
      <c r="E156" s="69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</row>
    <row r="157" spans="2:27" s="25" customFormat="1" ht="15.75" customHeight="1" x14ac:dyDescent="0.2">
      <c r="B157" s="89"/>
      <c r="C157"/>
      <c r="D157"/>
      <c r="E157" s="69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</row>
    <row r="158" spans="2:27" s="25" customFormat="1" ht="15.75" customHeight="1" x14ac:dyDescent="0.2">
      <c r="B158" s="89"/>
      <c r="C158"/>
      <c r="D158"/>
      <c r="E158" s="69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</row>
    <row r="159" spans="2:27" s="25" customFormat="1" ht="15.75" customHeight="1" x14ac:dyDescent="0.2">
      <c r="B159" s="89"/>
      <c r="C159"/>
      <c r="D159"/>
      <c r="E159" s="6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</row>
    <row r="160" spans="2:27" s="25" customFormat="1" ht="15.75" customHeight="1" x14ac:dyDescent="0.2">
      <c r="B160" s="89"/>
      <c r="C160"/>
      <c r="D160"/>
      <c r="E160" s="69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</row>
    <row r="161" spans="2:27" s="25" customFormat="1" ht="15.75" customHeight="1" x14ac:dyDescent="0.2">
      <c r="B161" s="89"/>
      <c r="C161"/>
      <c r="D161"/>
      <c r="E161" s="69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</row>
    <row r="162" spans="2:27" s="25" customFormat="1" ht="15.75" customHeight="1" x14ac:dyDescent="0.2">
      <c r="B162" s="89"/>
      <c r="C162"/>
      <c r="D162"/>
      <c r="E162" s="69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</row>
    <row r="163" spans="2:27" s="25" customFormat="1" ht="15.75" customHeight="1" x14ac:dyDescent="0.2">
      <c r="B163" s="89"/>
      <c r="C163"/>
      <c r="D163"/>
      <c r="E163" s="69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</row>
    <row r="164" spans="2:27" s="25" customFormat="1" ht="15.75" customHeight="1" x14ac:dyDescent="0.2">
      <c r="B164" s="89"/>
      <c r="C164"/>
      <c r="D164"/>
      <c r="E164" s="69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</row>
    <row r="165" spans="2:27" s="25" customFormat="1" ht="15.75" customHeight="1" x14ac:dyDescent="0.2">
      <c r="B165" s="89"/>
      <c r="C165"/>
      <c r="D165"/>
      <c r="E165" s="69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</row>
    <row r="166" spans="2:27" s="25" customFormat="1" ht="15.75" customHeight="1" x14ac:dyDescent="0.2">
      <c r="B166" s="89"/>
      <c r="C166"/>
      <c r="D166"/>
      <c r="E166" s="69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</row>
    <row r="167" spans="2:27" s="25" customFormat="1" ht="15.75" customHeight="1" x14ac:dyDescent="0.2">
      <c r="B167" s="89"/>
      <c r="C167"/>
      <c r="D167"/>
      <c r="E167" s="69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</row>
    <row r="168" spans="2:27" s="25" customFormat="1" ht="15.75" customHeight="1" x14ac:dyDescent="0.2">
      <c r="B168" s="89"/>
      <c r="C168"/>
      <c r="D168"/>
      <c r="E168" s="69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</row>
    <row r="169" spans="2:27" s="25" customFormat="1" ht="15.75" customHeight="1" x14ac:dyDescent="0.2">
      <c r="B169" s="89"/>
      <c r="C169"/>
      <c r="D169"/>
      <c r="E169" s="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</row>
    <row r="170" spans="2:27" s="25" customFormat="1" ht="15.75" customHeight="1" x14ac:dyDescent="0.2">
      <c r="B170" s="89"/>
      <c r="C170"/>
      <c r="D170"/>
      <c r="E170" s="69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</row>
    <row r="171" spans="2:27" s="25" customFormat="1" ht="15.75" customHeight="1" x14ac:dyDescent="0.2">
      <c r="B171" s="89"/>
      <c r="C171"/>
      <c r="D171"/>
      <c r="E171" s="69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</row>
    <row r="172" spans="2:27" s="25" customFormat="1" ht="15.75" customHeight="1" x14ac:dyDescent="0.2">
      <c r="B172" s="89"/>
      <c r="C172"/>
      <c r="D172"/>
      <c r="E172" s="69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</row>
    <row r="173" spans="2:27" s="25" customFormat="1" ht="15.75" customHeight="1" x14ac:dyDescent="0.2">
      <c r="B173" s="89"/>
      <c r="C173"/>
      <c r="D173"/>
      <c r="E173" s="69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</row>
    <row r="174" spans="2:27" s="25" customFormat="1" ht="15.75" customHeight="1" x14ac:dyDescent="0.2">
      <c r="B174" s="89"/>
      <c r="C174"/>
      <c r="D174"/>
      <c r="E174" s="69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</row>
    <row r="175" spans="2:27" s="25" customFormat="1" ht="15.75" customHeight="1" x14ac:dyDescent="0.2">
      <c r="B175" s="89"/>
      <c r="C175"/>
      <c r="D175"/>
      <c r="E175" s="69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</row>
    <row r="176" spans="2:27" s="25" customFormat="1" ht="15.75" customHeight="1" x14ac:dyDescent="0.2">
      <c r="B176" s="89"/>
      <c r="C176"/>
      <c r="D176"/>
      <c r="E176" s="69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</row>
    <row r="177" spans="2:27" s="25" customFormat="1" ht="15.75" customHeight="1" x14ac:dyDescent="0.2">
      <c r="B177" s="89"/>
      <c r="C177"/>
      <c r="D177"/>
      <c r="E177" s="69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</row>
    <row r="178" spans="2:27" s="25" customFormat="1" ht="15.75" customHeight="1" x14ac:dyDescent="0.2">
      <c r="B178" s="89"/>
      <c r="C178"/>
      <c r="D178"/>
      <c r="E178" s="69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</row>
    <row r="179" spans="2:27" s="25" customFormat="1" ht="15.75" customHeight="1" x14ac:dyDescent="0.2">
      <c r="B179" s="89"/>
      <c r="C179"/>
      <c r="D179"/>
      <c r="E179" s="6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</row>
    <row r="180" spans="2:27" s="25" customFormat="1" ht="15.75" customHeight="1" x14ac:dyDescent="0.2">
      <c r="B180" s="89"/>
      <c r="C180"/>
      <c r="D180"/>
      <c r="E180" s="69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</row>
    <row r="181" spans="2:27" s="25" customFormat="1" ht="15.75" customHeight="1" x14ac:dyDescent="0.2">
      <c r="B181" s="89"/>
      <c r="C181"/>
      <c r="D181"/>
      <c r="E181" s="69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</row>
    <row r="182" spans="2:27" s="25" customFormat="1" ht="15.75" customHeight="1" x14ac:dyDescent="0.2">
      <c r="B182" s="89"/>
      <c r="C182"/>
      <c r="D182"/>
      <c r="E182" s="69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</row>
    <row r="183" spans="2:27" s="25" customFormat="1" ht="15.75" customHeight="1" x14ac:dyDescent="0.2">
      <c r="B183" s="89"/>
      <c r="C183"/>
      <c r="D183"/>
      <c r="E183" s="69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</row>
    <row r="184" spans="2:27" s="25" customFormat="1" ht="15.75" customHeight="1" x14ac:dyDescent="0.2">
      <c r="B184" s="89"/>
      <c r="C184"/>
      <c r="D184"/>
      <c r="E184" s="69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</row>
    <row r="185" spans="2:27" s="25" customFormat="1" ht="15.75" customHeight="1" x14ac:dyDescent="0.2">
      <c r="B185" s="89"/>
      <c r="C185"/>
      <c r="D185"/>
      <c r="E185" s="69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</row>
    <row r="186" spans="2:27" s="25" customFormat="1" ht="15.75" customHeight="1" x14ac:dyDescent="0.2">
      <c r="B186" s="89"/>
      <c r="C186"/>
      <c r="D186"/>
      <c r="E186" s="69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</row>
    <row r="187" spans="2:27" s="25" customFormat="1" ht="15.75" customHeight="1" x14ac:dyDescent="0.2">
      <c r="B187" s="89"/>
      <c r="C187"/>
      <c r="D187"/>
      <c r="E187" s="69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</row>
    <row r="188" spans="2:27" s="25" customFormat="1" ht="15.75" customHeight="1" x14ac:dyDescent="0.2">
      <c r="B188" s="89"/>
      <c r="C188"/>
      <c r="D188"/>
      <c r="E188" s="69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</row>
    <row r="189" spans="2:27" s="25" customFormat="1" ht="15.75" customHeight="1" x14ac:dyDescent="0.2">
      <c r="B189" s="89"/>
      <c r="C189"/>
      <c r="D189"/>
      <c r="E189" s="6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</row>
    <row r="190" spans="2:27" s="25" customFormat="1" ht="15.75" customHeight="1" x14ac:dyDescent="0.2">
      <c r="B190" s="89"/>
      <c r="C190"/>
      <c r="D190"/>
      <c r="E190" s="69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</row>
    <row r="191" spans="2:27" s="25" customFormat="1" ht="15.75" customHeight="1" x14ac:dyDescent="0.2">
      <c r="B191" s="89"/>
      <c r="C191"/>
      <c r="D191"/>
      <c r="E191" s="69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</row>
    <row r="192" spans="2:27" s="25" customFormat="1" ht="15.75" customHeight="1" x14ac:dyDescent="0.2">
      <c r="B192" s="89"/>
      <c r="C192"/>
      <c r="D192"/>
      <c r="E192" s="69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</row>
    <row r="193" spans="2:27" s="25" customFormat="1" ht="15.75" customHeight="1" x14ac:dyDescent="0.2">
      <c r="B193" s="89"/>
      <c r="C193"/>
      <c r="D193"/>
      <c r="E193" s="69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</row>
    <row r="194" spans="2:27" s="25" customFormat="1" ht="15.75" customHeight="1" x14ac:dyDescent="0.2">
      <c r="B194" s="89"/>
      <c r="C194"/>
      <c r="D194"/>
      <c r="E194" s="69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</row>
    <row r="195" spans="2:27" s="25" customFormat="1" ht="15.75" customHeight="1" x14ac:dyDescent="0.2">
      <c r="B195" s="89"/>
      <c r="C195"/>
      <c r="D195"/>
      <c r="E195" s="69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</row>
    <row r="196" spans="2:27" s="25" customFormat="1" ht="15.75" customHeight="1" x14ac:dyDescent="0.2">
      <c r="B196" s="89"/>
      <c r="C196"/>
      <c r="D196"/>
      <c r="E196" s="69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</row>
    <row r="197" spans="2:27" s="25" customFormat="1" ht="15.75" customHeight="1" x14ac:dyDescent="0.2">
      <c r="B197" s="89"/>
      <c r="C197"/>
      <c r="D197"/>
      <c r="E197" s="69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</row>
    <row r="198" spans="2:27" s="25" customFormat="1" ht="15.75" customHeight="1" x14ac:dyDescent="0.2">
      <c r="B198" s="89"/>
      <c r="C198"/>
      <c r="D198"/>
      <c r="E198" s="69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</row>
    <row r="199" spans="2:27" s="25" customFormat="1" ht="15.75" customHeight="1" x14ac:dyDescent="0.2">
      <c r="B199" s="89"/>
      <c r="C199"/>
      <c r="D199"/>
      <c r="E199" s="6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</row>
    <row r="200" spans="2:27" s="25" customFormat="1" ht="15.75" customHeight="1" x14ac:dyDescent="0.2">
      <c r="B200" s="89"/>
      <c r="C200"/>
      <c r="D200"/>
      <c r="E200" s="69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</row>
    <row r="201" spans="2:27" s="25" customFormat="1" ht="15.75" customHeight="1" x14ac:dyDescent="0.2">
      <c r="B201" s="89"/>
      <c r="C201"/>
      <c r="D201"/>
      <c r="E201" s="69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</row>
    <row r="202" spans="2:27" s="25" customFormat="1" ht="15.75" customHeight="1" x14ac:dyDescent="0.2">
      <c r="B202" s="89"/>
      <c r="C202"/>
      <c r="D202"/>
      <c r="E202" s="69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</row>
    <row r="203" spans="2:27" s="25" customFormat="1" ht="15.75" customHeight="1" x14ac:dyDescent="0.2">
      <c r="B203" s="89"/>
      <c r="C203"/>
      <c r="D203"/>
      <c r="E203" s="69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</row>
    <row r="204" spans="2:27" s="25" customFormat="1" ht="15.75" customHeight="1" x14ac:dyDescent="0.2">
      <c r="B204" s="89"/>
      <c r="C204"/>
      <c r="D204"/>
      <c r="E204" s="69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</row>
    <row r="205" spans="2:27" s="25" customFormat="1" ht="15.75" customHeight="1" x14ac:dyDescent="0.2">
      <c r="B205" s="89"/>
      <c r="C205"/>
      <c r="D205"/>
      <c r="E205" s="69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</row>
    <row r="206" spans="2:27" s="25" customFormat="1" ht="15.75" customHeight="1" x14ac:dyDescent="0.2">
      <c r="B206" s="89"/>
      <c r="C206"/>
      <c r="D206"/>
      <c r="E206" s="69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</row>
    <row r="207" spans="2:27" s="25" customFormat="1" ht="15.75" customHeight="1" x14ac:dyDescent="0.2">
      <c r="B207" s="89"/>
      <c r="C207"/>
      <c r="D207"/>
      <c r="E207" s="69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</row>
    <row r="208" spans="2:27" s="25" customFormat="1" ht="15.75" customHeight="1" x14ac:dyDescent="0.2">
      <c r="B208" s="89"/>
      <c r="C208"/>
      <c r="D208"/>
      <c r="E208" s="69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</row>
    <row r="209" spans="2:27" s="25" customFormat="1" ht="15.75" customHeight="1" x14ac:dyDescent="0.2">
      <c r="B209" s="89"/>
      <c r="C209"/>
      <c r="D209"/>
      <c r="E209" s="6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</row>
    <row r="210" spans="2:27" s="25" customFormat="1" ht="15.75" customHeight="1" x14ac:dyDescent="0.2">
      <c r="B210" s="89"/>
      <c r="C210"/>
      <c r="D210"/>
      <c r="E210" s="69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</row>
    <row r="211" spans="2:27" s="25" customFormat="1" ht="15.75" customHeight="1" x14ac:dyDescent="0.2">
      <c r="B211" s="89"/>
      <c r="C211"/>
      <c r="D211"/>
      <c r="E211" s="69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</row>
    <row r="212" spans="2:27" s="25" customFormat="1" ht="15.75" customHeight="1" x14ac:dyDescent="0.2">
      <c r="B212" s="89"/>
      <c r="C212"/>
      <c r="D212"/>
      <c r="E212" s="69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</row>
    <row r="213" spans="2:27" s="25" customFormat="1" ht="15.75" customHeight="1" x14ac:dyDescent="0.2">
      <c r="B213" s="89"/>
      <c r="C213"/>
      <c r="D213"/>
      <c r="E213" s="69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</row>
    <row r="214" spans="2:27" s="25" customFormat="1" ht="15.75" customHeight="1" x14ac:dyDescent="0.2">
      <c r="B214" s="89"/>
      <c r="C214"/>
      <c r="D214"/>
      <c r="E214" s="69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</row>
    <row r="215" spans="2:27" s="25" customFormat="1" ht="15.75" customHeight="1" x14ac:dyDescent="0.2">
      <c r="B215" s="89"/>
      <c r="C215"/>
      <c r="D215"/>
      <c r="E215" s="69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</row>
    <row r="216" spans="2:27" s="25" customFormat="1" ht="15.75" customHeight="1" x14ac:dyDescent="0.2">
      <c r="B216" s="89"/>
      <c r="C216"/>
      <c r="D216"/>
      <c r="E216" s="69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</row>
    <row r="217" spans="2:27" s="25" customFormat="1" ht="15.75" customHeight="1" x14ac:dyDescent="0.2">
      <c r="B217" s="89"/>
      <c r="C217"/>
      <c r="D217"/>
      <c r="E217" s="69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</row>
    <row r="218" spans="2:27" s="25" customFormat="1" ht="15.75" customHeight="1" x14ac:dyDescent="0.2">
      <c r="B218" s="89"/>
      <c r="C218"/>
      <c r="D218"/>
      <c r="E218" s="69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</row>
    <row r="219" spans="2:27" s="25" customFormat="1" ht="15.75" customHeight="1" x14ac:dyDescent="0.2">
      <c r="B219" s="89"/>
      <c r="C219"/>
      <c r="D219"/>
      <c r="E219" s="6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</row>
    <row r="220" spans="2:27" s="25" customFormat="1" ht="15.75" customHeight="1" x14ac:dyDescent="0.2">
      <c r="B220" s="89"/>
      <c r="C220"/>
      <c r="D220"/>
      <c r="E220" s="69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</row>
    <row r="221" spans="2:27" s="25" customFormat="1" ht="15.75" customHeight="1" x14ac:dyDescent="0.2">
      <c r="B221" s="89"/>
      <c r="C221"/>
      <c r="D221"/>
      <c r="E221" s="69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</row>
    <row r="222" spans="2:27" s="25" customFormat="1" ht="15.75" customHeight="1" x14ac:dyDescent="0.2">
      <c r="B222" s="89"/>
      <c r="C222"/>
      <c r="D222"/>
      <c r="E222" s="69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</row>
    <row r="223" spans="2:27" s="25" customFormat="1" ht="15.75" customHeight="1" x14ac:dyDescent="0.2">
      <c r="B223" s="89"/>
      <c r="C223"/>
      <c r="D223"/>
      <c r="E223" s="69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</row>
    <row r="224" spans="2:27" s="25" customFormat="1" ht="15.75" customHeight="1" x14ac:dyDescent="0.2">
      <c r="B224" s="89"/>
      <c r="C224"/>
      <c r="D224"/>
      <c r="E224" s="69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</row>
    <row r="225" spans="2:27" s="25" customFormat="1" ht="15.75" customHeight="1" x14ac:dyDescent="0.2">
      <c r="B225" s="89"/>
      <c r="C225"/>
      <c r="D225"/>
      <c r="E225" s="69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</row>
    <row r="226" spans="2:27" s="25" customFormat="1" ht="15.75" customHeight="1" x14ac:dyDescent="0.2">
      <c r="B226" s="89"/>
      <c r="C226"/>
      <c r="D226"/>
      <c r="E226" s="69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</row>
    <row r="227" spans="2:27" s="25" customFormat="1" ht="15.75" customHeight="1" x14ac:dyDescent="0.2">
      <c r="B227" s="89"/>
      <c r="C227"/>
      <c r="D227"/>
      <c r="E227" s="69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</row>
    <row r="228" spans="2:27" s="25" customFormat="1" ht="15.75" customHeight="1" x14ac:dyDescent="0.2">
      <c r="B228" s="89"/>
      <c r="C228"/>
      <c r="D228"/>
      <c r="E228" s="69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</row>
    <row r="229" spans="2:27" s="25" customFormat="1" ht="15.75" customHeight="1" x14ac:dyDescent="0.2">
      <c r="B229" s="89"/>
      <c r="C229"/>
      <c r="D229"/>
      <c r="E229" s="6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</row>
    <row r="230" spans="2:27" s="25" customFormat="1" ht="15.75" customHeight="1" x14ac:dyDescent="0.2">
      <c r="B230" s="89"/>
      <c r="C230"/>
      <c r="D230"/>
      <c r="E230" s="69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</row>
    <row r="231" spans="2:27" s="25" customFormat="1" ht="15.75" customHeight="1" x14ac:dyDescent="0.2">
      <c r="B231" s="89"/>
      <c r="C231"/>
      <c r="D231"/>
      <c r="E231" s="69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</row>
    <row r="232" spans="2:27" s="25" customFormat="1" ht="15.75" customHeight="1" x14ac:dyDescent="0.2">
      <c r="B232" s="89"/>
      <c r="C232"/>
      <c r="D232"/>
      <c r="E232" s="69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</row>
    <row r="233" spans="2:27" s="25" customFormat="1" ht="15.75" customHeight="1" x14ac:dyDescent="0.2">
      <c r="B233" s="89"/>
      <c r="C233"/>
      <c r="D233"/>
      <c r="E233" s="69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</row>
    <row r="234" spans="2:27" s="25" customFormat="1" ht="15.75" customHeight="1" x14ac:dyDescent="0.2">
      <c r="B234" s="89"/>
      <c r="C234"/>
      <c r="D234"/>
      <c r="E234" s="69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</row>
    <row r="235" spans="2:27" s="25" customFormat="1" ht="15.75" customHeight="1" x14ac:dyDescent="0.2">
      <c r="B235" s="89"/>
      <c r="C235"/>
      <c r="D235"/>
      <c r="E235" s="69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</row>
    <row r="236" spans="2:27" s="25" customFormat="1" ht="15.75" customHeight="1" x14ac:dyDescent="0.2">
      <c r="B236" s="89"/>
      <c r="C236"/>
      <c r="D236"/>
      <c r="E236" s="69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</row>
    <row r="237" spans="2:27" s="25" customFormat="1" ht="15.75" customHeight="1" x14ac:dyDescent="0.2">
      <c r="B237" s="89"/>
      <c r="C237"/>
      <c r="D237"/>
      <c r="E237" s="69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</row>
    <row r="238" spans="2:27" s="25" customFormat="1" ht="15.75" customHeight="1" x14ac:dyDescent="0.2">
      <c r="B238" s="89"/>
      <c r="C238"/>
      <c r="D238"/>
      <c r="E238" s="69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</row>
    <row r="239" spans="2:27" s="25" customFormat="1" ht="15.75" customHeight="1" x14ac:dyDescent="0.2">
      <c r="B239" s="89"/>
      <c r="C239"/>
      <c r="D239"/>
      <c r="E239" s="6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</row>
    <row r="240" spans="2:27" s="25" customFormat="1" ht="15.75" customHeight="1" x14ac:dyDescent="0.2">
      <c r="B240" s="89"/>
      <c r="C240"/>
      <c r="D240"/>
      <c r="E240" s="69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</row>
    <row r="241" spans="2:27" s="25" customFormat="1" ht="15.75" customHeight="1" x14ac:dyDescent="0.2">
      <c r="B241" s="89"/>
      <c r="C241"/>
      <c r="D241"/>
      <c r="E241" s="69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</row>
    <row r="242" spans="2:27" s="25" customFormat="1" ht="15.75" customHeight="1" x14ac:dyDescent="0.2">
      <c r="B242" s="89"/>
      <c r="C242"/>
      <c r="D242"/>
      <c r="E242" s="69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</row>
    <row r="243" spans="2:27" s="25" customFormat="1" ht="15.75" customHeight="1" x14ac:dyDescent="0.2">
      <c r="B243" s="89"/>
      <c r="C243"/>
      <c r="D243"/>
      <c r="E243" s="69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</row>
    <row r="244" spans="2:27" s="25" customFormat="1" ht="15.75" customHeight="1" x14ac:dyDescent="0.2">
      <c r="B244" s="89"/>
      <c r="C244"/>
      <c r="D244"/>
      <c r="E244" s="69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</row>
    <row r="245" spans="2:27" s="25" customFormat="1" ht="15.75" customHeight="1" x14ac:dyDescent="0.2">
      <c r="B245" s="89"/>
      <c r="C245"/>
      <c r="D245"/>
      <c r="E245" s="69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</row>
    <row r="246" spans="2:27" s="25" customFormat="1" ht="15.75" customHeight="1" x14ac:dyDescent="0.2">
      <c r="B246" s="89"/>
      <c r="C246"/>
      <c r="D246"/>
      <c r="E246" s="69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</row>
    <row r="247" spans="2:27" s="25" customFormat="1" ht="15.75" customHeight="1" x14ac:dyDescent="0.2">
      <c r="B247" s="89"/>
      <c r="C247"/>
      <c r="D247"/>
      <c r="E247" s="69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</row>
    <row r="248" spans="2:27" s="25" customFormat="1" ht="15.75" customHeight="1" x14ac:dyDescent="0.2">
      <c r="B248" s="89"/>
      <c r="C248"/>
      <c r="D248"/>
      <c r="E248" s="69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</row>
    <row r="249" spans="2:27" s="25" customFormat="1" ht="15.75" customHeight="1" x14ac:dyDescent="0.2">
      <c r="B249" s="89"/>
      <c r="C249"/>
      <c r="D249"/>
      <c r="E249" s="6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</row>
    <row r="250" spans="2:27" s="25" customFormat="1" ht="15.75" customHeight="1" x14ac:dyDescent="0.2">
      <c r="B250" s="89"/>
      <c r="C250"/>
      <c r="D250"/>
      <c r="E250" s="69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</row>
    <row r="251" spans="2:27" s="25" customFormat="1" ht="15.75" customHeight="1" x14ac:dyDescent="0.2">
      <c r="B251" s="89"/>
      <c r="C251"/>
      <c r="D251"/>
      <c r="E251" s="69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</row>
    <row r="252" spans="2:27" s="25" customFormat="1" ht="15.75" customHeight="1" x14ac:dyDescent="0.2">
      <c r="B252" s="89"/>
      <c r="C252"/>
      <c r="D252"/>
      <c r="E252" s="69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</row>
    <row r="253" spans="2:27" s="25" customFormat="1" ht="15.75" customHeight="1" x14ac:dyDescent="0.2">
      <c r="B253" s="89"/>
      <c r="C253"/>
      <c r="D253"/>
      <c r="E253" s="69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</row>
    <row r="254" spans="2:27" s="25" customFormat="1" ht="15.75" customHeight="1" x14ac:dyDescent="0.2">
      <c r="B254" s="89"/>
      <c r="C254"/>
      <c r="D254"/>
      <c r="E254" s="69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</row>
    <row r="255" spans="2:27" s="25" customFormat="1" ht="15.75" customHeight="1" x14ac:dyDescent="0.2">
      <c r="B255" s="89"/>
      <c r="C255"/>
      <c r="D255"/>
      <c r="E255" s="69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</row>
    <row r="256" spans="2:27" s="25" customFormat="1" ht="15.75" customHeight="1" x14ac:dyDescent="0.2">
      <c r="B256" s="89"/>
      <c r="C256"/>
      <c r="D256"/>
      <c r="E256" s="69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</row>
    <row r="257" spans="2:27" s="25" customFormat="1" ht="15.75" customHeight="1" x14ac:dyDescent="0.2">
      <c r="B257" s="89"/>
      <c r="C257"/>
      <c r="D257"/>
      <c r="E257" s="69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</row>
    <row r="258" spans="2:27" s="25" customFormat="1" ht="15.75" customHeight="1" x14ac:dyDescent="0.2">
      <c r="B258" s="89"/>
      <c r="C258"/>
      <c r="D258"/>
      <c r="E258" s="69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</row>
    <row r="259" spans="2:27" s="25" customFormat="1" ht="15.75" customHeight="1" x14ac:dyDescent="0.2">
      <c r="B259" s="89"/>
      <c r="C259"/>
      <c r="D259"/>
      <c r="E259" s="6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</row>
    <row r="260" spans="2:27" s="25" customFormat="1" ht="15.75" customHeight="1" x14ac:dyDescent="0.2">
      <c r="B260" s="89"/>
      <c r="C260"/>
      <c r="D260"/>
      <c r="E260" s="69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</row>
    <row r="261" spans="2:27" s="25" customFormat="1" ht="15.75" customHeight="1" x14ac:dyDescent="0.2">
      <c r="B261" s="89"/>
      <c r="C261"/>
      <c r="D261"/>
      <c r="E261" s="69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</row>
    <row r="262" spans="2:27" s="25" customFormat="1" ht="15.75" customHeight="1" x14ac:dyDescent="0.2">
      <c r="B262" s="89"/>
      <c r="C262"/>
      <c r="D262"/>
      <c r="E262" s="69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</row>
    <row r="263" spans="2:27" s="25" customFormat="1" ht="15.75" customHeight="1" x14ac:dyDescent="0.2">
      <c r="B263" s="89"/>
      <c r="C263"/>
      <c r="D263"/>
      <c r="E263" s="69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</row>
    <row r="264" spans="2:27" s="25" customFormat="1" ht="15.75" customHeight="1" x14ac:dyDescent="0.2">
      <c r="B264" s="89"/>
      <c r="C264"/>
      <c r="D264"/>
      <c r="E264" s="69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</row>
    <row r="265" spans="2:27" s="25" customFormat="1" ht="15.75" customHeight="1" x14ac:dyDescent="0.2">
      <c r="B265" s="89"/>
      <c r="C265"/>
      <c r="D265"/>
      <c r="E265" s="69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</row>
    <row r="266" spans="2:27" s="25" customFormat="1" ht="15.75" customHeight="1" x14ac:dyDescent="0.2">
      <c r="B266" s="89"/>
      <c r="C266"/>
      <c r="D266"/>
      <c r="E266" s="69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</row>
    <row r="267" spans="2:27" s="25" customFormat="1" ht="15.75" customHeight="1" x14ac:dyDescent="0.2">
      <c r="B267" s="89"/>
      <c r="C267"/>
      <c r="D267"/>
      <c r="E267" s="69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</row>
    <row r="268" spans="2:27" s="25" customFormat="1" ht="15.75" customHeight="1" x14ac:dyDescent="0.2">
      <c r="B268" s="89"/>
      <c r="C268"/>
      <c r="D268"/>
      <c r="E268" s="69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</row>
    <row r="269" spans="2:27" s="25" customFormat="1" ht="15.75" customHeight="1" x14ac:dyDescent="0.2">
      <c r="B269" s="89"/>
      <c r="C269"/>
      <c r="D269"/>
      <c r="E269" s="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</row>
    <row r="270" spans="2:27" s="25" customFormat="1" ht="15.75" customHeight="1" x14ac:dyDescent="0.2">
      <c r="B270" s="89"/>
      <c r="C270"/>
      <c r="D270"/>
      <c r="E270" s="69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</row>
    <row r="271" spans="2:27" s="25" customFormat="1" ht="15.75" customHeight="1" x14ac:dyDescent="0.2">
      <c r="B271" s="89"/>
      <c r="C271"/>
      <c r="D271"/>
      <c r="E271" s="69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</row>
    <row r="272" spans="2:27" s="25" customFormat="1" ht="15.75" customHeight="1" x14ac:dyDescent="0.2">
      <c r="B272" s="89"/>
      <c r="C272"/>
      <c r="D272"/>
      <c r="E272" s="69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</row>
    <row r="273" spans="2:27" s="25" customFormat="1" ht="15.75" customHeight="1" x14ac:dyDescent="0.2">
      <c r="B273" s="89"/>
      <c r="C273"/>
      <c r="D273"/>
      <c r="E273" s="69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</row>
    <row r="274" spans="2:27" s="25" customFormat="1" ht="15.75" customHeight="1" x14ac:dyDescent="0.2">
      <c r="B274" s="89"/>
      <c r="C274"/>
      <c r="D274"/>
      <c r="E274" s="69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</row>
    <row r="275" spans="2:27" s="25" customFormat="1" ht="15.75" customHeight="1" x14ac:dyDescent="0.2">
      <c r="B275" s="89"/>
      <c r="C275"/>
      <c r="D275"/>
      <c r="E275" s="69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</row>
    <row r="276" spans="2:27" s="25" customFormat="1" ht="15.75" customHeight="1" x14ac:dyDescent="0.2">
      <c r="B276" s="89"/>
      <c r="C276"/>
      <c r="D276"/>
      <c r="E276" s="69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</row>
    <row r="277" spans="2:27" s="25" customFormat="1" ht="15.75" customHeight="1" x14ac:dyDescent="0.2">
      <c r="B277" s="89"/>
      <c r="C277"/>
      <c r="D277"/>
      <c r="E277" s="69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</row>
    <row r="278" spans="2:27" s="25" customFormat="1" ht="15.75" customHeight="1" x14ac:dyDescent="0.2">
      <c r="B278" s="89"/>
      <c r="C278"/>
      <c r="D278"/>
      <c r="E278" s="69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</row>
    <row r="279" spans="2:27" s="25" customFormat="1" ht="15.75" customHeight="1" x14ac:dyDescent="0.2">
      <c r="B279" s="89"/>
      <c r="C279"/>
      <c r="D279"/>
      <c r="E279" s="6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</row>
    <row r="280" spans="2:27" s="25" customFormat="1" ht="15.75" customHeight="1" x14ac:dyDescent="0.2">
      <c r="B280" s="89"/>
      <c r="C280"/>
      <c r="D280"/>
      <c r="E280" s="69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</row>
    <row r="281" spans="2:27" s="25" customFormat="1" ht="15.75" customHeight="1" x14ac:dyDescent="0.2">
      <c r="B281" s="89"/>
      <c r="C281"/>
      <c r="D281"/>
      <c r="E281" s="69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</row>
    <row r="282" spans="2:27" s="25" customFormat="1" ht="15.75" customHeight="1" x14ac:dyDescent="0.2">
      <c r="B282" s="89"/>
      <c r="C282"/>
      <c r="D282"/>
      <c r="E282" s="69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</row>
    <row r="283" spans="2:27" s="25" customFormat="1" ht="15.75" customHeight="1" x14ac:dyDescent="0.2">
      <c r="B283" s="89"/>
      <c r="C283"/>
      <c r="D283"/>
      <c r="E283" s="69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</row>
    <row r="284" spans="2:27" s="25" customFormat="1" ht="15.75" customHeight="1" x14ac:dyDescent="0.2">
      <c r="B284" s="89"/>
      <c r="C284"/>
      <c r="D284"/>
      <c r="E284" s="69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</row>
    <row r="285" spans="2:27" s="25" customFormat="1" ht="15.75" customHeight="1" x14ac:dyDescent="0.2">
      <c r="B285" s="89"/>
      <c r="C285"/>
      <c r="D285"/>
      <c r="E285" s="69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</row>
    <row r="286" spans="2:27" s="25" customFormat="1" ht="15.75" customHeight="1" x14ac:dyDescent="0.2">
      <c r="B286" s="89"/>
      <c r="C286"/>
      <c r="D286"/>
      <c r="E286" s="69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</row>
    <row r="287" spans="2:27" s="25" customFormat="1" ht="15.75" customHeight="1" x14ac:dyDescent="0.2">
      <c r="B287" s="89"/>
      <c r="C287"/>
      <c r="D287"/>
      <c r="E287" s="69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</row>
    <row r="288" spans="2:27" s="25" customFormat="1" ht="15.75" customHeight="1" x14ac:dyDescent="0.2">
      <c r="B288" s="89"/>
      <c r="C288"/>
      <c r="D288"/>
      <c r="E288" s="69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</row>
    <row r="289" spans="2:27" s="25" customFormat="1" ht="15.75" customHeight="1" x14ac:dyDescent="0.2">
      <c r="B289" s="89"/>
      <c r="C289"/>
      <c r="D289"/>
      <c r="E289" s="6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</row>
    <row r="290" spans="2:27" s="25" customFormat="1" ht="15.75" customHeight="1" x14ac:dyDescent="0.2">
      <c r="B290" s="89"/>
      <c r="C290"/>
      <c r="D290"/>
      <c r="E290" s="69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</row>
    <row r="291" spans="2:27" s="25" customFormat="1" ht="15.75" customHeight="1" x14ac:dyDescent="0.2">
      <c r="B291" s="89"/>
      <c r="C291"/>
      <c r="D291"/>
      <c r="E291" s="69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</row>
    <row r="292" spans="2:27" s="25" customFormat="1" ht="15.75" customHeight="1" x14ac:dyDescent="0.2">
      <c r="B292" s="89"/>
      <c r="C292"/>
      <c r="D292"/>
      <c r="E292" s="69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</row>
    <row r="293" spans="2:27" s="25" customFormat="1" ht="15.75" customHeight="1" x14ac:dyDescent="0.2">
      <c r="B293" s="89"/>
      <c r="C293"/>
      <c r="D293"/>
      <c r="E293" s="69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</row>
    <row r="294" spans="2:27" s="25" customFormat="1" ht="15.75" customHeight="1" x14ac:dyDescent="0.2">
      <c r="B294" s="89"/>
      <c r="C294"/>
      <c r="D294"/>
      <c r="E294" s="69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</row>
    <row r="295" spans="2:27" s="25" customFormat="1" ht="15.75" customHeight="1" x14ac:dyDescent="0.2">
      <c r="B295" s="89"/>
      <c r="C295"/>
      <c r="D295"/>
      <c r="E295" s="69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</row>
    <row r="296" spans="2:27" s="25" customFormat="1" ht="15.75" customHeight="1" x14ac:dyDescent="0.2">
      <c r="B296" s="89"/>
      <c r="C296"/>
      <c r="D296"/>
      <c r="E296" s="69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</row>
    <row r="297" spans="2:27" s="25" customFormat="1" ht="15.75" customHeight="1" x14ac:dyDescent="0.2">
      <c r="B297" s="89"/>
      <c r="C297"/>
      <c r="D297"/>
      <c r="E297" s="69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</row>
    <row r="298" spans="2:27" s="25" customFormat="1" ht="15.75" customHeight="1" x14ac:dyDescent="0.2">
      <c r="B298" s="89"/>
      <c r="C298"/>
      <c r="D298"/>
      <c r="E298" s="69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</row>
    <row r="299" spans="2:27" s="25" customFormat="1" ht="15.75" customHeight="1" x14ac:dyDescent="0.2">
      <c r="B299" s="89"/>
      <c r="C299"/>
      <c r="D299"/>
      <c r="E299" s="6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</row>
    <row r="300" spans="2:27" s="25" customFormat="1" ht="15.75" customHeight="1" x14ac:dyDescent="0.2">
      <c r="B300" s="89"/>
      <c r="C300"/>
      <c r="D300"/>
      <c r="E300" s="69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</row>
    <row r="301" spans="2:27" s="25" customFormat="1" ht="15.75" customHeight="1" x14ac:dyDescent="0.2">
      <c r="B301" s="89"/>
      <c r="C301"/>
      <c r="D301"/>
      <c r="E301" s="69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</row>
    <row r="302" spans="2:27" s="25" customFormat="1" ht="15.75" customHeight="1" x14ac:dyDescent="0.2">
      <c r="B302" s="89"/>
      <c r="C302"/>
      <c r="D302"/>
      <c r="E302" s="69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</row>
    <row r="303" spans="2:27" s="25" customFormat="1" ht="15.75" customHeight="1" x14ac:dyDescent="0.2">
      <c r="B303" s="89"/>
      <c r="C303"/>
      <c r="D303"/>
      <c r="E303" s="69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</row>
    <row r="304" spans="2:27" s="25" customFormat="1" ht="15.75" customHeight="1" x14ac:dyDescent="0.2">
      <c r="B304" s="89"/>
      <c r="C304"/>
      <c r="D304"/>
      <c r="E304" s="69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</row>
    <row r="305" spans="2:27" s="25" customFormat="1" ht="15.75" customHeight="1" x14ac:dyDescent="0.2">
      <c r="B305" s="89"/>
      <c r="C305"/>
      <c r="D305"/>
      <c r="E305" s="69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</row>
    <row r="306" spans="2:27" s="25" customFormat="1" ht="15.75" customHeight="1" x14ac:dyDescent="0.2">
      <c r="B306" s="89"/>
      <c r="C306"/>
      <c r="D306"/>
      <c r="E306" s="69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</row>
    <row r="307" spans="2:27" s="25" customFormat="1" ht="15.75" customHeight="1" x14ac:dyDescent="0.2">
      <c r="B307" s="89"/>
      <c r="C307"/>
      <c r="D307"/>
      <c r="E307" s="69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</row>
    <row r="308" spans="2:27" s="25" customFormat="1" ht="15.75" customHeight="1" x14ac:dyDescent="0.2">
      <c r="B308" s="89"/>
      <c r="C308"/>
      <c r="D308"/>
      <c r="E308" s="69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</row>
    <row r="309" spans="2:27" s="25" customFormat="1" ht="15.75" customHeight="1" x14ac:dyDescent="0.2">
      <c r="B309" s="89"/>
      <c r="C309"/>
      <c r="D309"/>
      <c r="E309" s="6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</row>
    <row r="310" spans="2:27" s="25" customFormat="1" ht="15.75" customHeight="1" x14ac:dyDescent="0.2">
      <c r="B310" s="89"/>
      <c r="C310"/>
      <c r="D310"/>
      <c r="E310" s="69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</row>
    <row r="311" spans="2:27" s="25" customFormat="1" ht="15.75" customHeight="1" x14ac:dyDescent="0.2">
      <c r="B311" s="89"/>
      <c r="C311"/>
      <c r="D311"/>
      <c r="E311" s="69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</row>
    <row r="312" spans="2:27" s="25" customFormat="1" ht="15.75" customHeight="1" x14ac:dyDescent="0.2">
      <c r="B312" s="89"/>
      <c r="C312"/>
      <c r="D312"/>
      <c r="E312" s="69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</row>
    <row r="313" spans="2:27" s="25" customFormat="1" ht="15.75" customHeight="1" x14ac:dyDescent="0.2">
      <c r="B313" s="89"/>
      <c r="C313"/>
      <c r="D313"/>
      <c r="E313" s="69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</row>
    <row r="314" spans="2:27" s="25" customFormat="1" ht="15.75" customHeight="1" x14ac:dyDescent="0.2">
      <c r="B314" s="89"/>
      <c r="C314"/>
      <c r="D314"/>
      <c r="E314" s="69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</row>
    <row r="315" spans="2:27" s="25" customFormat="1" ht="15.75" customHeight="1" x14ac:dyDescent="0.2">
      <c r="B315" s="89"/>
      <c r="C315"/>
      <c r="D315"/>
      <c r="E315" s="69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</row>
    <row r="316" spans="2:27" s="25" customFormat="1" ht="15.75" customHeight="1" x14ac:dyDescent="0.2">
      <c r="B316" s="89"/>
      <c r="C316"/>
      <c r="D316"/>
      <c r="E316" s="69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</row>
    <row r="317" spans="2:27" s="25" customFormat="1" ht="15.75" customHeight="1" x14ac:dyDescent="0.2">
      <c r="B317" s="89"/>
      <c r="C317"/>
      <c r="D317"/>
      <c r="E317" s="69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</row>
    <row r="318" spans="2:27" s="25" customFormat="1" ht="15.75" customHeight="1" x14ac:dyDescent="0.2">
      <c r="B318" s="89"/>
      <c r="C318"/>
      <c r="D318"/>
      <c r="E318" s="69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</row>
    <row r="319" spans="2:27" s="25" customFormat="1" ht="15.75" customHeight="1" x14ac:dyDescent="0.2">
      <c r="B319" s="89"/>
      <c r="C319"/>
      <c r="D319"/>
      <c r="E319" s="6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</row>
    <row r="320" spans="2:27" s="25" customFormat="1" ht="15.75" customHeight="1" x14ac:dyDescent="0.2">
      <c r="B320" s="89"/>
      <c r="C320"/>
      <c r="D320"/>
      <c r="E320" s="69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</row>
    <row r="321" spans="2:27" s="25" customFormat="1" ht="15.75" customHeight="1" x14ac:dyDescent="0.2">
      <c r="B321" s="89"/>
      <c r="C321"/>
      <c r="D321"/>
      <c r="E321" s="69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</row>
    <row r="322" spans="2:27" s="25" customFormat="1" ht="15.75" customHeight="1" x14ac:dyDescent="0.2">
      <c r="B322" s="89"/>
      <c r="C322"/>
      <c r="D322"/>
      <c r="E322" s="69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</row>
    <row r="323" spans="2:27" s="25" customFormat="1" ht="15.75" customHeight="1" x14ac:dyDescent="0.2">
      <c r="B323" s="89"/>
      <c r="C323"/>
      <c r="D323"/>
      <c r="E323" s="69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</row>
    <row r="324" spans="2:27" s="25" customFormat="1" ht="15.75" customHeight="1" x14ac:dyDescent="0.2">
      <c r="B324" s="89"/>
      <c r="C324"/>
      <c r="D324"/>
      <c r="E324" s="69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</row>
    <row r="325" spans="2:27" s="25" customFormat="1" ht="15.75" customHeight="1" x14ac:dyDescent="0.2">
      <c r="B325" s="89"/>
      <c r="C325"/>
      <c r="D325"/>
      <c r="E325" s="69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</row>
    <row r="326" spans="2:27" s="25" customFormat="1" ht="15.75" customHeight="1" x14ac:dyDescent="0.2">
      <c r="B326" s="89"/>
      <c r="C326"/>
      <c r="D326"/>
      <c r="E326" s="69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</row>
    <row r="327" spans="2:27" s="25" customFormat="1" ht="15.75" customHeight="1" x14ac:dyDescent="0.2">
      <c r="B327" s="89"/>
      <c r="C327"/>
      <c r="D327"/>
      <c r="E327" s="69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</row>
    <row r="328" spans="2:27" s="25" customFormat="1" ht="15.75" customHeight="1" x14ac:dyDescent="0.2">
      <c r="B328" s="89"/>
      <c r="C328"/>
      <c r="D328"/>
      <c r="E328" s="69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</row>
    <row r="329" spans="2:27" s="25" customFormat="1" ht="15.75" customHeight="1" x14ac:dyDescent="0.2">
      <c r="B329" s="89"/>
      <c r="C329"/>
      <c r="D329"/>
      <c r="E329" s="6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</row>
    <row r="330" spans="2:27" s="25" customFormat="1" ht="15.75" customHeight="1" x14ac:dyDescent="0.2">
      <c r="B330" s="89"/>
      <c r="C330"/>
      <c r="D330"/>
      <c r="E330" s="69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</row>
    <row r="331" spans="2:27" s="25" customFormat="1" ht="15.75" customHeight="1" x14ac:dyDescent="0.2">
      <c r="B331" s="89"/>
      <c r="C331"/>
      <c r="D331"/>
      <c r="E331" s="69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</row>
    <row r="332" spans="2:27" s="25" customFormat="1" ht="15.75" customHeight="1" x14ac:dyDescent="0.2">
      <c r="B332" s="89"/>
      <c r="C332"/>
      <c r="D332"/>
      <c r="E332" s="69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</row>
    <row r="333" spans="2:27" s="25" customFormat="1" ht="15.75" customHeight="1" x14ac:dyDescent="0.2">
      <c r="B333" s="89"/>
      <c r="C333"/>
      <c r="D333"/>
      <c r="E333" s="69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</row>
    <row r="334" spans="2:27" s="25" customFormat="1" ht="15.75" customHeight="1" x14ac:dyDescent="0.2">
      <c r="B334" s="89"/>
      <c r="C334"/>
      <c r="D334"/>
      <c r="E334" s="69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</row>
    <row r="335" spans="2:27" s="25" customFormat="1" ht="15.75" customHeight="1" x14ac:dyDescent="0.2">
      <c r="B335" s="89"/>
      <c r="C335"/>
      <c r="D335"/>
      <c r="E335" s="69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</row>
    <row r="336" spans="2:27" s="25" customFormat="1" ht="15.75" customHeight="1" x14ac:dyDescent="0.2">
      <c r="B336" s="89"/>
      <c r="C336"/>
      <c r="D336"/>
      <c r="E336" s="69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</row>
    <row r="337" spans="2:27" s="25" customFormat="1" ht="15.75" customHeight="1" x14ac:dyDescent="0.2">
      <c r="B337" s="89"/>
      <c r="C337"/>
      <c r="D337"/>
      <c r="E337" s="69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</row>
    <row r="338" spans="2:27" s="25" customFormat="1" ht="15.75" customHeight="1" x14ac:dyDescent="0.2">
      <c r="B338" s="89"/>
      <c r="C338"/>
      <c r="D338"/>
      <c r="E338" s="69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</row>
    <row r="339" spans="2:27" s="25" customFormat="1" ht="15.75" customHeight="1" x14ac:dyDescent="0.2">
      <c r="B339" s="89"/>
      <c r="C339"/>
      <c r="D339"/>
      <c r="E339" s="6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</row>
    <row r="340" spans="2:27" s="25" customFormat="1" ht="15.75" customHeight="1" x14ac:dyDescent="0.2">
      <c r="B340" s="89"/>
      <c r="C340"/>
      <c r="D340"/>
      <c r="E340" s="69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</row>
    <row r="341" spans="2:27" s="25" customFormat="1" ht="15.75" customHeight="1" x14ac:dyDescent="0.2">
      <c r="B341" s="89"/>
      <c r="C341"/>
      <c r="D341"/>
      <c r="E341" s="69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</row>
    <row r="342" spans="2:27" s="25" customFormat="1" ht="15.75" customHeight="1" x14ac:dyDescent="0.2">
      <c r="B342" s="89"/>
      <c r="C342"/>
      <c r="D342"/>
      <c r="E342" s="69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</row>
    <row r="343" spans="2:27" s="25" customFormat="1" ht="15.75" customHeight="1" x14ac:dyDescent="0.2">
      <c r="B343" s="89"/>
      <c r="C343"/>
      <c r="D343"/>
      <c r="E343" s="69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</row>
    <row r="344" spans="2:27" s="25" customFormat="1" ht="15.75" customHeight="1" x14ac:dyDescent="0.2">
      <c r="B344" s="89"/>
      <c r="C344"/>
      <c r="D344"/>
      <c r="E344" s="69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</row>
    <row r="345" spans="2:27" s="25" customFormat="1" ht="15.75" customHeight="1" x14ac:dyDescent="0.2">
      <c r="B345" s="89"/>
      <c r="C345"/>
      <c r="D345"/>
      <c r="E345" s="69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</row>
    <row r="346" spans="2:27" s="25" customFormat="1" ht="15.75" customHeight="1" x14ac:dyDescent="0.2">
      <c r="B346" s="89"/>
      <c r="C346"/>
      <c r="D346"/>
      <c r="E346" s="69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</row>
    <row r="347" spans="2:27" s="25" customFormat="1" ht="15.75" customHeight="1" x14ac:dyDescent="0.2">
      <c r="B347" s="89"/>
      <c r="C347"/>
      <c r="D347"/>
      <c r="E347" s="69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</row>
    <row r="348" spans="2:27" s="25" customFormat="1" ht="15.75" customHeight="1" x14ac:dyDescent="0.2">
      <c r="B348" s="89"/>
      <c r="C348"/>
      <c r="D348"/>
      <c r="E348" s="69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</row>
    <row r="349" spans="2:27" s="25" customFormat="1" ht="15.75" customHeight="1" x14ac:dyDescent="0.2">
      <c r="B349" s="89"/>
      <c r="C349"/>
      <c r="D349"/>
      <c r="E349" s="6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</row>
    <row r="350" spans="2:27" s="25" customFormat="1" ht="15.75" customHeight="1" x14ac:dyDescent="0.2">
      <c r="B350" s="89"/>
      <c r="C350"/>
      <c r="D350"/>
      <c r="E350" s="69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</row>
    <row r="351" spans="2:27" s="25" customFormat="1" ht="15.75" customHeight="1" x14ac:dyDescent="0.2">
      <c r="B351" s="89"/>
      <c r="C351"/>
      <c r="D351"/>
      <c r="E351" s="69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</row>
    <row r="352" spans="2:27" s="25" customFormat="1" ht="15.75" customHeight="1" x14ac:dyDescent="0.2">
      <c r="B352" s="89"/>
      <c r="C352"/>
      <c r="D352"/>
      <c r="E352" s="69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</row>
    <row r="353" spans="2:27" s="25" customFormat="1" ht="15.75" customHeight="1" x14ac:dyDescent="0.2">
      <c r="B353" s="89"/>
      <c r="C353"/>
      <c r="D353"/>
      <c r="E353" s="69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</row>
    <row r="354" spans="2:27" s="25" customFormat="1" ht="15.75" customHeight="1" x14ac:dyDescent="0.2">
      <c r="B354" s="89"/>
      <c r="C354"/>
      <c r="D354"/>
      <c r="E354" s="69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  <c r="AA354"/>
    </row>
    <row r="355" spans="2:27" s="25" customFormat="1" ht="15.75" customHeight="1" x14ac:dyDescent="0.2">
      <c r="B355" s="89"/>
      <c r="C355"/>
      <c r="D355"/>
      <c r="E355" s="69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</row>
    <row r="356" spans="2:27" s="25" customFormat="1" ht="15.75" customHeight="1" x14ac:dyDescent="0.2">
      <c r="B356" s="89"/>
      <c r="C356"/>
      <c r="D356"/>
      <c r="E356" s="69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</row>
    <row r="357" spans="2:27" s="25" customFormat="1" ht="15.75" customHeight="1" x14ac:dyDescent="0.2">
      <c r="B357" s="89"/>
      <c r="C357"/>
      <c r="D357"/>
      <c r="E357" s="69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</row>
    <row r="358" spans="2:27" s="25" customFormat="1" ht="15.75" customHeight="1" x14ac:dyDescent="0.2">
      <c r="B358" s="89"/>
      <c r="C358"/>
      <c r="D358"/>
      <c r="E358" s="69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</row>
    <row r="359" spans="2:27" s="25" customFormat="1" ht="15.75" customHeight="1" x14ac:dyDescent="0.2">
      <c r="B359" s="89"/>
      <c r="C359"/>
      <c r="D359"/>
      <c r="E359" s="6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</row>
    <row r="360" spans="2:27" s="25" customFormat="1" ht="15.75" customHeight="1" x14ac:dyDescent="0.2">
      <c r="B360" s="89"/>
      <c r="C360"/>
      <c r="D360"/>
      <c r="E360" s="69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</row>
    <row r="361" spans="2:27" s="25" customFormat="1" ht="15.75" customHeight="1" x14ac:dyDescent="0.2">
      <c r="B361" s="89"/>
      <c r="C361"/>
      <c r="D361"/>
      <c r="E361" s="69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</row>
    <row r="362" spans="2:27" s="25" customFormat="1" ht="15.75" customHeight="1" x14ac:dyDescent="0.2">
      <c r="B362" s="89"/>
      <c r="C362"/>
      <c r="D362"/>
      <c r="E362" s="69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</row>
    <row r="363" spans="2:27" s="25" customFormat="1" ht="15.75" customHeight="1" x14ac:dyDescent="0.2">
      <c r="B363" s="89"/>
      <c r="C363"/>
      <c r="D363"/>
      <c r="E363" s="69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</row>
    <row r="364" spans="2:27" s="25" customFormat="1" ht="15.75" customHeight="1" x14ac:dyDescent="0.2">
      <c r="B364" s="89"/>
      <c r="C364"/>
      <c r="D364"/>
      <c r="E364" s="69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</row>
    <row r="365" spans="2:27" s="25" customFormat="1" ht="15.75" customHeight="1" x14ac:dyDescent="0.2">
      <c r="B365" s="89"/>
      <c r="C365"/>
      <c r="D365"/>
      <c r="E365" s="69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</row>
    <row r="366" spans="2:27" s="25" customFormat="1" ht="15.75" customHeight="1" x14ac:dyDescent="0.2">
      <c r="B366" s="89"/>
      <c r="C366"/>
      <c r="D366"/>
      <c r="E366" s="69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</row>
    <row r="367" spans="2:27" s="25" customFormat="1" ht="15.75" customHeight="1" x14ac:dyDescent="0.2">
      <c r="B367" s="89"/>
      <c r="C367"/>
      <c r="D367"/>
      <c r="E367" s="69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</row>
    <row r="368" spans="2:27" s="25" customFormat="1" ht="15.75" customHeight="1" x14ac:dyDescent="0.2">
      <c r="B368" s="89"/>
      <c r="C368"/>
      <c r="D368"/>
      <c r="E368" s="69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</row>
    <row r="369" spans="2:27" s="25" customFormat="1" ht="15.75" customHeight="1" x14ac:dyDescent="0.2">
      <c r="B369" s="89"/>
      <c r="C369"/>
      <c r="D369"/>
      <c r="E369" s="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</row>
    <row r="370" spans="2:27" s="25" customFormat="1" ht="15.75" customHeight="1" x14ac:dyDescent="0.2">
      <c r="B370" s="89"/>
      <c r="C370"/>
      <c r="D370"/>
      <c r="E370" s="69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</row>
    <row r="371" spans="2:27" s="25" customFormat="1" ht="15.75" customHeight="1" x14ac:dyDescent="0.2">
      <c r="B371" s="89"/>
      <c r="C371"/>
      <c r="D371"/>
      <c r="E371" s="69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</row>
    <row r="372" spans="2:27" s="25" customFormat="1" ht="15.75" customHeight="1" x14ac:dyDescent="0.2">
      <c r="B372" s="89"/>
      <c r="C372"/>
      <c r="D372"/>
      <c r="E372" s="69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</row>
    <row r="373" spans="2:27" s="25" customFormat="1" ht="15.75" customHeight="1" x14ac:dyDescent="0.2">
      <c r="B373" s="89"/>
      <c r="C373"/>
      <c r="D373"/>
      <c r="E373" s="69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</row>
    <row r="374" spans="2:27" s="25" customFormat="1" ht="15.75" customHeight="1" x14ac:dyDescent="0.2">
      <c r="B374" s="89"/>
      <c r="C374"/>
      <c r="D374"/>
      <c r="E374" s="69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</row>
    <row r="375" spans="2:27" s="25" customFormat="1" ht="15.75" customHeight="1" x14ac:dyDescent="0.2">
      <c r="B375" s="89"/>
      <c r="C375"/>
      <c r="D375"/>
      <c r="E375" s="69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</row>
    <row r="376" spans="2:27" s="25" customFormat="1" ht="15.75" customHeight="1" x14ac:dyDescent="0.2">
      <c r="B376" s="89"/>
      <c r="C376"/>
      <c r="D376"/>
      <c r="E376" s="69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</row>
    <row r="377" spans="2:27" s="25" customFormat="1" ht="15.75" customHeight="1" x14ac:dyDescent="0.2">
      <c r="B377" s="89"/>
      <c r="C377"/>
      <c r="D377"/>
      <c r="E377" s="69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</row>
    <row r="378" spans="2:27" s="25" customFormat="1" ht="15.75" customHeight="1" x14ac:dyDescent="0.2">
      <c r="B378" s="89"/>
      <c r="C378"/>
      <c r="D378"/>
      <c r="E378" s="69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</row>
    <row r="379" spans="2:27" s="25" customFormat="1" ht="15.75" customHeight="1" x14ac:dyDescent="0.2">
      <c r="B379" s="89"/>
      <c r="C379"/>
      <c r="D379"/>
      <c r="E379" s="6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</row>
    <row r="380" spans="2:27" s="25" customFormat="1" ht="15.75" customHeight="1" x14ac:dyDescent="0.2">
      <c r="B380" s="89"/>
      <c r="C380"/>
      <c r="D380"/>
      <c r="E380" s="69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</row>
    <row r="381" spans="2:27" s="25" customFormat="1" ht="15.75" customHeight="1" x14ac:dyDescent="0.2">
      <c r="B381" s="89"/>
      <c r="C381"/>
      <c r="D381"/>
      <c r="E381" s="69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  <c r="AA381"/>
    </row>
    <row r="382" spans="2:27" s="25" customFormat="1" ht="15.75" customHeight="1" x14ac:dyDescent="0.2">
      <c r="B382" s="89"/>
      <c r="C382"/>
      <c r="D382"/>
      <c r="E382" s="69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  <c r="AA382"/>
    </row>
    <row r="383" spans="2:27" s="25" customFormat="1" ht="15.75" customHeight="1" x14ac:dyDescent="0.2">
      <c r="B383" s="89"/>
      <c r="C383"/>
      <c r="D383"/>
      <c r="E383" s="69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  <c r="AA383"/>
    </row>
    <row r="384" spans="2:27" s="25" customFormat="1" ht="15.75" customHeight="1" x14ac:dyDescent="0.2">
      <c r="B384" s="89"/>
      <c r="C384"/>
      <c r="D384"/>
      <c r="E384" s="69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</row>
    <row r="385" spans="2:27" s="25" customFormat="1" ht="15.75" customHeight="1" x14ac:dyDescent="0.2">
      <c r="B385" s="89"/>
      <c r="C385"/>
      <c r="D385"/>
      <c r="E385" s="69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  <c r="AA385"/>
    </row>
    <row r="386" spans="2:27" s="25" customFormat="1" ht="15.75" customHeight="1" x14ac:dyDescent="0.2">
      <c r="B386" s="89"/>
      <c r="C386"/>
      <c r="D386"/>
      <c r="E386" s="69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</row>
    <row r="387" spans="2:27" s="25" customFormat="1" ht="15.75" customHeight="1" x14ac:dyDescent="0.2">
      <c r="B387" s="89"/>
      <c r="C387"/>
      <c r="D387"/>
      <c r="E387" s="69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/>
    </row>
    <row r="388" spans="2:27" s="25" customFormat="1" ht="15.75" customHeight="1" x14ac:dyDescent="0.2">
      <c r="B388" s="89"/>
      <c r="C388"/>
      <c r="D388"/>
      <c r="E388" s="69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</row>
    <row r="389" spans="2:27" s="25" customFormat="1" ht="15.75" customHeight="1" x14ac:dyDescent="0.2">
      <c r="B389" s="89"/>
      <c r="C389"/>
      <c r="D389"/>
      <c r="E389" s="6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</row>
    <row r="390" spans="2:27" s="25" customFormat="1" ht="15.75" customHeight="1" x14ac:dyDescent="0.2">
      <c r="B390" s="89"/>
      <c r="C390"/>
      <c r="D390"/>
      <c r="E390" s="69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</row>
    <row r="391" spans="2:27" s="25" customFormat="1" ht="15.75" customHeight="1" x14ac:dyDescent="0.2">
      <c r="B391" s="89"/>
      <c r="C391"/>
      <c r="D391"/>
      <c r="E391" s="69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  <c r="AA391"/>
    </row>
    <row r="392" spans="2:27" s="25" customFormat="1" ht="15.75" customHeight="1" x14ac:dyDescent="0.2">
      <c r="B392" s="89"/>
      <c r="C392"/>
      <c r="D392"/>
      <c r="E392" s="69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</row>
    <row r="393" spans="2:27" s="25" customFormat="1" ht="15.75" customHeight="1" x14ac:dyDescent="0.2">
      <c r="B393" s="89"/>
      <c r="C393"/>
      <c r="D393"/>
      <c r="E393" s="69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  <c r="AA393"/>
    </row>
    <row r="394" spans="2:27" s="25" customFormat="1" ht="15.75" customHeight="1" x14ac:dyDescent="0.2">
      <c r="B394" s="89"/>
      <c r="C394"/>
      <c r="D394"/>
      <c r="E394" s="69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  <c r="AA394"/>
    </row>
    <row r="395" spans="2:27" s="25" customFormat="1" ht="15.75" customHeight="1" x14ac:dyDescent="0.2">
      <c r="B395" s="89"/>
      <c r="C395"/>
      <c r="D395"/>
      <c r="E395" s="69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  <c r="AA395"/>
    </row>
    <row r="396" spans="2:27" s="25" customFormat="1" ht="15.75" customHeight="1" x14ac:dyDescent="0.2">
      <c r="B396" s="89"/>
      <c r="C396"/>
      <c r="D396"/>
      <c r="E396" s="69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</row>
    <row r="397" spans="2:27" s="25" customFormat="1" ht="15.75" customHeight="1" x14ac:dyDescent="0.2">
      <c r="B397" s="89"/>
      <c r="C397"/>
      <c r="D397"/>
      <c r="E397" s="69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</row>
    <row r="398" spans="2:27" s="25" customFormat="1" ht="15.75" customHeight="1" x14ac:dyDescent="0.2">
      <c r="B398" s="89"/>
      <c r="C398"/>
      <c r="D398"/>
      <c r="E398" s="69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</row>
    <row r="399" spans="2:27" s="25" customFormat="1" ht="15.75" customHeight="1" x14ac:dyDescent="0.2">
      <c r="B399" s="89"/>
      <c r="C399"/>
      <c r="D399"/>
      <c r="E399" s="6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</row>
    <row r="400" spans="2:27" s="25" customFormat="1" ht="15.75" customHeight="1" x14ac:dyDescent="0.2">
      <c r="B400" s="89"/>
      <c r="C400"/>
      <c r="D400"/>
      <c r="E400" s="69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</row>
    <row r="401" spans="2:27" s="25" customFormat="1" ht="15.75" customHeight="1" x14ac:dyDescent="0.2">
      <c r="B401" s="89"/>
      <c r="C401"/>
      <c r="D401"/>
      <c r="E401" s="69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</row>
    <row r="402" spans="2:27" s="25" customFormat="1" ht="15.75" customHeight="1" x14ac:dyDescent="0.2">
      <c r="B402" s="89"/>
      <c r="C402"/>
      <c r="D402"/>
      <c r="E402" s="69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</row>
    <row r="403" spans="2:27" s="25" customFormat="1" ht="15.75" customHeight="1" x14ac:dyDescent="0.2">
      <c r="B403" s="89"/>
      <c r="C403"/>
      <c r="D403"/>
      <c r="E403" s="69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</row>
    <row r="404" spans="2:27" s="25" customFormat="1" ht="15.75" customHeight="1" x14ac:dyDescent="0.2">
      <c r="B404" s="89"/>
      <c r="C404"/>
      <c r="D404"/>
      <c r="E404" s="69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</row>
    <row r="405" spans="2:27" s="25" customFormat="1" ht="15.75" customHeight="1" x14ac:dyDescent="0.2">
      <c r="B405" s="89"/>
      <c r="C405"/>
      <c r="D405"/>
      <c r="E405" s="69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</row>
    <row r="406" spans="2:27" s="25" customFormat="1" ht="15.75" customHeight="1" x14ac:dyDescent="0.2">
      <c r="B406" s="89"/>
      <c r="C406"/>
      <c r="D406"/>
      <c r="E406" s="69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  <c r="AA406"/>
    </row>
    <row r="407" spans="2:27" s="25" customFormat="1" ht="15.75" customHeight="1" x14ac:dyDescent="0.2">
      <c r="B407" s="89"/>
      <c r="C407"/>
      <c r="D407"/>
      <c r="E407" s="69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  <c r="AA407"/>
    </row>
    <row r="408" spans="2:27" s="25" customFormat="1" ht="15.75" customHeight="1" x14ac:dyDescent="0.2">
      <c r="B408" s="89"/>
      <c r="C408"/>
      <c r="D408"/>
      <c r="E408" s="69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</row>
    <row r="409" spans="2:27" s="25" customFormat="1" ht="15.75" customHeight="1" x14ac:dyDescent="0.2">
      <c r="B409" s="89"/>
      <c r="C409"/>
      <c r="D409"/>
      <c r="E409" s="6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</row>
    <row r="410" spans="2:27" s="25" customFormat="1" ht="15.75" customHeight="1" x14ac:dyDescent="0.2">
      <c r="B410" s="89"/>
      <c r="C410"/>
      <c r="D410"/>
      <c r="E410" s="69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</row>
    <row r="411" spans="2:27" s="25" customFormat="1" ht="15.75" customHeight="1" x14ac:dyDescent="0.2">
      <c r="B411" s="89"/>
      <c r="C411"/>
      <c r="D411"/>
      <c r="E411" s="69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  <c r="AA411"/>
    </row>
    <row r="412" spans="2:27" s="25" customFormat="1" ht="15.75" customHeight="1" x14ac:dyDescent="0.2">
      <c r="B412" s="89"/>
      <c r="C412"/>
      <c r="D412"/>
      <c r="E412" s="69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</row>
    <row r="413" spans="2:27" s="25" customFormat="1" ht="15.75" customHeight="1" x14ac:dyDescent="0.2">
      <c r="B413" s="89"/>
      <c r="C413"/>
      <c r="D413"/>
      <c r="E413" s="69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/>
    </row>
    <row r="414" spans="2:27" s="25" customFormat="1" ht="15.75" customHeight="1" x14ac:dyDescent="0.2">
      <c r="B414" s="89"/>
      <c r="C414"/>
      <c r="D414"/>
      <c r="E414" s="69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  <c r="AA414"/>
    </row>
    <row r="415" spans="2:27" s="25" customFormat="1" ht="15.75" customHeight="1" x14ac:dyDescent="0.2">
      <c r="B415" s="89"/>
      <c r="C415"/>
      <c r="D415"/>
      <c r="E415" s="69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  <c r="Z415"/>
      <c r="AA415"/>
    </row>
    <row r="416" spans="2:27" s="25" customFormat="1" ht="15.75" customHeight="1" x14ac:dyDescent="0.2">
      <c r="B416" s="89"/>
      <c r="C416"/>
      <c r="D416"/>
      <c r="E416" s="69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  <c r="AA416"/>
    </row>
    <row r="417" spans="2:27" s="25" customFormat="1" ht="15.75" customHeight="1" x14ac:dyDescent="0.2">
      <c r="B417" s="89"/>
      <c r="C417"/>
      <c r="D417"/>
      <c r="E417" s="69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  <c r="AA417"/>
    </row>
    <row r="418" spans="2:27" s="25" customFormat="1" ht="15.75" customHeight="1" x14ac:dyDescent="0.2">
      <c r="B418" s="89"/>
      <c r="C418"/>
      <c r="D418"/>
      <c r="E418" s="69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  <c r="AA418"/>
    </row>
    <row r="419" spans="2:27" s="25" customFormat="1" ht="15.75" customHeight="1" x14ac:dyDescent="0.2">
      <c r="B419" s="89"/>
      <c r="C419"/>
      <c r="D419"/>
      <c r="E419" s="6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  <c r="AA419"/>
    </row>
    <row r="420" spans="2:27" s="25" customFormat="1" ht="15.75" customHeight="1" x14ac:dyDescent="0.2">
      <c r="B420" s="89"/>
      <c r="C420"/>
      <c r="D420"/>
      <c r="E420" s="69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</row>
    <row r="421" spans="2:27" s="25" customFormat="1" ht="15.75" customHeight="1" x14ac:dyDescent="0.2">
      <c r="B421" s="89"/>
      <c r="C421"/>
      <c r="D421"/>
      <c r="E421" s="69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/>
      <c r="W421"/>
      <c r="X421"/>
      <c r="Y421"/>
      <c r="Z421"/>
      <c r="AA421"/>
    </row>
    <row r="422" spans="2:27" s="25" customFormat="1" ht="15.75" customHeight="1" x14ac:dyDescent="0.2">
      <c r="B422" s="89"/>
      <c r="C422"/>
      <c r="D422"/>
      <c r="E422" s="69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  <c r="AA422"/>
    </row>
    <row r="423" spans="2:27" s="25" customFormat="1" ht="15.75" customHeight="1" x14ac:dyDescent="0.2">
      <c r="B423" s="89"/>
      <c r="C423"/>
      <c r="D423"/>
      <c r="E423" s="69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  <c r="AA423"/>
    </row>
    <row r="424" spans="2:27" s="25" customFormat="1" ht="15.75" customHeight="1" x14ac:dyDescent="0.2">
      <c r="B424" s="89"/>
      <c r="C424"/>
      <c r="D424"/>
      <c r="E424" s="69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  <c r="AA424"/>
    </row>
    <row r="425" spans="2:27" s="25" customFormat="1" ht="15.75" customHeight="1" x14ac:dyDescent="0.2">
      <c r="B425" s="89"/>
      <c r="C425"/>
      <c r="D425"/>
      <c r="E425" s="69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  <c r="AA425"/>
    </row>
    <row r="426" spans="2:27" s="25" customFormat="1" ht="15.75" customHeight="1" x14ac:dyDescent="0.2">
      <c r="B426" s="89"/>
      <c r="C426"/>
      <c r="D426"/>
      <c r="E426" s="69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  <c r="AA426"/>
    </row>
    <row r="427" spans="2:27" s="25" customFormat="1" ht="15.75" customHeight="1" x14ac:dyDescent="0.2">
      <c r="B427" s="89"/>
      <c r="C427"/>
      <c r="D427"/>
      <c r="E427" s="69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  <c r="AA427"/>
    </row>
    <row r="428" spans="2:27" s="25" customFormat="1" ht="15.75" customHeight="1" x14ac:dyDescent="0.2">
      <c r="B428" s="89"/>
      <c r="C428"/>
      <c r="D428"/>
      <c r="E428" s="69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</row>
    <row r="429" spans="2:27" s="25" customFormat="1" ht="15.75" customHeight="1" x14ac:dyDescent="0.2">
      <c r="B429" s="89"/>
      <c r="C429"/>
      <c r="D429"/>
      <c r="E429" s="6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  <c r="AA429"/>
    </row>
    <row r="430" spans="2:27" s="25" customFormat="1" ht="15.75" customHeight="1" x14ac:dyDescent="0.2">
      <c r="B430" s="89"/>
      <c r="C430"/>
      <c r="D430"/>
      <c r="E430" s="69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  <c r="W430"/>
      <c r="X430"/>
      <c r="Y430"/>
      <c r="Z430"/>
      <c r="AA430"/>
    </row>
    <row r="431" spans="2:27" s="25" customFormat="1" ht="15.75" customHeight="1" x14ac:dyDescent="0.2">
      <c r="B431" s="89"/>
      <c r="C431"/>
      <c r="D431"/>
      <c r="E431" s="69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  <c r="Y431"/>
      <c r="Z431"/>
      <c r="AA431"/>
    </row>
    <row r="432" spans="2:27" s="25" customFormat="1" ht="15.75" customHeight="1" x14ac:dyDescent="0.2">
      <c r="B432" s="89"/>
      <c r="C432"/>
      <c r="D432"/>
      <c r="E432" s="69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  <c r="AA432"/>
    </row>
    <row r="433" spans="2:27" s="25" customFormat="1" ht="15.75" customHeight="1" x14ac:dyDescent="0.2">
      <c r="B433" s="89"/>
      <c r="C433"/>
      <c r="D433"/>
      <c r="E433" s="69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  <c r="AA433"/>
    </row>
    <row r="434" spans="2:27" s="25" customFormat="1" ht="15.75" customHeight="1" x14ac:dyDescent="0.2">
      <c r="B434" s="89"/>
      <c r="C434"/>
      <c r="D434"/>
      <c r="E434" s="69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  <c r="AA434"/>
    </row>
    <row r="435" spans="2:27" s="25" customFormat="1" ht="15.75" customHeight="1" x14ac:dyDescent="0.2">
      <c r="B435" s="89"/>
      <c r="C435"/>
      <c r="D435"/>
      <c r="E435" s="69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  <c r="V435"/>
      <c r="W435"/>
      <c r="X435"/>
      <c r="Y435"/>
      <c r="Z435"/>
      <c r="AA435"/>
    </row>
    <row r="436" spans="2:27" s="25" customFormat="1" ht="15.75" customHeight="1" x14ac:dyDescent="0.2">
      <c r="B436" s="89"/>
      <c r="C436"/>
      <c r="D436"/>
      <c r="E436" s="69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</row>
    <row r="437" spans="2:27" s="25" customFormat="1" ht="15.75" customHeight="1" x14ac:dyDescent="0.2">
      <c r="B437" s="89"/>
      <c r="C437"/>
      <c r="D437"/>
      <c r="E437" s="69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  <c r="Y437"/>
      <c r="Z437"/>
      <c r="AA437"/>
    </row>
    <row r="438" spans="2:27" s="25" customFormat="1" ht="15.75" customHeight="1" x14ac:dyDescent="0.2">
      <c r="B438" s="89"/>
      <c r="C438"/>
      <c r="D438"/>
      <c r="E438" s="69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  <c r="W438"/>
      <c r="X438"/>
      <c r="Y438"/>
      <c r="Z438"/>
      <c r="AA438"/>
    </row>
    <row r="439" spans="2:27" s="25" customFormat="1" ht="15.75" customHeight="1" x14ac:dyDescent="0.2">
      <c r="B439" s="89"/>
      <c r="C439"/>
      <c r="D439"/>
      <c r="E439" s="6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  <c r="AA439"/>
    </row>
    <row r="440" spans="2:27" s="25" customFormat="1" ht="15.75" customHeight="1" x14ac:dyDescent="0.2">
      <c r="B440" s="89"/>
      <c r="C440"/>
      <c r="D440"/>
      <c r="E440" s="69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</row>
    <row r="441" spans="2:27" s="25" customFormat="1" ht="15.75" customHeight="1" x14ac:dyDescent="0.2">
      <c r="B441" s="89"/>
      <c r="C441"/>
      <c r="D441"/>
      <c r="E441" s="69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/>
      <c r="W441"/>
      <c r="X441"/>
      <c r="Y441"/>
      <c r="Z441"/>
      <c r="AA441"/>
    </row>
    <row r="442" spans="2:27" s="25" customFormat="1" ht="15.75" customHeight="1" x14ac:dyDescent="0.2">
      <c r="B442" s="89"/>
      <c r="C442"/>
      <c r="D442"/>
      <c r="E442" s="69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  <c r="AA442"/>
    </row>
    <row r="443" spans="2:27" s="25" customFormat="1" ht="15.75" customHeight="1" x14ac:dyDescent="0.2">
      <c r="B443" s="89"/>
      <c r="C443"/>
      <c r="D443"/>
      <c r="E443" s="69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  <c r="AA443"/>
    </row>
    <row r="444" spans="2:27" s="25" customFormat="1" ht="15.75" customHeight="1" x14ac:dyDescent="0.2">
      <c r="B444" s="89"/>
      <c r="C444"/>
      <c r="D444"/>
      <c r="E444" s="69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  <c r="AA444"/>
    </row>
    <row r="445" spans="2:27" s="25" customFormat="1" ht="15.75" customHeight="1" x14ac:dyDescent="0.2">
      <c r="B445" s="89"/>
      <c r="C445"/>
      <c r="D445"/>
      <c r="E445" s="69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  <c r="V445"/>
      <c r="W445"/>
      <c r="X445"/>
      <c r="Y445"/>
      <c r="Z445"/>
      <c r="AA445"/>
    </row>
    <row r="446" spans="2:27" s="25" customFormat="1" ht="15.75" customHeight="1" x14ac:dyDescent="0.2">
      <c r="B446" s="89"/>
      <c r="C446"/>
      <c r="D446"/>
      <c r="E446" s="69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  <c r="Y446"/>
      <c r="Z446"/>
      <c r="AA446"/>
    </row>
    <row r="447" spans="2:27" s="25" customFormat="1" ht="15.75" customHeight="1" x14ac:dyDescent="0.2">
      <c r="B447" s="89"/>
      <c r="C447"/>
      <c r="D447"/>
      <c r="E447" s="69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  <c r="W447"/>
      <c r="X447"/>
      <c r="Y447"/>
      <c r="Z447"/>
      <c r="AA447"/>
    </row>
    <row r="448" spans="2:27" s="25" customFormat="1" ht="15.75" customHeight="1" x14ac:dyDescent="0.2">
      <c r="B448" s="89"/>
      <c r="C448"/>
      <c r="D448"/>
      <c r="E448" s="69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</row>
    <row r="449" spans="2:27" s="25" customFormat="1" ht="15.75" customHeight="1" x14ac:dyDescent="0.2">
      <c r="B449" s="89"/>
      <c r="C449"/>
      <c r="D449"/>
      <c r="E449" s="6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  <c r="W449"/>
      <c r="X449"/>
      <c r="Y449"/>
      <c r="Z449"/>
      <c r="AA449"/>
    </row>
    <row r="450" spans="2:27" s="25" customFormat="1" ht="15.75" customHeight="1" x14ac:dyDescent="0.2">
      <c r="B450" s="89"/>
      <c r="C450"/>
      <c r="D450"/>
      <c r="E450" s="69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  <c r="AA450"/>
    </row>
    <row r="451" spans="2:27" s="25" customFormat="1" ht="15.75" customHeight="1" x14ac:dyDescent="0.2">
      <c r="B451" s="89"/>
      <c r="C451"/>
      <c r="D451"/>
      <c r="E451" s="69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  <c r="AA451"/>
    </row>
    <row r="452" spans="2:27" s="25" customFormat="1" ht="15.75" customHeight="1" x14ac:dyDescent="0.2">
      <c r="B452" s="89"/>
      <c r="C452"/>
      <c r="D452"/>
      <c r="E452" s="69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</row>
    <row r="453" spans="2:27" s="25" customFormat="1" ht="15.75" customHeight="1" x14ac:dyDescent="0.2">
      <c r="B453" s="89"/>
      <c r="C453"/>
      <c r="D453"/>
      <c r="E453" s="69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  <c r="AA453"/>
    </row>
    <row r="454" spans="2:27" s="25" customFormat="1" ht="15.75" customHeight="1" x14ac:dyDescent="0.2">
      <c r="B454" s="89"/>
      <c r="C454"/>
      <c r="D454"/>
      <c r="E454" s="69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  <c r="AA454"/>
    </row>
    <row r="455" spans="2:27" s="25" customFormat="1" ht="15.75" customHeight="1" x14ac:dyDescent="0.2">
      <c r="B455" s="89"/>
      <c r="C455"/>
      <c r="D455"/>
      <c r="E455" s="69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  <c r="AA455"/>
    </row>
    <row r="456" spans="2:27" s="25" customFormat="1" ht="15.75" customHeight="1" x14ac:dyDescent="0.2">
      <c r="B456" s="89"/>
      <c r="C456"/>
      <c r="D456"/>
      <c r="E456" s="69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  <c r="AA456"/>
    </row>
    <row r="457" spans="2:27" s="25" customFormat="1" ht="15.75" customHeight="1" x14ac:dyDescent="0.2">
      <c r="B457" s="89"/>
      <c r="C457"/>
      <c r="D457"/>
      <c r="E457" s="69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  <c r="AA457"/>
    </row>
    <row r="458" spans="2:27" s="25" customFormat="1" ht="15.75" customHeight="1" x14ac:dyDescent="0.2">
      <c r="B458" s="89"/>
      <c r="C458"/>
      <c r="D458"/>
      <c r="E458" s="69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  <c r="V458"/>
      <c r="W458"/>
      <c r="X458"/>
      <c r="Y458"/>
      <c r="Z458"/>
      <c r="AA458"/>
    </row>
    <row r="459" spans="2:27" s="25" customFormat="1" ht="15.75" customHeight="1" x14ac:dyDescent="0.2">
      <c r="B459" s="89"/>
      <c r="C459"/>
      <c r="D459"/>
      <c r="E459" s="6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  <c r="AA459"/>
    </row>
    <row r="460" spans="2:27" s="25" customFormat="1" ht="15.75" customHeight="1" x14ac:dyDescent="0.2">
      <c r="B460" s="89"/>
      <c r="C460"/>
      <c r="D460"/>
      <c r="E460" s="69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  <c r="AA460"/>
    </row>
    <row r="461" spans="2:27" s="25" customFormat="1" ht="15.75" customHeight="1" x14ac:dyDescent="0.2">
      <c r="B461" s="89"/>
      <c r="C461"/>
      <c r="D461"/>
      <c r="E461" s="69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  <c r="AA461"/>
    </row>
    <row r="462" spans="2:27" s="25" customFormat="1" ht="15.75" customHeight="1" x14ac:dyDescent="0.2">
      <c r="B462" s="89"/>
      <c r="C462"/>
      <c r="D462"/>
      <c r="E462" s="69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  <c r="AA462"/>
    </row>
    <row r="463" spans="2:27" s="25" customFormat="1" ht="15.75" customHeight="1" x14ac:dyDescent="0.2">
      <c r="B463" s="89"/>
      <c r="C463"/>
      <c r="D463"/>
      <c r="E463" s="69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  <c r="AA463"/>
    </row>
    <row r="464" spans="2:27" s="25" customFormat="1" ht="15.75" customHeight="1" x14ac:dyDescent="0.2">
      <c r="B464" s="89"/>
      <c r="C464"/>
      <c r="D464"/>
      <c r="E464" s="69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  <c r="AA464"/>
    </row>
    <row r="465" spans="2:27" s="25" customFormat="1" ht="15.75" customHeight="1" x14ac:dyDescent="0.2">
      <c r="B465" s="89"/>
      <c r="C465"/>
      <c r="D465"/>
      <c r="E465" s="69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  <c r="AA465"/>
    </row>
    <row r="466" spans="2:27" s="25" customFormat="1" ht="15.75" customHeight="1" x14ac:dyDescent="0.2">
      <c r="B466" s="89"/>
      <c r="C466"/>
      <c r="D466"/>
      <c r="E466" s="69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  <c r="AA466"/>
    </row>
    <row r="467" spans="2:27" s="25" customFormat="1" ht="15.75" customHeight="1" x14ac:dyDescent="0.2">
      <c r="B467" s="89"/>
      <c r="C467"/>
      <c r="D467"/>
      <c r="E467" s="69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  <c r="AA467"/>
    </row>
    <row r="468" spans="2:27" s="25" customFormat="1" ht="15.75" customHeight="1" x14ac:dyDescent="0.2">
      <c r="B468" s="89"/>
      <c r="C468"/>
      <c r="D468"/>
      <c r="E468" s="69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</row>
    <row r="469" spans="2:27" s="25" customFormat="1" ht="15.75" customHeight="1" x14ac:dyDescent="0.2">
      <c r="B469" s="89"/>
      <c r="C469"/>
      <c r="D469"/>
      <c r="E469" s="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  <c r="AA469"/>
    </row>
    <row r="470" spans="2:27" s="25" customFormat="1" ht="15.75" customHeight="1" x14ac:dyDescent="0.2">
      <c r="B470" s="89"/>
      <c r="C470"/>
      <c r="D470"/>
      <c r="E470" s="69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  <c r="AA470"/>
    </row>
    <row r="471" spans="2:27" s="25" customFormat="1" ht="15.75" customHeight="1" x14ac:dyDescent="0.2">
      <c r="B471" s="89"/>
      <c r="C471"/>
      <c r="D471"/>
      <c r="E471" s="69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  <c r="AA471"/>
    </row>
    <row r="472" spans="2:27" s="25" customFormat="1" ht="15.75" customHeight="1" x14ac:dyDescent="0.2">
      <c r="B472" s="89"/>
      <c r="C472"/>
      <c r="D472"/>
      <c r="E472" s="69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  <c r="AA472"/>
    </row>
    <row r="473" spans="2:27" s="25" customFormat="1" ht="15.75" customHeight="1" x14ac:dyDescent="0.2">
      <c r="B473" s="89"/>
      <c r="C473"/>
      <c r="D473"/>
      <c r="E473" s="69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  <c r="W473"/>
      <c r="X473"/>
      <c r="Y473"/>
      <c r="Z473"/>
      <c r="AA473"/>
    </row>
    <row r="474" spans="2:27" s="25" customFormat="1" ht="15.75" customHeight="1" x14ac:dyDescent="0.2">
      <c r="B474" s="89"/>
      <c r="C474"/>
      <c r="D474"/>
      <c r="E474" s="69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/>
      <c r="W474"/>
      <c r="X474"/>
      <c r="Y474"/>
      <c r="Z474"/>
      <c r="AA474"/>
    </row>
    <row r="475" spans="2:27" s="25" customFormat="1" ht="15.75" customHeight="1" x14ac:dyDescent="0.2">
      <c r="B475" s="89"/>
      <c r="C475"/>
      <c r="D475"/>
      <c r="E475" s="69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  <c r="W475"/>
      <c r="X475"/>
      <c r="Y475"/>
      <c r="Z475"/>
      <c r="AA475"/>
    </row>
    <row r="476" spans="2:27" s="25" customFormat="1" ht="15.75" customHeight="1" x14ac:dyDescent="0.2">
      <c r="B476" s="89"/>
      <c r="C476"/>
      <c r="D476"/>
      <c r="E476" s="69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  <c r="W476"/>
      <c r="X476"/>
      <c r="Y476"/>
      <c r="Z476"/>
      <c r="AA476"/>
    </row>
    <row r="477" spans="2:27" s="25" customFormat="1" ht="15.75" customHeight="1" x14ac:dyDescent="0.2">
      <c r="B477" s="89"/>
      <c r="C477"/>
      <c r="D477"/>
      <c r="E477" s="69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  <c r="W477"/>
      <c r="X477"/>
      <c r="Y477"/>
      <c r="Z477"/>
      <c r="AA477"/>
    </row>
    <row r="478" spans="2:27" s="25" customFormat="1" ht="15.75" customHeight="1" x14ac:dyDescent="0.2">
      <c r="B478" s="89"/>
      <c r="C478"/>
      <c r="D478"/>
      <c r="E478" s="69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  <c r="W478"/>
      <c r="X478"/>
      <c r="Y478"/>
      <c r="Z478"/>
      <c r="AA478"/>
    </row>
    <row r="479" spans="2:27" s="25" customFormat="1" ht="15.75" customHeight="1" x14ac:dyDescent="0.2">
      <c r="B479" s="89"/>
      <c r="C479"/>
      <c r="D479"/>
      <c r="E479" s="6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  <c r="W479"/>
      <c r="X479"/>
      <c r="Y479"/>
      <c r="Z479"/>
      <c r="AA479"/>
    </row>
    <row r="480" spans="2:27" s="25" customFormat="1" ht="15.75" customHeight="1" x14ac:dyDescent="0.2">
      <c r="B480" s="89"/>
      <c r="C480"/>
      <c r="D480"/>
      <c r="E480" s="69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  <c r="AA480"/>
    </row>
    <row r="481" spans="2:27" s="25" customFormat="1" ht="15.75" customHeight="1" x14ac:dyDescent="0.2">
      <c r="B481" s="89"/>
      <c r="C481"/>
      <c r="D481"/>
      <c r="E481" s="69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  <c r="V481"/>
      <c r="W481"/>
      <c r="X481"/>
      <c r="Y481"/>
      <c r="Z481"/>
      <c r="AA481"/>
    </row>
    <row r="482" spans="2:27" s="25" customFormat="1" ht="15.75" customHeight="1" x14ac:dyDescent="0.2">
      <c r="B482" s="89"/>
      <c r="C482"/>
      <c r="D482"/>
      <c r="E482" s="69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  <c r="W482"/>
      <c r="X482"/>
      <c r="Y482"/>
      <c r="Z482"/>
      <c r="AA482"/>
    </row>
    <row r="483" spans="2:27" s="25" customFormat="1" ht="15.75" customHeight="1" x14ac:dyDescent="0.2">
      <c r="B483" s="89"/>
      <c r="C483"/>
      <c r="D483"/>
      <c r="E483" s="69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  <c r="W483"/>
      <c r="X483"/>
      <c r="Y483"/>
      <c r="Z483"/>
      <c r="AA483"/>
    </row>
    <row r="484" spans="2:27" s="25" customFormat="1" ht="15.75" customHeight="1" x14ac:dyDescent="0.2">
      <c r="B484" s="89"/>
      <c r="C484"/>
      <c r="D484"/>
      <c r="E484" s="69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  <c r="AA484"/>
    </row>
    <row r="485" spans="2:27" s="25" customFormat="1" ht="15.75" customHeight="1" x14ac:dyDescent="0.2">
      <c r="B485" s="89"/>
      <c r="C485"/>
      <c r="D485"/>
      <c r="E485" s="69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  <c r="W485"/>
      <c r="X485"/>
      <c r="Y485"/>
      <c r="Z485"/>
      <c r="AA485"/>
    </row>
    <row r="486" spans="2:27" s="25" customFormat="1" ht="15.75" customHeight="1" x14ac:dyDescent="0.2">
      <c r="B486" s="89"/>
      <c r="C486"/>
      <c r="D486"/>
      <c r="E486" s="69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  <c r="V486"/>
      <c r="W486"/>
      <c r="X486"/>
      <c r="Y486"/>
      <c r="Z486"/>
      <c r="AA486"/>
    </row>
    <row r="487" spans="2:27" s="25" customFormat="1" ht="15.75" customHeight="1" x14ac:dyDescent="0.2">
      <c r="B487" s="89"/>
      <c r="C487"/>
      <c r="D487"/>
      <c r="E487" s="69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  <c r="V487"/>
      <c r="W487"/>
      <c r="X487"/>
      <c r="Y487"/>
      <c r="Z487"/>
      <c r="AA487"/>
    </row>
    <row r="488" spans="2:27" s="25" customFormat="1" ht="15.75" customHeight="1" x14ac:dyDescent="0.2">
      <c r="B488" s="89"/>
      <c r="C488"/>
      <c r="D488"/>
      <c r="E488" s="69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  <c r="AA488"/>
    </row>
    <row r="489" spans="2:27" s="25" customFormat="1" ht="15.75" customHeight="1" x14ac:dyDescent="0.2">
      <c r="B489" s="89"/>
      <c r="C489"/>
      <c r="D489"/>
      <c r="E489" s="6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  <c r="W489"/>
      <c r="X489"/>
      <c r="Y489"/>
      <c r="Z489"/>
      <c r="AA489"/>
    </row>
    <row r="490" spans="2:27" s="25" customFormat="1" ht="15.75" customHeight="1" x14ac:dyDescent="0.2">
      <c r="B490" s="89"/>
      <c r="C490"/>
      <c r="D490"/>
      <c r="E490" s="69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  <c r="V490"/>
      <c r="W490"/>
      <c r="X490"/>
      <c r="Y490"/>
      <c r="Z490"/>
      <c r="AA490"/>
    </row>
    <row r="491" spans="2:27" s="25" customFormat="1" ht="15.75" customHeight="1" x14ac:dyDescent="0.2">
      <c r="B491" s="89"/>
      <c r="C491"/>
      <c r="D491"/>
      <c r="E491" s="69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  <c r="V491"/>
      <c r="W491"/>
      <c r="X491"/>
      <c r="Y491"/>
      <c r="Z491"/>
      <c r="AA491"/>
    </row>
    <row r="492" spans="2:27" s="25" customFormat="1" ht="15.75" customHeight="1" x14ac:dyDescent="0.2">
      <c r="B492" s="89"/>
      <c r="C492"/>
      <c r="D492"/>
      <c r="E492" s="69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  <c r="AA492"/>
    </row>
    <row r="493" spans="2:27" s="25" customFormat="1" ht="15.75" customHeight="1" x14ac:dyDescent="0.2">
      <c r="B493" s="89"/>
      <c r="C493"/>
      <c r="D493"/>
      <c r="E493" s="69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  <c r="W493"/>
      <c r="X493"/>
      <c r="Y493"/>
      <c r="Z493"/>
      <c r="AA493"/>
    </row>
    <row r="494" spans="2:27" s="25" customFormat="1" ht="15.75" customHeight="1" x14ac:dyDescent="0.2">
      <c r="B494" s="89"/>
      <c r="C494"/>
      <c r="D494"/>
      <c r="E494" s="69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  <c r="W494"/>
      <c r="X494"/>
      <c r="Y494"/>
      <c r="Z494"/>
      <c r="AA494"/>
    </row>
    <row r="495" spans="2:27" s="25" customFormat="1" ht="15.75" customHeight="1" x14ac:dyDescent="0.2">
      <c r="B495" s="89"/>
      <c r="C495"/>
      <c r="D495"/>
      <c r="E495" s="69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  <c r="V495"/>
      <c r="W495"/>
      <c r="X495"/>
      <c r="Y495"/>
      <c r="Z495"/>
      <c r="AA495"/>
    </row>
    <row r="496" spans="2:27" s="25" customFormat="1" ht="15.75" customHeight="1" x14ac:dyDescent="0.2">
      <c r="B496" s="89"/>
      <c r="C496"/>
      <c r="D496"/>
      <c r="E496" s="69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  <c r="W496"/>
      <c r="X496"/>
      <c r="Y496"/>
      <c r="Z496"/>
      <c r="AA496"/>
    </row>
    <row r="497" spans="2:27" s="25" customFormat="1" ht="15.75" customHeight="1" x14ac:dyDescent="0.2">
      <c r="B497" s="89"/>
      <c r="C497"/>
      <c r="D497"/>
      <c r="E497" s="69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  <c r="W497"/>
      <c r="X497"/>
      <c r="Y497"/>
      <c r="Z497"/>
      <c r="AA497"/>
    </row>
    <row r="498" spans="2:27" s="25" customFormat="1" ht="15.75" customHeight="1" x14ac:dyDescent="0.2">
      <c r="B498" s="89"/>
      <c r="C498"/>
      <c r="D498"/>
      <c r="E498" s="69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  <c r="W498"/>
      <c r="X498"/>
      <c r="Y498"/>
      <c r="Z498"/>
      <c r="AA498"/>
    </row>
    <row r="499" spans="2:27" s="25" customFormat="1" ht="15.75" customHeight="1" x14ac:dyDescent="0.2">
      <c r="B499" s="89"/>
      <c r="C499"/>
      <c r="D499"/>
      <c r="E499" s="6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  <c r="W499"/>
      <c r="X499"/>
      <c r="Y499"/>
      <c r="Z499"/>
      <c r="AA499"/>
    </row>
    <row r="500" spans="2:27" s="25" customFormat="1" ht="15.75" customHeight="1" x14ac:dyDescent="0.2">
      <c r="B500" s="89"/>
      <c r="C500"/>
      <c r="D500"/>
      <c r="E500" s="69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  <c r="AA500"/>
    </row>
    <row r="501" spans="2:27" s="25" customFormat="1" ht="15.75" customHeight="1" x14ac:dyDescent="0.2">
      <c r="B501" s="89"/>
      <c r="C501"/>
      <c r="D501"/>
      <c r="E501" s="69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/>
      <c r="W501"/>
      <c r="X501"/>
      <c r="Y501"/>
      <c r="Z501"/>
      <c r="AA501"/>
    </row>
    <row r="502" spans="2:27" s="25" customFormat="1" ht="15.75" customHeight="1" x14ac:dyDescent="0.2">
      <c r="B502" s="89"/>
      <c r="C502"/>
      <c r="D502"/>
      <c r="E502" s="69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  <c r="W502"/>
      <c r="X502"/>
      <c r="Y502"/>
      <c r="Z502"/>
      <c r="AA502"/>
    </row>
    <row r="503" spans="2:27" s="25" customFormat="1" ht="15.75" customHeight="1" x14ac:dyDescent="0.2">
      <c r="B503" s="89"/>
      <c r="C503"/>
      <c r="D503"/>
      <c r="E503" s="69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  <c r="AA503"/>
    </row>
    <row r="504" spans="2:27" s="25" customFormat="1" ht="15.75" customHeight="1" x14ac:dyDescent="0.2">
      <c r="B504" s="89"/>
      <c r="C504"/>
      <c r="D504"/>
      <c r="E504" s="69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  <c r="V504"/>
      <c r="W504"/>
      <c r="X504"/>
      <c r="Y504"/>
      <c r="Z504"/>
      <c r="AA504"/>
    </row>
    <row r="505" spans="2:27" s="25" customFormat="1" ht="15.75" customHeight="1" x14ac:dyDescent="0.2">
      <c r="B505" s="89"/>
      <c r="C505"/>
      <c r="D505"/>
      <c r="E505" s="69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  <c r="V505"/>
      <c r="W505"/>
      <c r="X505"/>
      <c r="Y505"/>
      <c r="Z505"/>
      <c r="AA505"/>
    </row>
    <row r="506" spans="2:27" s="25" customFormat="1" ht="15.75" customHeight="1" x14ac:dyDescent="0.2">
      <c r="B506" s="89"/>
      <c r="C506"/>
      <c r="D506"/>
      <c r="E506" s="69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  <c r="V506"/>
      <c r="W506"/>
      <c r="X506"/>
      <c r="Y506"/>
      <c r="Z506"/>
      <c r="AA506"/>
    </row>
    <row r="507" spans="2:27" s="25" customFormat="1" ht="15.75" customHeight="1" x14ac:dyDescent="0.2">
      <c r="B507" s="89"/>
      <c r="C507"/>
      <c r="D507"/>
      <c r="E507" s="69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  <c r="V507"/>
      <c r="W507"/>
      <c r="X507"/>
      <c r="Y507"/>
      <c r="Z507"/>
      <c r="AA507"/>
    </row>
    <row r="508" spans="2:27" s="25" customFormat="1" ht="15.75" customHeight="1" x14ac:dyDescent="0.2">
      <c r="B508" s="89"/>
      <c r="C508"/>
      <c r="D508"/>
      <c r="E508" s="69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  <c r="V508"/>
      <c r="W508"/>
      <c r="X508"/>
      <c r="Y508"/>
      <c r="Z508"/>
      <c r="AA508"/>
    </row>
    <row r="509" spans="2:27" s="25" customFormat="1" ht="15.75" customHeight="1" x14ac:dyDescent="0.2">
      <c r="B509" s="89"/>
      <c r="C509"/>
      <c r="D509"/>
      <c r="E509" s="6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  <c r="V509"/>
      <c r="W509"/>
      <c r="X509"/>
      <c r="Y509"/>
      <c r="Z509"/>
      <c r="AA509"/>
    </row>
    <row r="510" spans="2:27" s="25" customFormat="1" ht="15.75" customHeight="1" x14ac:dyDescent="0.2">
      <c r="B510" s="89"/>
      <c r="C510"/>
      <c r="D510"/>
      <c r="E510" s="69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  <c r="V510"/>
      <c r="W510"/>
      <c r="X510"/>
      <c r="Y510"/>
      <c r="Z510"/>
      <c r="AA510"/>
    </row>
    <row r="511" spans="2:27" s="25" customFormat="1" ht="15.75" customHeight="1" x14ac:dyDescent="0.2">
      <c r="B511" s="89"/>
      <c r="C511"/>
      <c r="D511"/>
      <c r="E511" s="69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  <c r="V511"/>
      <c r="W511"/>
      <c r="X511"/>
      <c r="Y511"/>
      <c r="Z511"/>
      <c r="AA511"/>
    </row>
    <row r="512" spans="2:27" s="25" customFormat="1" ht="15.75" customHeight="1" x14ac:dyDescent="0.2">
      <c r="B512" s="89"/>
      <c r="C512"/>
      <c r="D512"/>
      <c r="E512" s="69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  <c r="V512"/>
      <c r="W512"/>
      <c r="X512"/>
      <c r="Y512"/>
      <c r="Z512"/>
      <c r="AA512"/>
    </row>
    <row r="513" spans="2:27" s="25" customFormat="1" ht="15.75" customHeight="1" x14ac:dyDescent="0.2">
      <c r="B513" s="89"/>
      <c r="C513"/>
      <c r="D513"/>
      <c r="E513" s="69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  <c r="V513"/>
      <c r="W513"/>
      <c r="X513"/>
      <c r="Y513"/>
      <c r="Z513"/>
      <c r="AA513"/>
    </row>
    <row r="514" spans="2:27" s="25" customFormat="1" ht="15.75" customHeight="1" x14ac:dyDescent="0.2">
      <c r="B514" s="89"/>
      <c r="C514"/>
      <c r="D514"/>
      <c r="E514" s="69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  <c r="V514"/>
      <c r="W514"/>
      <c r="X514"/>
      <c r="Y514"/>
      <c r="Z514"/>
      <c r="AA514"/>
    </row>
    <row r="515" spans="2:27" s="25" customFormat="1" ht="15.75" customHeight="1" x14ac:dyDescent="0.2">
      <c r="B515" s="89"/>
      <c r="C515"/>
      <c r="D515"/>
      <c r="E515" s="69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  <c r="V515"/>
      <c r="W515"/>
      <c r="X515"/>
      <c r="Y515"/>
      <c r="Z515"/>
      <c r="AA515"/>
    </row>
    <row r="516" spans="2:27" s="25" customFormat="1" ht="15.75" customHeight="1" x14ac:dyDescent="0.2">
      <c r="B516" s="89"/>
      <c r="C516"/>
      <c r="D516"/>
      <c r="E516" s="69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  <c r="V516"/>
      <c r="W516"/>
      <c r="X516"/>
      <c r="Y516"/>
      <c r="Z516"/>
      <c r="AA516"/>
    </row>
    <row r="517" spans="2:27" s="25" customFormat="1" ht="15.75" customHeight="1" x14ac:dyDescent="0.2">
      <c r="B517" s="89"/>
      <c r="C517"/>
      <c r="D517"/>
      <c r="E517" s="69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  <c r="V517"/>
      <c r="W517"/>
      <c r="X517"/>
      <c r="Y517"/>
      <c r="Z517"/>
      <c r="AA517"/>
    </row>
    <row r="518" spans="2:27" s="25" customFormat="1" ht="15.75" customHeight="1" x14ac:dyDescent="0.2">
      <c r="B518" s="89"/>
      <c r="C518"/>
      <c r="D518"/>
      <c r="E518" s="69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  <c r="V518"/>
      <c r="W518"/>
      <c r="X518"/>
      <c r="Y518"/>
      <c r="Z518"/>
      <c r="AA518"/>
    </row>
    <row r="519" spans="2:27" s="25" customFormat="1" ht="15.75" customHeight="1" x14ac:dyDescent="0.2">
      <c r="B519" s="89"/>
      <c r="C519"/>
      <c r="D519"/>
      <c r="E519" s="6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  <c r="V519"/>
      <c r="W519"/>
      <c r="X519"/>
      <c r="Y519"/>
      <c r="Z519"/>
      <c r="AA519"/>
    </row>
    <row r="520" spans="2:27" s="25" customFormat="1" ht="15.75" customHeight="1" x14ac:dyDescent="0.2">
      <c r="B520" s="89"/>
      <c r="C520"/>
      <c r="D520"/>
      <c r="E520" s="69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  <c r="V520"/>
      <c r="W520"/>
      <c r="X520"/>
      <c r="Y520"/>
      <c r="Z520"/>
      <c r="AA520"/>
    </row>
    <row r="521" spans="2:27" s="25" customFormat="1" ht="15.75" customHeight="1" x14ac:dyDescent="0.2">
      <c r="B521" s="89"/>
      <c r="C521"/>
      <c r="D521"/>
      <c r="E521" s="69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  <c r="V521"/>
      <c r="W521"/>
      <c r="X521"/>
      <c r="Y521"/>
      <c r="Z521"/>
      <c r="AA521"/>
    </row>
    <row r="522" spans="2:27" s="25" customFormat="1" ht="15.75" customHeight="1" x14ac:dyDescent="0.2">
      <c r="B522" s="89"/>
      <c r="C522"/>
      <c r="D522"/>
      <c r="E522" s="69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  <c r="V522"/>
      <c r="W522"/>
      <c r="X522"/>
      <c r="Y522"/>
      <c r="Z522"/>
      <c r="AA522"/>
    </row>
    <row r="523" spans="2:27" s="25" customFormat="1" ht="15.75" customHeight="1" x14ac:dyDescent="0.2">
      <c r="B523" s="89"/>
      <c r="C523"/>
      <c r="D523"/>
      <c r="E523" s="69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  <c r="V523"/>
      <c r="W523"/>
      <c r="X523"/>
      <c r="Y523"/>
      <c r="Z523"/>
      <c r="AA523"/>
    </row>
    <row r="524" spans="2:27" s="25" customFormat="1" ht="15.75" customHeight="1" x14ac:dyDescent="0.2">
      <c r="B524" s="89"/>
      <c r="C524"/>
      <c r="D524"/>
      <c r="E524" s="69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  <c r="V524"/>
      <c r="W524"/>
      <c r="X524"/>
      <c r="Y524"/>
      <c r="Z524"/>
      <c r="AA524"/>
    </row>
    <row r="525" spans="2:27" s="25" customFormat="1" ht="15.75" customHeight="1" x14ac:dyDescent="0.2">
      <c r="B525" s="89"/>
      <c r="C525"/>
      <c r="D525"/>
      <c r="E525" s="69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  <c r="V525"/>
      <c r="W525"/>
      <c r="X525"/>
      <c r="Y525"/>
      <c r="Z525"/>
      <c r="AA525"/>
    </row>
    <row r="526" spans="2:27" s="25" customFormat="1" ht="15.75" customHeight="1" x14ac:dyDescent="0.2">
      <c r="B526" s="89"/>
      <c r="C526"/>
      <c r="D526"/>
      <c r="E526" s="69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  <c r="V526"/>
      <c r="W526"/>
      <c r="X526"/>
      <c r="Y526"/>
      <c r="Z526"/>
      <c r="AA526"/>
    </row>
    <row r="527" spans="2:27" s="25" customFormat="1" ht="15.75" customHeight="1" x14ac:dyDescent="0.2">
      <c r="B527" s="89"/>
      <c r="C527"/>
      <c r="D527"/>
      <c r="E527" s="69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  <c r="V527"/>
      <c r="W527"/>
      <c r="X527"/>
      <c r="Y527"/>
      <c r="Z527"/>
      <c r="AA527"/>
    </row>
    <row r="528" spans="2:27" s="25" customFormat="1" ht="15.75" customHeight="1" x14ac:dyDescent="0.2">
      <c r="B528" s="89"/>
      <c r="C528"/>
      <c r="D528"/>
      <c r="E528" s="69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  <c r="V528"/>
      <c r="W528"/>
      <c r="X528"/>
      <c r="Y528"/>
      <c r="Z528"/>
      <c r="AA528"/>
    </row>
    <row r="529" spans="2:27" s="25" customFormat="1" ht="15.75" customHeight="1" x14ac:dyDescent="0.2">
      <c r="B529" s="89"/>
      <c r="C529"/>
      <c r="D529"/>
      <c r="E529" s="6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  <c r="V529"/>
      <c r="W529"/>
      <c r="X529"/>
      <c r="Y529"/>
      <c r="Z529"/>
      <c r="AA529"/>
    </row>
    <row r="530" spans="2:27" s="25" customFormat="1" ht="15.75" customHeight="1" x14ac:dyDescent="0.2">
      <c r="B530" s="89"/>
      <c r="C530"/>
      <c r="D530"/>
      <c r="E530" s="69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  <c r="V530"/>
      <c r="W530"/>
      <c r="X530"/>
      <c r="Y530"/>
      <c r="Z530"/>
      <c r="AA530"/>
    </row>
    <row r="531" spans="2:27" s="25" customFormat="1" ht="15.75" customHeight="1" x14ac:dyDescent="0.2">
      <c r="B531" s="89"/>
      <c r="C531"/>
      <c r="D531"/>
      <c r="E531" s="69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  <c r="V531"/>
      <c r="W531"/>
      <c r="X531"/>
      <c r="Y531"/>
      <c r="Z531"/>
      <c r="AA531"/>
    </row>
    <row r="532" spans="2:27" s="25" customFormat="1" ht="15.75" customHeight="1" x14ac:dyDescent="0.2">
      <c r="B532" s="89"/>
      <c r="C532"/>
      <c r="D532"/>
      <c r="E532" s="69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  <c r="V532"/>
      <c r="W532"/>
      <c r="X532"/>
      <c r="Y532"/>
      <c r="Z532"/>
      <c r="AA532"/>
    </row>
    <row r="533" spans="2:27" s="25" customFormat="1" ht="15.75" customHeight="1" x14ac:dyDescent="0.2">
      <c r="B533" s="89"/>
      <c r="C533"/>
      <c r="D533"/>
      <c r="E533" s="69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  <c r="V533"/>
      <c r="W533"/>
      <c r="X533"/>
      <c r="Y533"/>
      <c r="Z533"/>
      <c r="AA533"/>
    </row>
    <row r="534" spans="2:27" s="25" customFormat="1" ht="15.75" customHeight="1" x14ac:dyDescent="0.2">
      <c r="B534" s="89"/>
      <c r="C534"/>
      <c r="D534"/>
      <c r="E534" s="69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  <c r="V534"/>
      <c r="W534"/>
      <c r="X534"/>
      <c r="Y534"/>
      <c r="Z534"/>
      <c r="AA534"/>
    </row>
    <row r="535" spans="2:27" s="25" customFormat="1" ht="15.75" customHeight="1" x14ac:dyDescent="0.2">
      <c r="B535" s="89"/>
      <c r="C535"/>
      <c r="D535"/>
      <c r="E535" s="69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  <c r="V535"/>
      <c r="W535"/>
      <c r="X535"/>
      <c r="Y535"/>
      <c r="Z535"/>
      <c r="AA535"/>
    </row>
    <row r="536" spans="2:27" s="25" customFormat="1" ht="15.75" customHeight="1" x14ac:dyDescent="0.2">
      <c r="B536" s="89"/>
      <c r="C536"/>
      <c r="D536"/>
      <c r="E536" s="69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  <c r="V536"/>
      <c r="W536"/>
      <c r="X536"/>
      <c r="Y536"/>
      <c r="Z536"/>
      <c r="AA536"/>
    </row>
    <row r="537" spans="2:27" s="25" customFormat="1" ht="15.75" customHeight="1" x14ac:dyDescent="0.2">
      <c r="B537" s="89"/>
      <c r="C537"/>
      <c r="D537"/>
      <c r="E537" s="69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  <c r="V537"/>
      <c r="W537"/>
      <c r="X537"/>
      <c r="Y537"/>
      <c r="Z537"/>
      <c r="AA537"/>
    </row>
    <row r="538" spans="2:27" s="25" customFormat="1" ht="15.75" customHeight="1" x14ac:dyDescent="0.2">
      <c r="B538" s="89"/>
      <c r="C538"/>
      <c r="D538"/>
      <c r="E538" s="69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  <c r="V538"/>
      <c r="W538"/>
      <c r="X538"/>
      <c r="Y538"/>
      <c r="Z538"/>
      <c r="AA538"/>
    </row>
    <row r="539" spans="2:27" s="25" customFormat="1" ht="15.75" customHeight="1" x14ac:dyDescent="0.2">
      <c r="B539" s="89"/>
      <c r="C539"/>
      <c r="D539"/>
      <c r="E539" s="6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  <c r="V539"/>
      <c r="W539"/>
      <c r="X539"/>
      <c r="Y539"/>
      <c r="Z539"/>
      <c r="AA539"/>
    </row>
    <row r="540" spans="2:27" s="25" customFormat="1" ht="15.75" customHeight="1" x14ac:dyDescent="0.2">
      <c r="B540" s="89"/>
      <c r="C540"/>
      <c r="D540"/>
      <c r="E540" s="69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  <c r="V540"/>
      <c r="W540"/>
      <c r="X540"/>
      <c r="Y540"/>
      <c r="Z540"/>
      <c r="AA540"/>
    </row>
    <row r="541" spans="2:27" s="25" customFormat="1" ht="15.75" customHeight="1" x14ac:dyDescent="0.2">
      <c r="B541" s="89"/>
      <c r="C541"/>
      <c r="D541"/>
      <c r="E541" s="69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  <c r="V541"/>
      <c r="W541"/>
      <c r="X541"/>
      <c r="Y541"/>
      <c r="Z541"/>
      <c r="AA541"/>
    </row>
    <row r="542" spans="2:27" s="25" customFormat="1" ht="15.75" customHeight="1" x14ac:dyDescent="0.2">
      <c r="B542" s="89"/>
      <c r="C542"/>
      <c r="D542"/>
      <c r="E542" s="69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  <c r="V542"/>
      <c r="W542"/>
      <c r="X542"/>
      <c r="Y542"/>
      <c r="Z542"/>
      <c r="AA542"/>
    </row>
    <row r="543" spans="2:27" s="25" customFormat="1" ht="15.75" customHeight="1" x14ac:dyDescent="0.2">
      <c r="B543" s="89"/>
      <c r="C543"/>
      <c r="D543"/>
      <c r="E543" s="69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  <c r="V543"/>
      <c r="W543"/>
      <c r="X543"/>
      <c r="Y543"/>
      <c r="Z543"/>
      <c r="AA543"/>
    </row>
    <row r="544" spans="2:27" s="25" customFormat="1" ht="15.75" customHeight="1" x14ac:dyDescent="0.2">
      <c r="B544" s="89"/>
      <c r="C544"/>
      <c r="D544"/>
      <c r="E544" s="69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  <c r="V544"/>
      <c r="W544"/>
      <c r="X544"/>
      <c r="Y544"/>
      <c r="Z544"/>
      <c r="AA544"/>
    </row>
    <row r="545" spans="2:27" s="25" customFormat="1" ht="15.75" customHeight="1" x14ac:dyDescent="0.2">
      <c r="B545" s="89"/>
      <c r="C545"/>
      <c r="D545"/>
      <c r="E545" s="69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  <c r="V545"/>
      <c r="W545"/>
      <c r="X545"/>
      <c r="Y545"/>
      <c r="Z545"/>
      <c r="AA545"/>
    </row>
    <row r="546" spans="2:27" s="25" customFormat="1" ht="15.75" customHeight="1" x14ac:dyDescent="0.2">
      <c r="B546" s="89"/>
      <c r="C546"/>
      <c r="D546"/>
      <c r="E546" s="69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  <c r="V546"/>
      <c r="W546"/>
      <c r="X546"/>
      <c r="Y546"/>
      <c r="Z546"/>
      <c r="AA546"/>
    </row>
    <row r="547" spans="2:27" s="25" customFormat="1" ht="15.75" customHeight="1" x14ac:dyDescent="0.2">
      <c r="B547" s="89"/>
      <c r="C547"/>
      <c r="D547"/>
      <c r="E547" s="69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  <c r="V547"/>
      <c r="W547"/>
      <c r="X547"/>
      <c r="Y547"/>
      <c r="Z547"/>
      <c r="AA547"/>
    </row>
    <row r="548" spans="2:27" s="25" customFormat="1" ht="15.75" customHeight="1" x14ac:dyDescent="0.2">
      <c r="B548" s="89"/>
      <c r="C548"/>
      <c r="D548"/>
      <c r="E548" s="69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  <c r="V548"/>
      <c r="W548"/>
      <c r="X548"/>
      <c r="Y548"/>
      <c r="Z548"/>
      <c r="AA548"/>
    </row>
    <row r="549" spans="2:27" s="25" customFormat="1" ht="15.75" customHeight="1" x14ac:dyDescent="0.2">
      <c r="B549" s="89"/>
      <c r="C549"/>
      <c r="D549"/>
      <c r="E549" s="6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  <c r="U549"/>
      <c r="V549"/>
      <c r="W549"/>
      <c r="X549"/>
      <c r="Y549"/>
      <c r="Z549"/>
      <c r="AA549"/>
    </row>
    <row r="550" spans="2:27" s="25" customFormat="1" ht="15.75" customHeight="1" x14ac:dyDescent="0.2">
      <c r="B550" s="89"/>
      <c r="C550"/>
      <c r="D550"/>
      <c r="E550" s="69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  <c r="V550"/>
      <c r="W550"/>
      <c r="X550"/>
      <c r="Y550"/>
      <c r="Z550"/>
      <c r="AA550"/>
    </row>
    <row r="551" spans="2:27" s="25" customFormat="1" ht="15.75" customHeight="1" x14ac:dyDescent="0.2">
      <c r="B551" s="89"/>
      <c r="C551"/>
      <c r="D551"/>
      <c r="E551" s="69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  <c r="V551"/>
      <c r="W551"/>
      <c r="X551"/>
      <c r="Y551"/>
      <c r="Z551"/>
      <c r="AA551"/>
    </row>
    <row r="552" spans="2:27" s="25" customFormat="1" ht="15.75" customHeight="1" x14ac:dyDescent="0.2">
      <c r="B552" s="89"/>
      <c r="C552"/>
      <c r="D552"/>
      <c r="E552" s="69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  <c r="V552"/>
      <c r="W552"/>
      <c r="X552"/>
      <c r="Y552"/>
      <c r="Z552"/>
      <c r="AA552"/>
    </row>
    <row r="553" spans="2:27" s="25" customFormat="1" ht="15.75" customHeight="1" x14ac:dyDescent="0.2">
      <c r="B553" s="89"/>
      <c r="C553"/>
      <c r="D553"/>
      <c r="E553" s="69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  <c r="V553"/>
      <c r="W553"/>
      <c r="X553"/>
      <c r="Y553"/>
      <c r="Z553"/>
      <c r="AA553"/>
    </row>
    <row r="554" spans="2:27" s="25" customFormat="1" ht="15.75" customHeight="1" x14ac:dyDescent="0.2">
      <c r="B554" s="89"/>
      <c r="C554"/>
      <c r="D554"/>
      <c r="E554" s="69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  <c r="V554"/>
      <c r="W554"/>
      <c r="X554"/>
      <c r="Y554"/>
      <c r="Z554"/>
      <c r="AA554"/>
    </row>
    <row r="555" spans="2:27" s="25" customFormat="1" ht="15.75" customHeight="1" x14ac:dyDescent="0.2">
      <c r="B555" s="89"/>
      <c r="C555"/>
      <c r="D555"/>
      <c r="E555" s="69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  <c r="V555"/>
      <c r="W555"/>
      <c r="X555"/>
      <c r="Y555"/>
      <c r="Z555"/>
      <c r="AA555"/>
    </row>
    <row r="556" spans="2:27" s="25" customFormat="1" ht="15.75" customHeight="1" x14ac:dyDescent="0.2">
      <c r="B556" s="89"/>
      <c r="C556"/>
      <c r="D556"/>
      <c r="E556" s="69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  <c r="V556"/>
      <c r="W556"/>
      <c r="X556"/>
      <c r="Y556"/>
      <c r="Z556"/>
      <c r="AA556"/>
    </row>
    <row r="557" spans="2:27" s="25" customFormat="1" ht="15.75" customHeight="1" x14ac:dyDescent="0.2">
      <c r="B557" s="89"/>
      <c r="C557"/>
      <c r="D557"/>
      <c r="E557" s="69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  <c r="V557"/>
      <c r="W557"/>
      <c r="X557"/>
      <c r="Y557"/>
      <c r="Z557"/>
      <c r="AA557"/>
    </row>
    <row r="558" spans="2:27" s="25" customFormat="1" ht="15.75" customHeight="1" x14ac:dyDescent="0.2">
      <c r="B558" s="89"/>
      <c r="C558"/>
      <c r="D558"/>
      <c r="E558" s="69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  <c r="V558"/>
      <c r="W558"/>
      <c r="X558"/>
      <c r="Y558"/>
      <c r="Z558"/>
      <c r="AA558"/>
    </row>
    <row r="559" spans="2:27" s="25" customFormat="1" ht="15.75" customHeight="1" x14ac:dyDescent="0.2">
      <c r="B559" s="89"/>
      <c r="C559"/>
      <c r="D559"/>
      <c r="E559" s="6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  <c r="V559"/>
      <c r="W559"/>
      <c r="X559"/>
      <c r="Y559"/>
      <c r="Z559"/>
      <c r="AA559"/>
    </row>
    <row r="560" spans="2:27" s="25" customFormat="1" ht="15.75" customHeight="1" x14ac:dyDescent="0.2">
      <c r="B560" s="89"/>
      <c r="C560"/>
      <c r="D560"/>
      <c r="E560" s="69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  <c r="V560"/>
      <c r="W560"/>
      <c r="X560"/>
      <c r="Y560"/>
      <c r="Z560"/>
      <c r="AA560"/>
    </row>
    <row r="561" spans="2:27" s="25" customFormat="1" ht="15.75" customHeight="1" x14ac:dyDescent="0.2">
      <c r="B561" s="89"/>
      <c r="C561"/>
      <c r="D561"/>
      <c r="E561" s="69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  <c r="V561"/>
      <c r="W561"/>
      <c r="X561"/>
      <c r="Y561"/>
      <c r="Z561"/>
      <c r="AA561"/>
    </row>
    <row r="562" spans="2:27" s="25" customFormat="1" ht="15.75" customHeight="1" x14ac:dyDescent="0.2">
      <c r="B562" s="89"/>
      <c r="C562"/>
      <c r="D562"/>
      <c r="E562" s="69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  <c r="V562"/>
      <c r="W562"/>
      <c r="X562"/>
      <c r="Y562"/>
      <c r="Z562"/>
      <c r="AA562"/>
    </row>
    <row r="563" spans="2:27" s="25" customFormat="1" ht="15.75" customHeight="1" x14ac:dyDescent="0.2">
      <c r="B563" s="89"/>
      <c r="C563"/>
      <c r="D563"/>
      <c r="E563" s="69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  <c r="V563"/>
      <c r="W563"/>
      <c r="X563"/>
      <c r="Y563"/>
      <c r="Z563"/>
      <c r="AA563"/>
    </row>
    <row r="564" spans="2:27" s="25" customFormat="1" ht="15.75" customHeight="1" x14ac:dyDescent="0.2">
      <c r="B564" s="89"/>
      <c r="C564"/>
      <c r="D564"/>
      <c r="E564" s="69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  <c r="V564"/>
      <c r="W564"/>
      <c r="X564"/>
      <c r="Y564"/>
      <c r="Z564"/>
      <c r="AA564"/>
    </row>
    <row r="565" spans="2:27" s="25" customFormat="1" ht="15.75" customHeight="1" x14ac:dyDescent="0.2">
      <c r="B565" s="89"/>
      <c r="C565"/>
      <c r="D565"/>
      <c r="E565" s="69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  <c r="V565"/>
      <c r="W565"/>
      <c r="X565"/>
      <c r="Y565"/>
      <c r="Z565"/>
      <c r="AA565"/>
    </row>
    <row r="566" spans="2:27" s="25" customFormat="1" ht="15.75" customHeight="1" x14ac:dyDescent="0.2">
      <c r="B566" s="89"/>
      <c r="C566"/>
      <c r="D566"/>
      <c r="E566" s="69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  <c r="V566"/>
      <c r="W566"/>
      <c r="X566"/>
      <c r="Y566"/>
      <c r="Z566"/>
      <c r="AA566"/>
    </row>
    <row r="567" spans="2:27" s="25" customFormat="1" ht="15.75" customHeight="1" x14ac:dyDescent="0.2">
      <c r="B567" s="89"/>
      <c r="C567"/>
      <c r="D567"/>
      <c r="E567" s="69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  <c r="V567"/>
      <c r="W567"/>
      <c r="X567"/>
      <c r="Y567"/>
      <c r="Z567"/>
      <c r="AA567"/>
    </row>
    <row r="568" spans="2:27" s="25" customFormat="1" ht="15.75" customHeight="1" x14ac:dyDescent="0.2">
      <c r="B568" s="89"/>
      <c r="C568"/>
      <c r="D568"/>
      <c r="E568" s="69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  <c r="V568"/>
      <c r="W568"/>
      <c r="X568"/>
      <c r="Y568"/>
      <c r="Z568"/>
      <c r="AA568"/>
    </row>
    <row r="569" spans="2:27" s="25" customFormat="1" ht="15.75" customHeight="1" x14ac:dyDescent="0.2">
      <c r="B569" s="89"/>
      <c r="C569"/>
      <c r="D569"/>
      <c r="E569" s="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  <c r="V569"/>
      <c r="W569"/>
      <c r="X569"/>
      <c r="Y569"/>
      <c r="Z569"/>
      <c r="AA569"/>
    </row>
    <row r="570" spans="2:27" s="25" customFormat="1" ht="15.75" customHeight="1" x14ac:dyDescent="0.2">
      <c r="B570" s="89"/>
      <c r="C570"/>
      <c r="D570"/>
      <c r="E570" s="69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  <c r="V570"/>
      <c r="W570"/>
      <c r="X570"/>
      <c r="Y570"/>
      <c r="Z570"/>
      <c r="AA570"/>
    </row>
    <row r="571" spans="2:27" s="25" customFormat="1" ht="15.75" customHeight="1" x14ac:dyDescent="0.2">
      <c r="B571" s="89"/>
      <c r="C571"/>
      <c r="D571"/>
      <c r="E571" s="69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  <c r="V571"/>
      <c r="W571"/>
      <c r="X571"/>
      <c r="Y571"/>
      <c r="Z571"/>
      <c r="AA571"/>
    </row>
    <row r="572" spans="2:27" s="25" customFormat="1" ht="15.75" customHeight="1" x14ac:dyDescent="0.2">
      <c r="B572" s="89"/>
      <c r="C572"/>
      <c r="D572"/>
      <c r="E572" s="69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  <c r="V572"/>
      <c r="W572"/>
      <c r="X572"/>
      <c r="Y572"/>
      <c r="Z572"/>
      <c r="AA572"/>
    </row>
    <row r="573" spans="2:27" s="25" customFormat="1" ht="15.75" customHeight="1" x14ac:dyDescent="0.2">
      <c r="B573" s="89"/>
      <c r="C573"/>
      <c r="D573"/>
      <c r="E573" s="69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  <c r="V573"/>
      <c r="W573"/>
      <c r="X573"/>
      <c r="Y573"/>
      <c r="Z573"/>
      <c r="AA573"/>
    </row>
    <row r="574" spans="2:27" s="25" customFormat="1" ht="15.75" customHeight="1" x14ac:dyDescent="0.2">
      <c r="B574" s="89"/>
      <c r="C574"/>
      <c r="D574"/>
      <c r="E574" s="69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  <c r="V574"/>
      <c r="W574"/>
      <c r="X574"/>
      <c r="Y574"/>
      <c r="Z574"/>
      <c r="AA574"/>
    </row>
    <row r="575" spans="2:27" s="25" customFormat="1" ht="15.75" customHeight="1" x14ac:dyDescent="0.2">
      <c r="B575" s="89"/>
      <c r="C575"/>
      <c r="D575"/>
      <c r="E575" s="69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  <c r="V575"/>
      <c r="W575"/>
      <c r="X575"/>
      <c r="Y575"/>
      <c r="Z575"/>
      <c r="AA575"/>
    </row>
    <row r="576" spans="2:27" s="25" customFormat="1" ht="15.75" customHeight="1" x14ac:dyDescent="0.2">
      <c r="B576" s="89"/>
      <c r="C576"/>
      <c r="D576"/>
      <c r="E576" s="69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  <c r="V576"/>
      <c r="W576"/>
      <c r="X576"/>
      <c r="Y576"/>
      <c r="Z576"/>
      <c r="AA576"/>
    </row>
    <row r="577" spans="2:27" s="25" customFormat="1" ht="15.75" customHeight="1" x14ac:dyDescent="0.2">
      <c r="B577" s="89"/>
      <c r="C577"/>
      <c r="D577"/>
      <c r="E577" s="69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  <c r="V577"/>
      <c r="W577"/>
      <c r="X577"/>
      <c r="Y577"/>
      <c r="Z577"/>
      <c r="AA577"/>
    </row>
    <row r="578" spans="2:27" s="25" customFormat="1" ht="15.75" customHeight="1" x14ac:dyDescent="0.2">
      <c r="B578" s="89"/>
      <c r="C578"/>
      <c r="D578"/>
      <c r="E578" s="69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  <c r="V578"/>
      <c r="W578"/>
      <c r="X578"/>
      <c r="Y578"/>
      <c r="Z578"/>
      <c r="AA578"/>
    </row>
    <row r="579" spans="2:27" s="25" customFormat="1" ht="15.75" customHeight="1" x14ac:dyDescent="0.2">
      <c r="B579" s="89"/>
      <c r="C579"/>
      <c r="D579"/>
      <c r="E579" s="6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  <c r="V579"/>
      <c r="W579"/>
      <c r="X579"/>
      <c r="Y579"/>
      <c r="Z579"/>
      <c r="AA579"/>
    </row>
    <row r="580" spans="2:27" s="25" customFormat="1" ht="15.75" customHeight="1" x14ac:dyDescent="0.2">
      <c r="B580" s="89"/>
      <c r="C580"/>
      <c r="D580"/>
      <c r="E580" s="69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  <c r="V580"/>
      <c r="W580"/>
      <c r="X580"/>
      <c r="Y580"/>
      <c r="Z580"/>
      <c r="AA580"/>
    </row>
    <row r="581" spans="2:27" s="25" customFormat="1" ht="15.75" customHeight="1" x14ac:dyDescent="0.2">
      <c r="B581" s="89"/>
      <c r="C581"/>
      <c r="D581"/>
      <c r="E581" s="69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  <c r="V581"/>
      <c r="W581"/>
      <c r="X581"/>
      <c r="Y581"/>
      <c r="Z581"/>
      <c r="AA581"/>
    </row>
    <row r="582" spans="2:27" s="25" customFormat="1" ht="15.75" customHeight="1" x14ac:dyDescent="0.2">
      <c r="B582" s="89"/>
      <c r="C582"/>
      <c r="D582"/>
      <c r="E582" s="69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  <c r="V582"/>
      <c r="W582"/>
      <c r="X582"/>
      <c r="Y582"/>
      <c r="Z582"/>
      <c r="AA582"/>
    </row>
    <row r="583" spans="2:27" s="25" customFormat="1" ht="15.75" customHeight="1" x14ac:dyDescent="0.2">
      <c r="B583" s="89"/>
      <c r="C583"/>
      <c r="D583"/>
      <c r="E583" s="69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  <c r="U583"/>
      <c r="V583"/>
      <c r="W583"/>
      <c r="X583"/>
      <c r="Y583"/>
      <c r="Z583"/>
      <c r="AA583"/>
    </row>
    <row r="584" spans="2:27" s="25" customFormat="1" ht="15.75" customHeight="1" x14ac:dyDescent="0.2">
      <c r="B584" s="89"/>
      <c r="C584"/>
      <c r="D584"/>
      <c r="E584" s="69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  <c r="V584"/>
      <c r="W584"/>
      <c r="X584"/>
      <c r="Y584"/>
      <c r="Z584"/>
      <c r="AA584"/>
    </row>
    <row r="585" spans="2:27" s="25" customFormat="1" ht="15.75" customHeight="1" x14ac:dyDescent="0.2">
      <c r="B585" s="89"/>
      <c r="C585"/>
      <c r="D585"/>
      <c r="E585" s="69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  <c r="V585"/>
      <c r="W585"/>
      <c r="X585"/>
      <c r="Y585"/>
      <c r="Z585"/>
      <c r="AA585"/>
    </row>
    <row r="586" spans="2:27" s="25" customFormat="1" ht="15.75" customHeight="1" x14ac:dyDescent="0.2">
      <c r="B586" s="89"/>
      <c r="C586"/>
      <c r="D586"/>
      <c r="E586" s="69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  <c r="V586"/>
      <c r="W586"/>
      <c r="X586"/>
      <c r="Y586"/>
      <c r="Z586"/>
      <c r="AA586"/>
    </row>
    <row r="587" spans="2:27" s="25" customFormat="1" ht="15.75" customHeight="1" x14ac:dyDescent="0.2">
      <c r="B587" s="89"/>
      <c r="C587"/>
      <c r="D587"/>
      <c r="E587" s="69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  <c r="V587"/>
      <c r="W587"/>
      <c r="X587"/>
      <c r="Y587"/>
      <c r="Z587"/>
      <c r="AA587"/>
    </row>
    <row r="588" spans="2:27" s="25" customFormat="1" ht="15.75" customHeight="1" x14ac:dyDescent="0.2">
      <c r="B588" s="89"/>
      <c r="C588"/>
      <c r="D588"/>
      <c r="E588" s="69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  <c r="V588"/>
      <c r="W588"/>
      <c r="X588"/>
      <c r="Y588"/>
      <c r="Z588"/>
      <c r="AA588"/>
    </row>
    <row r="589" spans="2:27" s="25" customFormat="1" ht="15.75" customHeight="1" x14ac:dyDescent="0.2">
      <c r="B589" s="89"/>
      <c r="C589"/>
      <c r="D589"/>
      <c r="E589" s="6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  <c r="V589"/>
      <c r="W589"/>
      <c r="X589"/>
      <c r="Y589"/>
      <c r="Z589"/>
      <c r="AA589"/>
    </row>
    <row r="590" spans="2:27" s="25" customFormat="1" ht="15.75" customHeight="1" x14ac:dyDescent="0.2">
      <c r="B590" s="89"/>
      <c r="C590"/>
      <c r="D590"/>
      <c r="E590" s="69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  <c r="V590"/>
      <c r="W590"/>
      <c r="X590"/>
      <c r="Y590"/>
      <c r="Z590"/>
      <c r="AA590"/>
    </row>
    <row r="591" spans="2:27" s="25" customFormat="1" ht="15.75" customHeight="1" x14ac:dyDescent="0.2">
      <c r="B591" s="89"/>
      <c r="C591"/>
      <c r="D591"/>
      <c r="E591" s="69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  <c r="U591"/>
      <c r="V591"/>
      <c r="W591"/>
      <c r="X591"/>
      <c r="Y591"/>
      <c r="Z591"/>
      <c r="AA591"/>
    </row>
    <row r="592" spans="2:27" s="25" customFormat="1" ht="15.75" customHeight="1" x14ac:dyDescent="0.2">
      <c r="B592" s="89"/>
      <c r="C592"/>
      <c r="D592"/>
      <c r="E592" s="69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  <c r="V592"/>
      <c r="W592"/>
      <c r="X592"/>
      <c r="Y592"/>
      <c r="Z592"/>
      <c r="AA592"/>
    </row>
    <row r="593" spans="2:27" s="25" customFormat="1" ht="15.75" customHeight="1" x14ac:dyDescent="0.2">
      <c r="B593" s="89"/>
      <c r="C593"/>
      <c r="D593"/>
      <c r="E593" s="69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  <c r="V593"/>
      <c r="W593"/>
      <c r="X593"/>
      <c r="Y593"/>
      <c r="Z593"/>
      <c r="AA593"/>
    </row>
    <row r="594" spans="2:27" s="25" customFormat="1" ht="15.75" customHeight="1" x14ac:dyDescent="0.2">
      <c r="B594" s="89"/>
      <c r="C594"/>
      <c r="D594"/>
      <c r="E594" s="69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  <c r="V594"/>
      <c r="W594"/>
      <c r="X594"/>
      <c r="Y594"/>
      <c r="Z594"/>
      <c r="AA594"/>
    </row>
    <row r="595" spans="2:27" s="25" customFormat="1" ht="15.75" customHeight="1" x14ac:dyDescent="0.2">
      <c r="B595" s="89"/>
      <c r="C595"/>
      <c r="D595"/>
      <c r="E595" s="69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  <c r="V595"/>
      <c r="W595"/>
      <c r="X595"/>
      <c r="Y595"/>
      <c r="Z595"/>
      <c r="AA595"/>
    </row>
    <row r="596" spans="2:27" s="25" customFormat="1" ht="15.75" customHeight="1" x14ac:dyDescent="0.2">
      <c r="B596" s="89"/>
      <c r="C596"/>
      <c r="D596"/>
      <c r="E596" s="69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  <c r="V596"/>
      <c r="W596"/>
      <c r="X596"/>
      <c r="Y596"/>
      <c r="Z596"/>
      <c r="AA596"/>
    </row>
    <row r="597" spans="2:27" s="25" customFormat="1" ht="15.75" customHeight="1" x14ac:dyDescent="0.2">
      <c r="B597" s="89"/>
      <c r="C597"/>
      <c r="D597"/>
      <c r="E597" s="69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  <c r="V597"/>
      <c r="W597"/>
      <c r="X597"/>
      <c r="Y597"/>
      <c r="Z597"/>
      <c r="AA597"/>
    </row>
    <row r="598" spans="2:27" s="25" customFormat="1" ht="15.75" customHeight="1" x14ac:dyDescent="0.2">
      <c r="B598" s="89"/>
      <c r="C598"/>
      <c r="D598"/>
      <c r="E598" s="69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  <c r="V598"/>
      <c r="W598"/>
      <c r="X598"/>
      <c r="Y598"/>
      <c r="Z598"/>
      <c r="AA598"/>
    </row>
    <row r="599" spans="2:27" s="25" customFormat="1" ht="15.75" customHeight="1" x14ac:dyDescent="0.2">
      <c r="B599" s="89"/>
      <c r="C599"/>
      <c r="D599"/>
      <c r="E599" s="6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  <c r="V599"/>
      <c r="W599"/>
      <c r="X599"/>
      <c r="Y599"/>
      <c r="Z599"/>
      <c r="AA599"/>
    </row>
    <row r="600" spans="2:27" s="25" customFormat="1" ht="15.75" customHeight="1" x14ac:dyDescent="0.2">
      <c r="B600" s="89"/>
      <c r="C600"/>
      <c r="D600"/>
      <c r="E600" s="69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  <c r="V600"/>
      <c r="W600"/>
      <c r="X600"/>
      <c r="Y600"/>
      <c r="Z600"/>
      <c r="AA600"/>
    </row>
    <row r="601" spans="2:27" s="25" customFormat="1" ht="15.75" customHeight="1" x14ac:dyDescent="0.2">
      <c r="B601" s="89"/>
      <c r="C601"/>
      <c r="D601"/>
      <c r="E601" s="69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  <c r="V601"/>
      <c r="W601"/>
      <c r="X601"/>
      <c r="Y601"/>
      <c r="Z601"/>
      <c r="AA601"/>
    </row>
    <row r="602" spans="2:27" s="25" customFormat="1" ht="15.75" customHeight="1" x14ac:dyDescent="0.2">
      <c r="B602" s="89"/>
      <c r="C602"/>
      <c r="D602"/>
      <c r="E602" s="69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  <c r="V602"/>
      <c r="W602"/>
      <c r="X602"/>
      <c r="Y602"/>
      <c r="Z602"/>
      <c r="AA602"/>
    </row>
    <row r="603" spans="2:27" s="25" customFormat="1" ht="15.75" customHeight="1" x14ac:dyDescent="0.2">
      <c r="B603" s="89"/>
      <c r="C603"/>
      <c r="D603"/>
      <c r="E603" s="69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  <c r="V603"/>
      <c r="W603"/>
      <c r="X603"/>
      <c r="Y603"/>
      <c r="Z603"/>
      <c r="AA603"/>
    </row>
    <row r="604" spans="2:27" s="25" customFormat="1" ht="15.75" customHeight="1" x14ac:dyDescent="0.2">
      <c r="B604" s="89"/>
      <c r="C604"/>
      <c r="D604"/>
      <c r="E604" s="69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  <c r="V604"/>
      <c r="W604"/>
      <c r="X604"/>
      <c r="Y604"/>
      <c r="Z604"/>
      <c r="AA604"/>
    </row>
    <row r="605" spans="2:27" s="25" customFormat="1" ht="15.75" customHeight="1" x14ac:dyDescent="0.2">
      <c r="B605" s="89"/>
      <c r="C605"/>
      <c r="D605"/>
      <c r="E605" s="69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  <c r="V605"/>
      <c r="W605"/>
      <c r="X605"/>
      <c r="Y605"/>
      <c r="Z605"/>
      <c r="AA605"/>
    </row>
    <row r="606" spans="2:27" s="25" customFormat="1" ht="15.75" customHeight="1" x14ac:dyDescent="0.2">
      <c r="B606" s="89"/>
      <c r="C606"/>
      <c r="D606"/>
      <c r="E606" s="69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  <c r="U606"/>
      <c r="V606"/>
      <c r="W606"/>
      <c r="X606"/>
      <c r="Y606"/>
      <c r="Z606"/>
      <c r="AA606"/>
    </row>
    <row r="607" spans="2:27" s="25" customFormat="1" ht="15.75" customHeight="1" x14ac:dyDescent="0.2">
      <c r="B607" s="89"/>
      <c r="C607"/>
      <c r="D607"/>
      <c r="E607" s="69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  <c r="U607"/>
      <c r="V607"/>
      <c r="W607"/>
      <c r="X607"/>
      <c r="Y607"/>
      <c r="Z607"/>
      <c r="AA607"/>
    </row>
    <row r="608" spans="2:27" s="25" customFormat="1" ht="15.75" customHeight="1" x14ac:dyDescent="0.2">
      <c r="B608" s="89"/>
      <c r="C608"/>
      <c r="D608"/>
      <c r="E608" s="69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  <c r="V608"/>
      <c r="W608"/>
      <c r="X608"/>
      <c r="Y608"/>
      <c r="Z608"/>
      <c r="AA608"/>
    </row>
    <row r="609" spans="2:27" s="25" customFormat="1" ht="15.75" customHeight="1" x14ac:dyDescent="0.2">
      <c r="B609" s="89"/>
      <c r="C609"/>
      <c r="D609"/>
      <c r="E609" s="6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  <c r="V609"/>
      <c r="W609"/>
      <c r="X609"/>
      <c r="Y609"/>
      <c r="Z609"/>
      <c r="AA609"/>
    </row>
    <row r="610" spans="2:27" s="25" customFormat="1" ht="15.75" customHeight="1" x14ac:dyDescent="0.2">
      <c r="B610" s="89"/>
      <c r="C610"/>
      <c r="D610"/>
      <c r="E610" s="69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  <c r="V610"/>
      <c r="W610"/>
      <c r="X610"/>
      <c r="Y610"/>
      <c r="Z610"/>
      <c r="AA610"/>
    </row>
    <row r="611" spans="2:27" s="25" customFormat="1" ht="15.75" customHeight="1" x14ac:dyDescent="0.2">
      <c r="B611" s="89"/>
      <c r="C611"/>
      <c r="D611"/>
      <c r="E611" s="69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  <c r="V611"/>
      <c r="W611"/>
      <c r="X611"/>
      <c r="Y611"/>
      <c r="Z611"/>
      <c r="AA611"/>
    </row>
    <row r="612" spans="2:27" s="25" customFormat="1" ht="15.75" customHeight="1" x14ac:dyDescent="0.2">
      <c r="B612" s="89"/>
      <c r="C612"/>
      <c r="D612"/>
      <c r="E612" s="69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  <c r="V612"/>
      <c r="W612"/>
      <c r="X612"/>
      <c r="Y612"/>
      <c r="Z612"/>
      <c r="AA612"/>
    </row>
    <row r="613" spans="2:27" s="25" customFormat="1" ht="15.75" customHeight="1" x14ac:dyDescent="0.2">
      <c r="B613" s="89"/>
      <c r="C613"/>
      <c r="D613"/>
      <c r="E613" s="69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  <c r="V613"/>
      <c r="W613"/>
      <c r="X613"/>
      <c r="Y613"/>
      <c r="Z613"/>
      <c r="AA613"/>
    </row>
    <row r="614" spans="2:27" s="25" customFormat="1" ht="15.75" customHeight="1" x14ac:dyDescent="0.2">
      <c r="B614" s="89"/>
      <c r="C614"/>
      <c r="D614"/>
      <c r="E614" s="69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  <c r="V614"/>
      <c r="W614"/>
      <c r="X614"/>
      <c r="Y614"/>
      <c r="Z614"/>
      <c r="AA614"/>
    </row>
    <row r="615" spans="2:27" s="25" customFormat="1" ht="15.75" customHeight="1" x14ac:dyDescent="0.2">
      <c r="B615" s="89"/>
      <c r="C615"/>
      <c r="D615"/>
      <c r="E615" s="69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  <c r="V615"/>
      <c r="W615"/>
      <c r="X615"/>
      <c r="Y615"/>
      <c r="Z615"/>
      <c r="AA615"/>
    </row>
    <row r="616" spans="2:27" s="25" customFormat="1" ht="15.75" customHeight="1" x14ac:dyDescent="0.2">
      <c r="B616" s="89"/>
      <c r="C616"/>
      <c r="D616"/>
      <c r="E616" s="69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  <c r="V616"/>
      <c r="W616"/>
      <c r="X616"/>
      <c r="Y616"/>
      <c r="Z616"/>
      <c r="AA616"/>
    </row>
    <row r="617" spans="2:27" s="25" customFormat="1" ht="15.75" customHeight="1" x14ac:dyDescent="0.2">
      <c r="B617" s="89"/>
      <c r="C617"/>
      <c r="D617"/>
      <c r="E617" s="69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  <c r="V617"/>
      <c r="W617"/>
      <c r="X617"/>
      <c r="Y617"/>
      <c r="Z617"/>
      <c r="AA617"/>
    </row>
    <row r="618" spans="2:27" s="25" customFormat="1" ht="15.75" customHeight="1" x14ac:dyDescent="0.2">
      <c r="B618" s="89"/>
      <c r="C618"/>
      <c r="D618"/>
      <c r="E618" s="69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  <c r="V618"/>
      <c r="W618"/>
      <c r="X618"/>
      <c r="Y618"/>
      <c r="Z618"/>
      <c r="AA618"/>
    </row>
    <row r="619" spans="2:27" s="25" customFormat="1" ht="15.75" customHeight="1" x14ac:dyDescent="0.2">
      <c r="B619" s="89"/>
      <c r="C619"/>
      <c r="D619"/>
      <c r="E619" s="6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  <c r="V619"/>
      <c r="W619"/>
      <c r="X619"/>
      <c r="Y619"/>
      <c r="Z619"/>
      <c r="AA619"/>
    </row>
    <row r="620" spans="2:27" s="25" customFormat="1" ht="15.75" customHeight="1" x14ac:dyDescent="0.2">
      <c r="B620" s="89"/>
      <c r="C620"/>
      <c r="D620"/>
      <c r="E620" s="69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  <c r="V620"/>
      <c r="W620"/>
      <c r="X620"/>
      <c r="Y620"/>
      <c r="Z620"/>
      <c r="AA620"/>
    </row>
    <row r="621" spans="2:27" s="25" customFormat="1" ht="15.75" customHeight="1" x14ac:dyDescent="0.2">
      <c r="B621" s="89"/>
      <c r="C621"/>
      <c r="D621"/>
      <c r="E621" s="69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  <c r="V621"/>
      <c r="W621"/>
      <c r="X621"/>
      <c r="Y621"/>
      <c r="Z621"/>
      <c r="AA621"/>
    </row>
    <row r="622" spans="2:27" s="25" customFormat="1" ht="15.75" customHeight="1" x14ac:dyDescent="0.2">
      <c r="B622" s="89"/>
      <c r="C622"/>
      <c r="D622"/>
      <c r="E622" s="69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  <c r="V622"/>
      <c r="W622"/>
      <c r="X622"/>
      <c r="Y622"/>
      <c r="Z622"/>
      <c r="AA622"/>
    </row>
    <row r="623" spans="2:27" s="25" customFormat="1" ht="15.75" customHeight="1" x14ac:dyDescent="0.2">
      <c r="B623" s="89"/>
      <c r="C623"/>
      <c r="D623"/>
      <c r="E623" s="69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  <c r="V623"/>
      <c r="W623"/>
      <c r="X623"/>
      <c r="Y623"/>
      <c r="Z623"/>
      <c r="AA623"/>
    </row>
    <row r="624" spans="2:27" s="25" customFormat="1" ht="15.75" customHeight="1" x14ac:dyDescent="0.2">
      <c r="B624" s="89"/>
      <c r="C624"/>
      <c r="D624"/>
      <c r="E624" s="69"/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  <c r="T624"/>
      <c r="U624"/>
      <c r="V624"/>
      <c r="W624"/>
      <c r="X624"/>
      <c r="Y624"/>
      <c r="Z624"/>
      <c r="AA624"/>
    </row>
    <row r="625" spans="2:27" s="25" customFormat="1" ht="15.75" customHeight="1" x14ac:dyDescent="0.2">
      <c r="B625" s="89"/>
      <c r="C625"/>
      <c r="D625"/>
      <c r="E625" s="69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  <c r="V625"/>
      <c r="W625"/>
      <c r="X625"/>
      <c r="Y625"/>
      <c r="Z625"/>
      <c r="AA625"/>
    </row>
    <row r="626" spans="2:27" s="25" customFormat="1" ht="15.75" customHeight="1" x14ac:dyDescent="0.2">
      <c r="B626" s="89"/>
      <c r="C626"/>
      <c r="D626"/>
      <c r="E626" s="69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  <c r="V626"/>
      <c r="W626"/>
      <c r="X626"/>
      <c r="Y626"/>
      <c r="Z626"/>
      <c r="AA626"/>
    </row>
    <row r="627" spans="2:27" s="25" customFormat="1" ht="15.75" customHeight="1" x14ac:dyDescent="0.2">
      <c r="B627" s="89"/>
      <c r="C627"/>
      <c r="D627"/>
      <c r="E627" s="69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  <c r="V627"/>
      <c r="W627"/>
      <c r="X627"/>
      <c r="Y627"/>
      <c r="Z627"/>
      <c r="AA627"/>
    </row>
    <row r="628" spans="2:27" s="25" customFormat="1" ht="15.75" customHeight="1" x14ac:dyDescent="0.2">
      <c r="B628" s="89"/>
      <c r="C628"/>
      <c r="D628"/>
      <c r="E628" s="69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  <c r="V628"/>
      <c r="W628"/>
      <c r="X628"/>
      <c r="Y628"/>
      <c r="Z628"/>
      <c r="AA628"/>
    </row>
    <row r="629" spans="2:27" s="25" customFormat="1" ht="15.75" customHeight="1" x14ac:dyDescent="0.2">
      <c r="B629" s="89"/>
      <c r="C629"/>
      <c r="D629"/>
      <c r="E629" s="6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  <c r="V629"/>
      <c r="W629"/>
      <c r="X629"/>
      <c r="Y629"/>
      <c r="Z629"/>
      <c r="AA629"/>
    </row>
    <row r="630" spans="2:27" s="25" customFormat="1" ht="15.75" customHeight="1" x14ac:dyDescent="0.2">
      <c r="B630" s="89"/>
      <c r="C630"/>
      <c r="D630"/>
      <c r="E630" s="69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  <c r="V630"/>
      <c r="W630"/>
      <c r="X630"/>
      <c r="Y630"/>
      <c r="Z630"/>
      <c r="AA630"/>
    </row>
    <row r="631" spans="2:27" s="25" customFormat="1" ht="15.75" customHeight="1" x14ac:dyDescent="0.2">
      <c r="B631" s="89"/>
      <c r="C631"/>
      <c r="D631"/>
      <c r="E631" s="69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  <c r="V631"/>
      <c r="W631"/>
      <c r="X631"/>
      <c r="Y631"/>
      <c r="Z631"/>
      <c r="AA631"/>
    </row>
    <row r="632" spans="2:27" s="25" customFormat="1" ht="15.75" customHeight="1" x14ac:dyDescent="0.2">
      <c r="B632" s="89"/>
      <c r="C632"/>
      <c r="D632"/>
      <c r="E632" s="69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  <c r="V632"/>
      <c r="W632"/>
      <c r="X632"/>
      <c r="Y632"/>
      <c r="Z632"/>
      <c r="AA632"/>
    </row>
    <row r="633" spans="2:27" s="25" customFormat="1" ht="15.75" customHeight="1" x14ac:dyDescent="0.2">
      <c r="B633" s="89"/>
      <c r="C633"/>
      <c r="D633"/>
      <c r="E633" s="69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  <c r="V633"/>
      <c r="W633"/>
      <c r="X633"/>
      <c r="Y633"/>
      <c r="Z633"/>
      <c r="AA633"/>
    </row>
    <row r="634" spans="2:27" s="25" customFormat="1" ht="15.75" customHeight="1" x14ac:dyDescent="0.2">
      <c r="B634" s="89"/>
      <c r="C634"/>
      <c r="D634"/>
      <c r="E634" s="69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  <c r="V634"/>
      <c r="W634"/>
      <c r="X634"/>
      <c r="Y634"/>
      <c r="Z634"/>
      <c r="AA634"/>
    </row>
    <row r="635" spans="2:27" s="25" customFormat="1" ht="15.75" customHeight="1" x14ac:dyDescent="0.2">
      <c r="B635" s="89"/>
      <c r="C635"/>
      <c r="D635"/>
      <c r="E635" s="69"/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  <c r="V635"/>
      <c r="W635"/>
      <c r="X635"/>
      <c r="Y635"/>
      <c r="Z635"/>
      <c r="AA635"/>
    </row>
    <row r="636" spans="2:27" s="25" customFormat="1" ht="15.75" customHeight="1" x14ac:dyDescent="0.2">
      <c r="B636" s="89"/>
      <c r="C636"/>
      <c r="D636"/>
      <c r="E636" s="69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  <c r="V636"/>
      <c r="W636"/>
      <c r="X636"/>
      <c r="Y636"/>
      <c r="Z636"/>
      <c r="AA636"/>
    </row>
    <row r="637" spans="2:27" s="25" customFormat="1" ht="15.75" customHeight="1" x14ac:dyDescent="0.2">
      <c r="B637" s="89"/>
      <c r="C637"/>
      <c r="D637"/>
      <c r="E637" s="69"/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  <c r="V637"/>
      <c r="W637"/>
      <c r="X637"/>
      <c r="Y637"/>
      <c r="Z637"/>
      <c r="AA637"/>
    </row>
    <row r="638" spans="2:27" s="25" customFormat="1" ht="15.75" customHeight="1" x14ac:dyDescent="0.2">
      <c r="B638" s="89"/>
      <c r="C638"/>
      <c r="D638"/>
      <c r="E638" s="69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  <c r="V638"/>
      <c r="W638"/>
      <c r="X638"/>
      <c r="Y638"/>
      <c r="Z638"/>
      <c r="AA638"/>
    </row>
    <row r="639" spans="2:27" s="25" customFormat="1" ht="15.75" customHeight="1" x14ac:dyDescent="0.2">
      <c r="B639" s="89"/>
      <c r="C639"/>
      <c r="D639"/>
      <c r="E639" s="69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  <c r="U639"/>
      <c r="V639"/>
      <c r="W639"/>
      <c r="X639"/>
      <c r="Y639"/>
      <c r="Z639"/>
      <c r="AA639"/>
    </row>
    <row r="640" spans="2:27" s="25" customFormat="1" ht="15.75" customHeight="1" x14ac:dyDescent="0.2">
      <c r="B640" s="89"/>
      <c r="C640"/>
      <c r="D640"/>
      <c r="E640" s="69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  <c r="V640"/>
      <c r="W640"/>
      <c r="X640"/>
      <c r="Y640"/>
      <c r="Z640"/>
      <c r="AA640"/>
    </row>
    <row r="641" spans="2:27" s="25" customFormat="1" ht="15.75" customHeight="1" x14ac:dyDescent="0.2">
      <c r="B641" s="89"/>
      <c r="C641"/>
      <c r="D641"/>
      <c r="E641" s="69"/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/>
      <c r="U641"/>
      <c r="V641"/>
      <c r="W641"/>
      <c r="X641"/>
      <c r="Y641"/>
      <c r="Z641"/>
      <c r="AA641"/>
    </row>
    <row r="642" spans="2:27" s="25" customFormat="1" ht="15.75" customHeight="1" x14ac:dyDescent="0.2">
      <c r="B642" s="89"/>
      <c r="C642"/>
      <c r="D642"/>
      <c r="E642" s="69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  <c r="V642"/>
      <c r="W642"/>
      <c r="X642"/>
      <c r="Y642"/>
      <c r="Z642"/>
      <c r="AA642"/>
    </row>
    <row r="643" spans="2:27" s="25" customFormat="1" ht="15.75" customHeight="1" x14ac:dyDescent="0.2">
      <c r="B643" s="89"/>
      <c r="C643"/>
      <c r="D643"/>
      <c r="E643" s="69"/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  <c r="T643"/>
      <c r="U643"/>
      <c r="V643"/>
      <c r="W643"/>
      <c r="X643"/>
      <c r="Y643"/>
      <c r="Z643"/>
      <c r="AA643"/>
    </row>
    <row r="644" spans="2:27" s="25" customFormat="1" ht="15.75" customHeight="1" x14ac:dyDescent="0.2">
      <c r="B644" s="89"/>
      <c r="C644"/>
      <c r="D644"/>
      <c r="E644" s="69"/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  <c r="U644"/>
      <c r="V644"/>
      <c r="W644"/>
      <c r="X644"/>
      <c r="Y644"/>
      <c r="Z644"/>
      <c r="AA644"/>
    </row>
    <row r="645" spans="2:27" s="25" customFormat="1" ht="15.75" customHeight="1" x14ac:dyDescent="0.2">
      <c r="B645" s="89"/>
      <c r="C645"/>
      <c r="D645"/>
      <c r="E645" s="69"/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  <c r="T645"/>
      <c r="U645"/>
      <c r="V645"/>
      <c r="W645"/>
      <c r="X645"/>
      <c r="Y645"/>
      <c r="Z645"/>
      <c r="AA645"/>
    </row>
    <row r="646" spans="2:27" s="25" customFormat="1" ht="15.75" customHeight="1" x14ac:dyDescent="0.2">
      <c r="B646" s="89"/>
      <c r="C646"/>
      <c r="D646"/>
      <c r="E646" s="69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  <c r="U646"/>
      <c r="V646"/>
      <c r="W646"/>
      <c r="X646"/>
      <c r="Y646"/>
      <c r="Z646"/>
      <c r="AA646"/>
    </row>
    <row r="647" spans="2:27" s="25" customFormat="1" ht="15.75" customHeight="1" x14ac:dyDescent="0.2">
      <c r="B647" s="89"/>
      <c r="C647"/>
      <c r="D647"/>
      <c r="E647" s="69"/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  <c r="V647"/>
      <c r="W647"/>
      <c r="X647"/>
      <c r="Y647"/>
      <c r="Z647"/>
      <c r="AA647"/>
    </row>
    <row r="648" spans="2:27" s="25" customFormat="1" ht="15.75" customHeight="1" x14ac:dyDescent="0.2">
      <c r="B648" s="89"/>
      <c r="C648"/>
      <c r="D648"/>
      <c r="E648" s="69"/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  <c r="U648"/>
      <c r="V648"/>
      <c r="W648"/>
      <c r="X648"/>
      <c r="Y648"/>
      <c r="Z648"/>
      <c r="AA648"/>
    </row>
    <row r="649" spans="2:27" s="25" customFormat="1" ht="15.75" customHeight="1" x14ac:dyDescent="0.2">
      <c r="B649" s="89"/>
      <c r="C649"/>
      <c r="D649"/>
      <c r="E649" s="69"/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  <c r="T649"/>
      <c r="U649"/>
      <c r="V649"/>
      <c r="W649"/>
      <c r="X649"/>
      <c r="Y649"/>
      <c r="Z649"/>
      <c r="AA649"/>
    </row>
    <row r="650" spans="2:27" s="25" customFormat="1" ht="15.75" customHeight="1" x14ac:dyDescent="0.2">
      <c r="B650" s="89"/>
      <c r="C650"/>
      <c r="D650"/>
      <c r="E650" s="69"/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  <c r="T650"/>
      <c r="U650"/>
      <c r="V650"/>
      <c r="W650"/>
      <c r="X650"/>
      <c r="Y650"/>
      <c r="Z650"/>
      <c r="AA650"/>
    </row>
    <row r="651" spans="2:27" s="25" customFormat="1" ht="15.75" customHeight="1" x14ac:dyDescent="0.2">
      <c r="B651" s="89"/>
      <c r="C651"/>
      <c r="D651"/>
      <c r="E651" s="69"/>
      <c r="F651"/>
      <c r="G651"/>
      <c r="H651"/>
      <c r="I651"/>
      <c r="J651"/>
      <c r="K651"/>
      <c r="L651"/>
      <c r="M651"/>
      <c r="N651"/>
      <c r="O651"/>
      <c r="P651"/>
      <c r="Q651"/>
      <c r="R651"/>
      <c r="S651"/>
      <c r="T651"/>
      <c r="U651"/>
      <c r="V651"/>
      <c r="W651"/>
      <c r="X651"/>
      <c r="Y651"/>
      <c r="Z651"/>
      <c r="AA651"/>
    </row>
    <row r="652" spans="2:27" s="25" customFormat="1" ht="15.75" customHeight="1" x14ac:dyDescent="0.2">
      <c r="B652" s="89"/>
      <c r="C652"/>
      <c r="D652"/>
      <c r="E652" s="69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  <c r="V652"/>
      <c r="W652"/>
      <c r="X652"/>
      <c r="Y652"/>
      <c r="Z652"/>
      <c r="AA652"/>
    </row>
    <row r="653" spans="2:27" s="25" customFormat="1" ht="15.75" customHeight="1" x14ac:dyDescent="0.2">
      <c r="B653" s="89"/>
      <c r="C653"/>
      <c r="D653"/>
      <c r="E653" s="69"/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  <c r="T653"/>
      <c r="U653"/>
      <c r="V653"/>
      <c r="W653"/>
      <c r="X653"/>
      <c r="Y653"/>
      <c r="Z653"/>
      <c r="AA653"/>
    </row>
    <row r="654" spans="2:27" s="25" customFormat="1" ht="15.75" customHeight="1" x14ac:dyDescent="0.2">
      <c r="B654" s="89"/>
      <c r="C654"/>
      <c r="D654"/>
      <c r="E654" s="69"/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  <c r="T654"/>
      <c r="U654"/>
      <c r="V654"/>
      <c r="W654"/>
      <c r="X654"/>
      <c r="Y654"/>
      <c r="Z654"/>
      <c r="AA654"/>
    </row>
    <row r="655" spans="2:27" s="25" customFormat="1" ht="15.75" customHeight="1" x14ac:dyDescent="0.2">
      <c r="B655" s="89"/>
      <c r="C655"/>
      <c r="D655"/>
      <c r="E655" s="69"/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  <c r="V655"/>
      <c r="W655"/>
      <c r="X655"/>
      <c r="Y655"/>
      <c r="Z655"/>
      <c r="AA655"/>
    </row>
    <row r="656" spans="2:27" s="25" customFormat="1" ht="15.75" customHeight="1" x14ac:dyDescent="0.2">
      <c r="B656" s="89"/>
      <c r="C656"/>
      <c r="D656"/>
      <c r="E656" s="69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/>
      <c r="U656"/>
      <c r="V656"/>
      <c r="W656"/>
      <c r="X656"/>
      <c r="Y656"/>
      <c r="Z656"/>
      <c r="AA656"/>
    </row>
    <row r="657" spans="2:27" s="25" customFormat="1" ht="15.75" customHeight="1" x14ac:dyDescent="0.2">
      <c r="B657" s="89"/>
      <c r="C657"/>
      <c r="D657"/>
      <c r="E657" s="69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  <c r="V657"/>
      <c r="W657"/>
      <c r="X657"/>
      <c r="Y657"/>
      <c r="Z657"/>
      <c r="AA657"/>
    </row>
    <row r="658" spans="2:27" s="25" customFormat="1" ht="15.75" customHeight="1" x14ac:dyDescent="0.2">
      <c r="B658" s="89"/>
      <c r="C658"/>
      <c r="D658"/>
      <c r="E658" s="69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  <c r="U658"/>
      <c r="V658"/>
      <c r="W658"/>
      <c r="X658"/>
      <c r="Y658"/>
      <c r="Z658"/>
      <c r="AA658"/>
    </row>
    <row r="659" spans="2:27" s="25" customFormat="1" ht="15.75" customHeight="1" x14ac:dyDescent="0.2">
      <c r="B659" s="89"/>
      <c r="C659"/>
      <c r="D659"/>
      <c r="E659" s="69"/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  <c r="V659"/>
      <c r="W659"/>
      <c r="X659"/>
      <c r="Y659"/>
      <c r="Z659"/>
      <c r="AA659"/>
    </row>
    <row r="660" spans="2:27" s="25" customFormat="1" ht="15.75" customHeight="1" x14ac:dyDescent="0.2">
      <c r="B660" s="89"/>
      <c r="C660"/>
      <c r="D660"/>
      <c r="E660" s="69"/>
      <c r="F660"/>
      <c r="G660"/>
      <c r="H660"/>
      <c r="I660"/>
      <c r="J660"/>
      <c r="K660"/>
      <c r="L660"/>
      <c r="M660"/>
      <c r="N660"/>
      <c r="O660"/>
      <c r="P660"/>
      <c r="Q660"/>
      <c r="R660"/>
      <c r="S660"/>
      <c r="T660"/>
      <c r="U660"/>
      <c r="V660"/>
      <c r="W660"/>
      <c r="X660"/>
      <c r="Y660"/>
      <c r="Z660"/>
      <c r="AA660"/>
    </row>
    <row r="661" spans="2:27" s="25" customFormat="1" ht="15.75" customHeight="1" x14ac:dyDescent="0.2">
      <c r="B661" s="89"/>
      <c r="C661"/>
      <c r="D661"/>
      <c r="E661" s="69"/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  <c r="V661"/>
      <c r="W661"/>
      <c r="X661"/>
      <c r="Y661"/>
      <c r="Z661"/>
      <c r="AA661"/>
    </row>
    <row r="662" spans="2:27" s="25" customFormat="1" ht="15.75" customHeight="1" x14ac:dyDescent="0.2">
      <c r="B662" s="89"/>
      <c r="C662"/>
      <c r="D662"/>
      <c r="E662" s="69"/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  <c r="T662"/>
      <c r="U662"/>
      <c r="V662"/>
      <c r="W662"/>
      <c r="X662"/>
      <c r="Y662"/>
      <c r="Z662"/>
      <c r="AA662"/>
    </row>
    <row r="663" spans="2:27" s="25" customFormat="1" ht="15.75" customHeight="1" x14ac:dyDescent="0.2">
      <c r="B663" s="89"/>
      <c r="C663"/>
      <c r="D663"/>
      <c r="E663" s="69"/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  <c r="T663"/>
      <c r="U663"/>
      <c r="V663"/>
      <c r="W663"/>
      <c r="X663"/>
      <c r="Y663"/>
      <c r="Z663"/>
      <c r="AA663"/>
    </row>
    <row r="664" spans="2:27" s="25" customFormat="1" ht="15.75" customHeight="1" x14ac:dyDescent="0.2">
      <c r="B664" s="89"/>
      <c r="C664"/>
      <c r="D664"/>
      <c r="E664" s="69"/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/>
      <c r="U664"/>
      <c r="V664"/>
      <c r="W664"/>
      <c r="X664"/>
      <c r="Y664"/>
      <c r="Z664"/>
      <c r="AA664"/>
    </row>
    <row r="665" spans="2:27" s="25" customFormat="1" ht="15.75" customHeight="1" x14ac:dyDescent="0.2">
      <c r="B665" s="89"/>
      <c r="C665"/>
      <c r="D665"/>
      <c r="E665" s="69"/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  <c r="T665"/>
      <c r="U665"/>
      <c r="V665"/>
      <c r="W665"/>
      <c r="X665"/>
      <c r="Y665"/>
      <c r="Z665"/>
      <c r="AA665"/>
    </row>
    <row r="666" spans="2:27" s="25" customFormat="1" ht="15.75" customHeight="1" x14ac:dyDescent="0.2">
      <c r="B666" s="89"/>
      <c r="C666"/>
      <c r="D666"/>
      <c r="E666" s="69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  <c r="V666"/>
      <c r="W666"/>
      <c r="X666"/>
      <c r="Y666"/>
      <c r="Z666"/>
      <c r="AA666"/>
    </row>
    <row r="667" spans="2:27" s="25" customFormat="1" ht="15.75" customHeight="1" x14ac:dyDescent="0.2">
      <c r="B667" s="89"/>
      <c r="C667"/>
      <c r="D667"/>
      <c r="E667" s="69"/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  <c r="T667"/>
      <c r="U667"/>
      <c r="V667"/>
      <c r="W667"/>
      <c r="X667"/>
      <c r="Y667"/>
      <c r="Z667"/>
      <c r="AA667"/>
    </row>
    <row r="668" spans="2:27" s="25" customFormat="1" ht="15.75" customHeight="1" x14ac:dyDescent="0.2">
      <c r="B668" s="89"/>
      <c r="C668"/>
      <c r="D668"/>
      <c r="E668" s="69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  <c r="V668"/>
      <c r="W668"/>
      <c r="X668"/>
      <c r="Y668"/>
      <c r="Z668"/>
      <c r="AA668"/>
    </row>
    <row r="669" spans="2:27" s="25" customFormat="1" ht="15.75" customHeight="1" x14ac:dyDescent="0.2">
      <c r="B669" s="89"/>
      <c r="C669"/>
      <c r="D669"/>
      <c r="E669" s="69"/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  <c r="V669"/>
      <c r="W669"/>
      <c r="X669"/>
      <c r="Y669"/>
      <c r="Z669"/>
      <c r="AA669"/>
    </row>
    <row r="670" spans="2:27" s="25" customFormat="1" ht="15.75" customHeight="1" x14ac:dyDescent="0.2">
      <c r="B670" s="89"/>
      <c r="C670"/>
      <c r="D670"/>
      <c r="E670" s="69"/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  <c r="U670"/>
      <c r="V670"/>
      <c r="W670"/>
      <c r="X670"/>
      <c r="Y670"/>
      <c r="Z670"/>
      <c r="AA670"/>
    </row>
    <row r="671" spans="2:27" s="25" customFormat="1" ht="15.75" customHeight="1" x14ac:dyDescent="0.2">
      <c r="B671" s="89"/>
      <c r="C671"/>
      <c r="D671"/>
      <c r="E671" s="69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  <c r="V671"/>
      <c r="W671"/>
      <c r="X671"/>
      <c r="Y671"/>
      <c r="Z671"/>
      <c r="AA671"/>
    </row>
    <row r="672" spans="2:27" s="25" customFormat="1" ht="15.75" customHeight="1" x14ac:dyDescent="0.2">
      <c r="B672" s="89"/>
      <c r="C672"/>
      <c r="D672"/>
      <c r="E672" s="69"/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  <c r="T672"/>
      <c r="U672"/>
      <c r="V672"/>
      <c r="W672"/>
      <c r="X672"/>
      <c r="Y672"/>
      <c r="Z672"/>
      <c r="AA672"/>
    </row>
    <row r="673" spans="2:27" s="25" customFormat="1" ht="15.75" customHeight="1" x14ac:dyDescent="0.2">
      <c r="B673" s="89"/>
      <c r="C673"/>
      <c r="D673"/>
      <c r="E673" s="69"/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  <c r="T673"/>
      <c r="U673"/>
      <c r="V673"/>
      <c r="W673"/>
      <c r="X673"/>
      <c r="Y673"/>
      <c r="Z673"/>
      <c r="AA673"/>
    </row>
    <row r="674" spans="2:27" s="25" customFormat="1" ht="15.75" customHeight="1" x14ac:dyDescent="0.2">
      <c r="B674" s="89"/>
      <c r="C674"/>
      <c r="D674"/>
      <c r="E674" s="69"/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  <c r="U674"/>
      <c r="V674"/>
      <c r="W674"/>
      <c r="X674"/>
      <c r="Y674"/>
      <c r="Z674"/>
      <c r="AA674"/>
    </row>
    <row r="675" spans="2:27" s="25" customFormat="1" ht="15.75" customHeight="1" x14ac:dyDescent="0.2">
      <c r="B675" s="89"/>
      <c r="C675"/>
      <c r="D675"/>
      <c r="E675" s="69"/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  <c r="U675"/>
      <c r="V675"/>
      <c r="W675"/>
      <c r="X675"/>
      <c r="Y675"/>
      <c r="Z675"/>
      <c r="AA675"/>
    </row>
    <row r="676" spans="2:27" s="25" customFormat="1" ht="15.75" customHeight="1" x14ac:dyDescent="0.2">
      <c r="B676" s="89"/>
      <c r="C676"/>
      <c r="D676"/>
      <c r="E676" s="69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  <c r="V676"/>
      <c r="W676"/>
      <c r="X676"/>
      <c r="Y676"/>
      <c r="Z676"/>
      <c r="AA676"/>
    </row>
    <row r="677" spans="2:27" s="25" customFormat="1" ht="15.75" customHeight="1" x14ac:dyDescent="0.2">
      <c r="B677" s="89"/>
      <c r="C677"/>
      <c r="D677"/>
      <c r="E677" s="69"/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  <c r="V677"/>
      <c r="W677"/>
      <c r="X677"/>
      <c r="Y677"/>
      <c r="Z677"/>
      <c r="AA677"/>
    </row>
    <row r="678" spans="2:27" s="25" customFormat="1" ht="15.75" customHeight="1" x14ac:dyDescent="0.2">
      <c r="B678" s="89"/>
      <c r="C678"/>
      <c r="D678"/>
      <c r="E678" s="69"/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  <c r="T678"/>
      <c r="U678"/>
      <c r="V678"/>
      <c r="W678"/>
      <c r="X678"/>
      <c r="Y678"/>
      <c r="Z678"/>
      <c r="AA678"/>
    </row>
    <row r="679" spans="2:27" s="25" customFormat="1" ht="15.75" customHeight="1" x14ac:dyDescent="0.2">
      <c r="B679" s="89"/>
      <c r="C679"/>
      <c r="D679"/>
      <c r="E679" s="69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  <c r="V679"/>
      <c r="W679"/>
      <c r="X679"/>
      <c r="Y679"/>
      <c r="Z679"/>
      <c r="AA679"/>
    </row>
    <row r="680" spans="2:27" s="25" customFormat="1" ht="15.75" customHeight="1" x14ac:dyDescent="0.2">
      <c r="B680" s="89"/>
      <c r="C680"/>
      <c r="D680"/>
      <c r="E680" s="69"/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  <c r="U680"/>
      <c r="V680"/>
      <c r="W680"/>
      <c r="X680"/>
      <c r="Y680"/>
      <c r="Z680"/>
      <c r="AA680"/>
    </row>
    <row r="681" spans="2:27" s="25" customFormat="1" ht="15.75" customHeight="1" x14ac:dyDescent="0.2">
      <c r="B681" s="89"/>
      <c r="C681"/>
      <c r="D681"/>
      <c r="E681" s="69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  <c r="U681"/>
      <c r="V681"/>
      <c r="W681"/>
      <c r="X681"/>
      <c r="Y681"/>
      <c r="Z681"/>
      <c r="AA681"/>
    </row>
    <row r="682" spans="2:27" s="25" customFormat="1" ht="15.75" customHeight="1" x14ac:dyDescent="0.2">
      <c r="B682" s="89"/>
      <c r="C682"/>
      <c r="D682"/>
      <c r="E682" s="69"/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  <c r="T682"/>
      <c r="U682"/>
      <c r="V682"/>
      <c r="W682"/>
      <c r="X682"/>
      <c r="Y682"/>
      <c r="Z682"/>
      <c r="AA682"/>
    </row>
    <row r="683" spans="2:27" s="25" customFormat="1" ht="15.75" customHeight="1" x14ac:dyDescent="0.2">
      <c r="B683" s="89"/>
      <c r="C683"/>
      <c r="D683"/>
      <c r="E683" s="69"/>
      <c r="F683"/>
      <c r="G683"/>
      <c r="H683"/>
      <c r="I683"/>
      <c r="J683"/>
      <c r="K683"/>
      <c r="L683"/>
      <c r="M683"/>
      <c r="N683"/>
      <c r="O683"/>
      <c r="P683"/>
      <c r="Q683"/>
      <c r="R683"/>
      <c r="S683"/>
      <c r="T683"/>
      <c r="U683"/>
      <c r="V683"/>
      <c r="W683"/>
      <c r="X683"/>
      <c r="Y683"/>
      <c r="Z683"/>
      <c r="AA683"/>
    </row>
    <row r="684" spans="2:27" s="25" customFormat="1" ht="15.75" customHeight="1" x14ac:dyDescent="0.2">
      <c r="B684" s="89"/>
      <c r="C684"/>
      <c r="D684"/>
      <c r="E684" s="69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  <c r="V684"/>
      <c r="W684"/>
      <c r="X684"/>
      <c r="Y684"/>
      <c r="Z684"/>
      <c r="AA684"/>
    </row>
    <row r="685" spans="2:27" s="25" customFormat="1" ht="15.75" customHeight="1" x14ac:dyDescent="0.2">
      <c r="B685" s="89"/>
      <c r="C685"/>
      <c r="D685"/>
      <c r="E685" s="69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  <c r="V685"/>
      <c r="W685"/>
      <c r="X685"/>
      <c r="Y685"/>
      <c r="Z685"/>
      <c r="AA685"/>
    </row>
    <row r="686" spans="2:27" s="25" customFormat="1" ht="15.75" customHeight="1" x14ac:dyDescent="0.2">
      <c r="B686" s="89"/>
      <c r="C686"/>
      <c r="D686"/>
      <c r="E686" s="69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  <c r="U686"/>
      <c r="V686"/>
      <c r="W686"/>
      <c r="X686"/>
      <c r="Y686"/>
      <c r="Z686"/>
      <c r="AA686"/>
    </row>
    <row r="687" spans="2:27" s="25" customFormat="1" ht="15.75" customHeight="1" x14ac:dyDescent="0.2">
      <c r="B687" s="89"/>
      <c r="C687"/>
      <c r="D687"/>
      <c r="E687" s="69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  <c r="V687"/>
      <c r="W687"/>
      <c r="X687"/>
      <c r="Y687"/>
      <c r="Z687"/>
      <c r="AA687"/>
    </row>
    <row r="688" spans="2:27" s="25" customFormat="1" ht="15.75" customHeight="1" x14ac:dyDescent="0.2">
      <c r="B688" s="89"/>
      <c r="C688"/>
      <c r="D688"/>
      <c r="E688" s="69"/>
      <c r="F688"/>
      <c r="G688"/>
      <c r="H688"/>
      <c r="I688"/>
      <c r="J688"/>
      <c r="K688"/>
      <c r="L688"/>
      <c r="M688"/>
      <c r="N688"/>
      <c r="O688"/>
      <c r="P688"/>
      <c r="Q688"/>
      <c r="R688"/>
      <c r="S688"/>
      <c r="T688"/>
      <c r="U688"/>
      <c r="V688"/>
      <c r="W688"/>
      <c r="X688"/>
      <c r="Y688"/>
      <c r="Z688"/>
      <c r="AA688"/>
    </row>
    <row r="689" spans="2:27" s="25" customFormat="1" ht="15.75" customHeight="1" x14ac:dyDescent="0.2">
      <c r="B689" s="89"/>
      <c r="C689"/>
      <c r="D689"/>
      <c r="E689" s="6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  <c r="V689"/>
      <c r="W689"/>
      <c r="X689"/>
      <c r="Y689"/>
      <c r="Z689"/>
      <c r="AA689"/>
    </row>
    <row r="690" spans="2:27" s="25" customFormat="1" ht="15.75" customHeight="1" x14ac:dyDescent="0.2">
      <c r="B690" s="89"/>
      <c r="C690"/>
      <c r="D690"/>
      <c r="E690" s="69"/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  <c r="T690"/>
      <c r="U690"/>
      <c r="V690"/>
      <c r="W690"/>
      <c r="X690"/>
      <c r="Y690"/>
      <c r="Z690"/>
      <c r="AA690"/>
    </row>
    <row r="691" spans="2:27" s="25" customFormat="1" ht="15.75" customHeight="1" x14ac:dyDescent="0.2">
      <c r="B691" s="89"/>
      <c r="C691"/>
      <c r="D691"/>
      <c r="E691" s="69"/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  <c r="U691"/>
      <c r="V691"/>
      <c r="W691"/>
      <c r="X691"/>
      <c r="Y691"/>
      <c r="Z691"/>
      <c r="AA691"/>
    </row>
    <row r="692" spans="2:27" s="25" customFormat="1" ht="15.75" customHeight="1" x14ac:dyDescent="0.2">
      <c r="B692" s="89"/>
      <c r="C692"/>
      <c r="D692"/>
      <c r="E692" s="69"/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  <c r="T692"/>
      <c r="U692"/>
      <c r="V692"/>
      <c r="W692"/>
      <c r="X692"/>
      <c r="Y692"/>
      <c r="Z692"/>
      <c r="AA692"/>
    </row>
    <row r="693" spans="2:27" s="25" customFormat="1" ht="15.75" customHeight="1" x14ac:dyDescent="0.2">
      <c r="B693" s="89"/>
      <c r="C693"/>
      <c r="D693"/>
      <c r="E693" s="69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  <c r="U693"/>
      <c r="V693"/>
      <c r="W693"/>
      <c r="X693"/>
      <c r="Y693"/>
      <c r="Z693"/>
      <c r="AA693"/>
    </row>
    <row r="694" spans="2:27" s="25" customFormat="1" ht="15.75" customHeight="1" x14ac:dyDescent="0.2">
      <c r="B694" s="89"/>
      <c r="C694"/>
      <c r="D694"/>
      <c r="E694" s="69"/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  <c r="V694"/>
      <c r="W694"/>
      <c r="X694"/>
      <c r="Y694"/>
      <c r="Z694"/>
      <c r="AA694"/>
    </row>
    <row r="695" spans="2:27" s="25" customFormat="1" ht="15.75" customHeight="1" x14ac:dyDescent="0.2">
      <c r="B695" s="89"/>
      <c r="C695"/>
      <c r="D695"/>
      <c r="E695" s="69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  <c r="V695"/>
      <c r="W695"/>
      <c r="X695"/>
      <c r="Y695"/>
      <c r="Z695"/>
      <c r="AA695"/>
    </row>
    <row r="696" spans="2:27" s="25" customFormat="1" ht="15.75" customHeight="1" x14ac:dyDescent="0.2">
      <c r="B696" s="89"/>
      <c r="C696"/>
      <c r="D696"/>
      <c r="E696" s="69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  <c r="U696"/>
      <c r="V696"/>
      <c r="W696"/>
      <c r="X696"/>
      <c r="Y696"/>
      <c r="Z696"/>
      <c r="AA696"/>
    </row>
    <row r="697" spans="2:27" s="25" customFormat="1" ht="15.75" customHeight="1" x14ac:dyDescent="0.2">
      <c r="B697" s="89"/>
      <c r="C697"/>
      <c r="D697"/>
      <c r="E697" s="69"/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  <c r="V697"/>
      <c r="W697"/>
      <c r="X697"/>
      <c r="Y697"/>
      <c r="Z697"/>
      <c r="AA697"/>
    </row>
    <row r="698" spans="2:27" s="25" customFormat="1" ht="15.75" customHeight="1" x14ac:dyDescent="0.2">
      <c r="B698" s="89"/>
      <c r="C698"/>
      <c r="D698"/>
      <c r="E698" s="69"/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  <c r="V698"/>
      <c r="W698"/>
      <c r="X698"/>
      <c r="Y698"/>
      <c r="Z698"/>
      <c r="AA698"/>
    </row>
    <row r="699" spans="2:27" s="25" customFormat="1" ht="15.75" customHeight="1" x14ac:dyDescent="0.2">
      <c r="B699" s="89"/>
      <c r="C699"/>
      <c r="D699"/>
      <c r="E699" s="69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  <c r="V699"/>
      <c r="W699"/>
      <c r="X699"/>
      <c r="Y699"/>
      <c r="Z699"/>
      <c r="AA699"/>
    </row>
    <row r="700" spans="2:27" s="25" customFormat="1" ht="15.75" customHeight="1" x14ac:dyDescent="0.2">
      <c r="B700" s="89"/>
      <c r="C700"/>
      <c r="D700"/>
      <c r="E700" s="69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  <c r="V700"/>
      <c r="W700"/>
      <c r="X700"/>
      <c r="Y700"/>
      <c r="Z700"/>
      <c r="AA700"/>
    </row>
    <row r="701" spans="2:27" s="25" customFormat="1" ht="15.75" customHeight="1" x14ac:dyDescent="0.2">
      <c r="B701" s="89"/>
      <c r="C701"/>
      <c r="D701"/>
      <c r="E701" s="69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  <c r="V701"/>
      <c r="W701"/>
      <c r="X701"/>
      <c r="Y701"/>
      <c r="Z701"/>
      <c r="AA701"/>
    </row>
    <row r="702" spans="2:27" s="25" customFormat="1" ht="15.75" customHeight="1" x14ac:dyDescent="0.2">
      <c r="B702" s="89"/>
      <c r="C702"/>
      <c r="D702"/>
      <c r="E702" s="69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  <c r="V702"/>
      <c r="W702"/>
      <c r="X702"/>
      <c r="Y702"/>
      <c r="Z702"/>
      <c r="AA702"/>
    </row>
    <row r="703" spans="2:27" s="25" customFormat="1" ht="15.75" customHeight="1" x14ac:dyDescent="0.2">
      <c r="B703" s="89"/>
      <c r="C703"/>
      <c r="D703"/>
      <c r="E703" s="69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  <c r="V703"/>
      <c r="W703"/>
      <c r="X703"/>
      <c r="Y703"/>
      <c r="Z703"/>
      <c r="AA703"/>
    </row>
    <row r="704" spans="2:27" s="25" customFormat="1" ht="15.75" customHeight="1" x14ac:dyDescent="0.2">
      <c r="B704" s="89"/>
      <c r="C704"/>
      <c r="D704"/>
      <c r="E704" s="69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  <c r="V704"/>
      <c r="W704"/>
      <c r="X704"/>
      <c r="Y704"/>
      <c r="Z704"/>
      <c r="AA704"/>
    </row>
    <row r="705" spans="2:27" s="25" customFormat="1" ht="15.75" customHeight="1" x14ac:dyDescent="0.2">
      <c r="B705" s="89"/>
      <c r="C705"/>
      <c r="D705"/>
      <c r="E705" s="69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  <c r="V705"/>
      <c r="W705"/>
      <c r="X705"/>
      <c r="Y705"/>
      <c r="Z705"/>
      <c r="AA705"/>
    </row>
    <row r="706" spans="2:27" s="25" customFormat="1" ht="15.75" customHeight="1" x14ac:dyDescent="0.2">
      <c r="B706" s="89"/>
      <c r="C706"/>
      <c r="D706"/>
      <c r="E706" s="69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  <c r="V706"/>
      <c r="W706"/>
      <c r="X706"/>
      <c r="Y706"/>
      <c r="Z706"/>
      <c r="AA706"/>
    </row>
    <row r="707" spans="2:27" s="25" customFormat="1" ht="15.75" customHeight="1" x14ac:dyDescent="0.2">
      <c r="B707" s="89"/>
      <c r="C707"/>
      <c r="D707"/>
      <c r="E707" s="69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  <c r="V707"/>
      <c r="W707"/>
      <c r="X707"/>
      <c r="Y707"/>
      <c r="Z707"/>
      <c r="AA707"/>
    </row>
    <row r="708" spans="2:27" s="25" customFormat="1" ht="15.75" customHeight="1" x14ac:dyDescent="0.2">
      <c r="B708" s="89"/>
      <c r="C708"/>
      <c r="D708"/>
      <c r="E708" s="69"/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  <c r="V708"/>
      <c r="W708"/>
      <c r="X708"/>
      <c r="Y708"/>
      <c r="Z708"/>
      <c r="AA708"/>
    </row>
    <row r="709" spans="2:27" s="25" customFormat="1" ht="15.75" customHeight="1" x14ac:dyDescent="0.2">
      <c r="B709" s="89"/>
      <c r="C709"/>
      <c r="D709"/>
      <c r="E709" s="69"/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  <c r="T709"/>
      <c r="U709"/>
      <c r="V709"/>
      <c r="W709"/>
      <c r="X709"/>
      <c r="Y709"/>
      <c r="Z709"/>
      <c r="AA709"/>
    </row>
    <row r="710" spans="2:27" s="25" customFormat="1" ht="15.75" customHeight="1" x14ac:dyDescent="0.2">
      <c r="B710" s="89"/>
      <c r="C710"/>
      <c r="D710"/>
      <c r="E710" s="69"/>
      <c r="F710"/>
      <c r="G710"/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  <c r="V710"/>
      <c r="W710"/>
      <c r="X710"/>
      <c r="Y710"/>
      <c r="Z710"/>
      <c r="AA710"/>
    </row>
    <row r="711" spans="2:27" s="25" customFormat="1" ht="15.75" customHeight="1" x14ac:dyDescent="0.2">
      <c r="B711" s="89"/>
      <c r="C711"/>
      <c r="D711"/>
      <c r="E711" s="69"/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  <c r="U711"/>
      <c r="V711"/>
      <c r="W711"/>
      <c r="X711"/>
      <c r="Y711"/>
      <c r="Z711"/>
      <c r="AA711"/>
    </row>
    <row r="712" spans="2:27" s="25" customFormat="1" ht="15.75" customHeight="1" x14ac:dyDescent="0.2">
      <c r="B712" s="89"/>
      <c r="C712"/>
      <c r="D712"/>
      <c r="E712" s="69"/>
      <c r="F712"/>
      <c r="G712"/>
      <c r="H712"/>
      <c r="I712"/>
      <c r="J712"/>
      <c r="K712"/>
      <c r="L712"/>
      <c r="M712"/>
      <c r="N712"/>
      <c r="O712"/>
      <c r="P712"/>
      <c r="Q712"/>
      <c r="R712"/>
      <c r="S712"/>
      <c r="T712"/>
      <c r="U712"/>
      <c r="V712"/>
      <c r="W712"/>
      <c r="X712"/>
      <c r="Y712"/>
      <c r="Z712"/>
      <c r="AA712"/>
    </row>
    <row r="713" spans="2:27" s="25" customFormat="1" ht="15.75" customHeight="1" x14ac:dyDescent="0.2">
      <c r="B713" s="89"/>
      <c r="C713"/>
      <c r="D713"/>
      <c r="E713" s="69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  <c r="V713"/>
      <c r="W713"/>
      <c r="X713"/>
      <c r="Y713"/>
      <c r="Z713"/>
      <c r="AA713"/>
    </row>
    <row r="714" spans="2:27" s="25" customFormat="1" ht="15.75" customHeight="1" x14ac:dyDescent="0.2">
      <c r="B714" s="89"/>
      <c r="C714"/>
      <c r="D714"/>
      <c r="E714" s="69"/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  <c r="U714"/>
      <c r="V714"/>
      <c r="W714"/>
      <c r="X714"/>
      <c r="Y714"/>
      <c r="Z714"/>
      <c r="AA714"/>
    </row>
    <row r="715" spans="2:27" s="25" customFormat="1" ht="15.75" customHeight="1" x14ac:dyDescent="0.2">
      <c r="B715" s="89"/>
      <c r="C715"/>
      <c r="D715"/>
      <c r="E715" s="69"/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  <c r="V715"/>
      <c r="W715"/>
      <c r="X715"/>
      <c r="Y715"/>
      <c r="Z715"/>
      <c r="AA715"/>
    </row>
    <row r="716" spans="2:27" s="25" customFormat="1" ht="15.75" customHeight="1" x14ac:dyDescent="0.2">
      <c r="B716" s="89"/>
      <c r="C716"/>
      <c r="D716"/>
      <c r="E716" s="69"/>
      <c r="F716"/>
      <c r="G716"/>
      <c r="H716"/>
      <c r="I716"/>
      <c r="J716"/>
      <c r="K716"/>
      <c r="L716"/>
      <c r="M716"/>
      <c r="N716"/>
      <c r="O716"/>
      <c r="P716"/>
      <c r="Q716"/>
      <c r="R716"/>
      <c r="S716"/>
      <c r="T716"/>
      <c r="U716"/>
      <c r="V716"/>
      <c r="W716"/>
      <c r="X716"/>
      <c r="Y716"/>
      <c r="Z716"/>
      <c r="AA716"/>
    </row>
    <row r="717" spans="2:27" s="25" customFormat="1" ht="15.75" customHeight="1" x14ac:dyDescent="0.2">
      <c r="B717" s="89"/>
      <c r="C717"/>
      <c r="D717"/>
      <c r="E717" s="69"/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  <c r="V717"/>
      <c r="W717"/>
      <c r="X717"/>
      <c r="Y717"/>
      <c r="Z717"/>
      <c r="AA717"/>
    </row>
    <row r="718" spans="2:27" s="25" customFormat="1" ht="15.75" customHeight="1" x14ac:dyDescent="0.2">
      <c r="B718" s="89"/>
      <c r="C718"/>
      <c r="D718"/>
      <c r="E718" s="69"/>
      <c r="F718"/>
      <c r="G718"/>
      <c r="H718"/>
      <c r="I718"/>
      <c r="J718"/>
      <c r="K718"/>
      <c r="L718"/>
      <c r="M718"/>
      <c r="N718"/>
      <c r="O718"/>
      <c r="P718"/>
      <c r="Q718"/>
      <c r="R718"/>
      <c r="S718"/>
      <c r="T718"/>
      <c r="U718"/>
      <c r="V718"/>
      <c r="W718"/>
      <c r="X718"/>
      <c r="Y718"/>
      <c r="Z718"/>
      <c r="AA718"/>
    </row>
    <row r="719" spans="2:27" s="25" customFormat="1" ht="15.75" customHeight="1" x14ac:dyDescent="0.2">
      <c r="B719" s="89"/>
      <c r="C719"/>
      <c r="D719"/>
      <c r="E719" s="69"/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  <c r="T719"/>
      <c r="U719"/>
      <c r="V719"/>
      <c r="W719"/>
      <c r="X719"/>
      <c r="Y719"/>
      <c r="Z719"/>
      <c r="AA719"/>
    </row>
    <row r="720" spans="2:27" s="25" customFormat="1" ht="15.75" customHeight="1" x14ac:dyDescent="0.2">
      <c r="B720" s="89"/>
      <c r="C720"/>
      <c r="D720"/>
      <c r="E720" s="69"/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  <c r="U720"/>
      <c r="V720"/>
      <c r="W720"/>
      <c r="X720"/>
      <c r="Y720"/>
      <c r="Z720"/>
      <c r="AA720"/>
    </row>
    <row r="721" spans="2:27" s="25" customFormat="1" ht="15.75" customHeight="1" x14ac:dyDescent="0.2">
      <c r="B721" s="89"/>
      <c r="C721"/>
      <c r="D721"/>
      <c r="E721" s="69"/>
      <c r="F721"/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  <c r="V721"/>
      <c r="W721"/>
      <c r="X721"/>
      <c r="Y721"/>
      <c r="Z721"/>
      <c r="AA721"/>
    </row>
    <row r="722" spans="2:27" s="25" customFormat="1" ht="15.75" customHeight="1" x14ac:dyDescent="0.2">
      <c r="B722" s="89"/>
      <c r="C722"/>
      <c r="D722"/>
      <c r="E722" s="69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  <c r="V722"/>
      <c r="W722"/>
      <c r="X722"/>
      <c r="Y722"/>
      <c r="Z722"/>
      <c r="AA722"/>
    </row>
    <row r="723" spans="2:27" s="25" customFormat="1" ht="15.75" customHeight="1" x14ac:dyDescent="0.2">
      <c r="B723" s="89"/>
      <c r="C723"/>
      <c r="D723"/>
      <c r="E723" s="69"/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  <c r="U723"/>
      <c r="V723"/>
      <c r="W723"/>
      <c r="X723"/>
      <c r="Y723"/>
      <c r="Z723"/>
      <c r="AA723"/>
    </row>
    <row r="724" spans="2:27" s="25" customFormat="1" ht="15.75" customHeight="1" x14ac:dyDescent="0.2">
      <c r="B724" s="89"/>
      <c r="C724"/>
      <c r="D724"/>
      <c r="E724" s="69"/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  <c r="U724"/>
      <c r="V724"/>
      <c r="W724"/>
      <c r="X724"/>
      <c r="Y724"/>
      <c r="Z724"/>
      <c r="AA724"/>
    </row>
    <row r="725" spans="2:27" s="25" customFormat="1" ht="15.75" customHeight="1" x14ac:dyDescent="0.2">
      <c r="B725" s="89"/>
      <c r="C725"/>
      <c r="D725"/>
      <c r="E725" s="69"/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/>
      <c r="U725"/>
      <c r="V725"/>
      <c r="W725"/>
      <c r="X725"/>
      <c r="Y725"/>
      <c r="Z725"/>
      <c r="AA725"/>
    </row>
    <row r="726" spans="2:27" s="25" customFormat="1" ht="15.75" customHeight="1" x14ac:dyDescent="0.2">
      <c r="B726" s="89"/>
      <c r="C726"/>
      <c r="D726"/>
      <c r="E726" s="69"/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  <c r="U726"/>
      <c r="V726"/>
      <c r="W726"/>
      <c r="X726"/>
      <c r="Y726"/>
      <c r="Z726"/>
      <c r="AA726"/>
    </row>
    <row r="727" spans="2:27" s="25" customFormat="1" ht="15.75" customHeight="1" x14ac:dyDescent="0.2">
      <c r="B727" s="89"/>
      <c r="C727"/>
      <c r="D727"/>
      <c r="E727" s="69"/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  <c r="V727"/>
      <c r="W727"/>
      <c r="X727"/>
      <c r="Y727"/>
      <c r="Z727"/>
      <c r="AA727"/>
    </row>
    <row r="728" spans="2:27" s="25" customFormat="1" ht="15.75" customHeight="1" x14ac:dyDescent="0.2">
      <c r="B728" s="89"/>
      <c r="C728"/>
      <c r="D728"/>
      <c r="E728" s="69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  <c r="V728"/>
      <c r="W728"/>
      <c r="X728"/>
      <c r="Y728"/>
      <c r="Z728"/>
      <c r="AA728"/>
    </row>
    <row r="729" spans="2:27" s="25" customFormat="1" ht="15.75" customHeight="1" x14ac:dyDescent="0.2">
      <c r="B729" s="89"/>
      <c r="C729"/>
      <c r="D729"/>
      <c r="E729" s="69"/>
      <c r="F729"/>
      <c r="G729"/>
      <c r="H729"/>
      <c r="I729"/>
      <c r="J729"/>
      <c r="K729"/>
      <c r="L729"/>
      <c r="M729"/>
      <c r="N729"/>
      <c r="O729"/>
      <c r="P729"/>
      <c r="Q729"/>
      <c r="R729"/>
      <c r="S729"/>
      <c r="T729"/>
      <c r="U729"/>
      <c r="V729"/>
      <c r="W729"/>
      <c r="X729"/>
      <c r="Y729"/>
      <c r="Z729"/>
      <c r="AA729"/>
    </row>
    <row r="730" spans="2:27" s="25" customFormat="1" ht="15.75" customHeight="1" x14ac:dyDescent="0.2">
      <c r="B730" s="89"/>
      <c r="C730"/>
      <c r="D730"/>
      <c r="E730" s="69"/>
      <c r="F730"/>
      <c r="G730"/>
      <c r="H730"/>
      <c r="I730"/>
      <c r="J730"/>
      <c r="K730"/>
      <c r="L730"/>
      <c r="M730"/>
      <c r="N730"/>
      <c r="O730"/>
      <c r="P730"/>
      <c r="Q730"/>
      <c r="R730"/>
      <c r="S730"/>
      <c r="T730"/>
      <c r="U730"/>
      <c r="V730"/>
      <c r="W730"/>
      <c r="X730"/>
      <c r="Y730"/>
      <c r="Z730"/>
      <c r="AA730"/>
    </row>
    <row r="731" spans="2:27" s="25" customFormat="1" ht="15.75" customHeight="1" x14ac:dyDescent="0.2">
      <c r="B731" s="89"/>
      <c r="C731"/>
      <c r="D731"/>
      <c r="E731" s="69"/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  <c r="V731"/>
      <c r="W731"/>
      <c r="X731"/>
      <c r="Y731"/>
      <c r="Z731"/>
      <c r="AA731"/>
    </row>
    <row r="732" spans="2:27" s="25" customFormat="1" ht="15.75" customHeight="1" x14ac:dyDescent="0.2">
      <c r="B732" s="89"/>
      <c r="C732"/>
      <c r="D732"/>
      <c r="E732" s="69"/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  <c r="U732"/>
      <c r="V732"/>
      <c r="W732"/>
      <c r="X732"/>
      <c r="Y732"/>
      <c r="Z732"/>
      <c r="AA732"/>
    </row>
    <row r="733" spans="2:27" s="25" customFormat="1" ht="15.75" customHeight="1" x14ac:dyDescent="0.2">
      <c r="B733" s="89"/>
      <c r="C733"/>
      <c r="D733"/>
      <c r="E733" s="69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  <c r="V733"/>
      <c r="W733"/>
      <c r="X733"/>
      <c r="Y733"/>
      <c r="Z733"/>
      <c r="AA733"/>
    </row>
    <row r="734" spans="2:27" s="25" customFormat="1" ht="15.75" customHeight="1" x14ac:dyDescent="0.2">
      <c r="B734" s="89"/>
      <c r="C734"/>
      <c r="D734"/>
      <c r="E734" s="69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  <c r="V734"/>
      <c r="W734"/>
      <c r="X734"/>
      <c r="Y734"/>
      <c r="Z734"/>
      <c r="AA734"/>
    </row>
    <row r="735" spans="2:27" s="25" customFormat="1" ht="15.75" customHeight="1" x14ac:dyDescent="0.2">
      <c r="B735" s="89"/>
      <c r="C735"/>
      <c r="D735"/>
      <c r="E735" s="69"/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  <c r="U735"/>
      <c r="V735"/>
      <c r="W735"/>
      <c r="X735"/>
      <c r="Y735"/>
      <c r="Z735"/>
      <c r="AA735"/>
    </row>
    <row r="736" spans="2:27" s="25" customFormat="1" ht="15.75" customHeight="1" x14ac:dyDescent="0.2">
      <c r="B736" s="89"/>
      <c r="C736"/>
      <c r="D736"/>
      <c r="E736" s="69"/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  <c r="U736"/>
      <c r="V736"/>
      <c r="W736"/>
      <c r="X736"/>
      <c r="Y736"/>
      <c r="Z736"/>
      <c r="AA736"/>
    </row>
    <row r="737" spans="2:27" s="25" customFormat="1" ht="15.75" customHeight="1" x14ac:dyDescent="0.2">
      <c r="B737" s="89"/>
      <c r="C737"/>
      <c r="D737"/>
      <c r="E737" s="69"/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  <c r="U737"/>
      <c r="V737"/>
      <c r="W737"/>
      <c r="X737"/>
      <c r="Y737"/>
      <c r="Z737"/>
      <c r="AA737"/>
    </row>
    <row r="738" spans="2:27" s="25" customFormat="1" ht="15.75" customHeight="1" x14ac:dyDescent="0.2">
      <c r="B738" s="89"/>
      <c r="C738"/>
      <c r="D738"/>
      <c r="E738" s="69"/>
      <c r="F738"/>
      <c r="G738"/>
      <c r="H738"/>
      <c r="I738"/>
      <c r="J738"/>
      <c r="K738"/>
      <c r="L738"/>
      <c r="M738"/>
      <c r="N738"/>
      <c r="O738"/>
      <c r="P738"/>
      <c r="Q738"/>
      <c r="R738"/>
      <c r="S738"/>
      <c r="T738"/>
      <c r="U738"/>
      <c r="V738"/>
      <c r="W738"/>
      <c r="X738"/>
      <c r="Y738"/>
      <c r="Z738"/>
      <c r="AA738"/>
    </row>
    <row r="739" spans="2:27" s="25" customFormat="1" ht="15.75" customHeight="1" x14ac:dyDescent="0.2">
      <c r="B739" s="89"/>
      <c r="C739"/>
      <c r="D739"/>
      <c r="E739" s="69"/>
      <c r="F739"/>
      <c r="G739"/>
      <c r="H739"/>
      <c r="I739"/>
      <c r="J739"/>
      <c r="K739"/>
      <c r="L739"/>
      <c r="M739"/>
      <c r="N739"/>
      <c r="O739"/>
      <c r="P739"/>
      <c r="Q739"/>
      <c r="R739"/>
      <c r="S739"/>
      <c r="T739"/>
      <c r="U739"/>
      <c r="V739"/>
      <c r="W739"/>
      <c r="X739"/>
      <c r="Y739"/>
      <c r="Z739"/>
      <c r="AA739"/>
    </row>
    <row r="740" spans="2:27" s="25" customFormat="1" ht="15.75" customHeight="1" x14ac:dyDescent="0.2">
      <c r="B740" s="89"/>
      <c r="C740"/>
      <c r="D740"/>
      <c r="E740" s="69"/>
      <c r="F740"/>
      <c r="G740"/>
      <c r="H740"/>
      <c r="I740"/>
      <c r="J740"/>
      <c r="K740"/>
      <c r="L740"/>
      <c r="M740"/>
      <c r="N740"/>
      <c r="O740"/>
      <c r="P740"/>
      <c r="Q740"/>
      <c r="R740"/>
      <c r="S740"/>
      <c r="T740"/>
      <c r="U740"/>
      <c r="V740"/>
      <c r="W740"/>
      <c r="X740"/>
      <c r="Y740"/>
      <c r="Z740"/>
      <c r="AA740"/>
    </row>
    <row r="741" spans="2:27" s="25" customFormat="1" ht="15.75" customHeight="1" x14ac:dyDescent="0.2">
      <c r="B741" s="89"/>
      <c r="C741"/>
      <c r="D741"/>
      <c r="E741" s="69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  <c r="V741"/>
      <c r="W741"/>
      <c r="X741"/>
      <c r="Y741"/>
      <c r="Z741"/>
      <c r="AA741"/>
    </row>
    <row r="742" spans="2:27" s="25" customFormat="1" ht="15.75" customHeight="1" x14ac:dyDescent="0.2">
      <c r="B742" s="89"/>
      <c r="C742"/>
      <c r="D742"/>
      <c r="E742" s="69"/>
      <c r="F742"/>
      <c r="G742"/>
      <c r="H742"/>
      <c r="I742"/>
      <c r="J742"/>
      <c r="K742"/>
      <c r="L742"/>
      <c r="M742"/>
      <c r="N742"/>
      <c r="O742"/>
      <c r="P742"/>
      <c r="Q742"/>
      <c r="R742"/>
      <c r="S742"/>
      <c r="T742"/>
      <c r="U742"/>
      <c r="V742"/>
      <c r="W742"/>
      <c r="X742"/>
      <c r="Y742"/>
      <c r="Z742"/>
      <c r="AA742"/>
    </row>
    <row r="743" spans="2:27" s="25" customFormat="1" ht="15.75" customHeight="1" x14ac:dyDescent="0.2">
      <c r="B743" s="89"/>
      <c r="C743"/>
      <c r="D743"/>
      <c r="E743" s="69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  <c r="V743"/>
      <c r="W743"/>
      <c r="X743"/>
      <c r="Y743"/>
      <c r="Z743"/>
      <c r="AA743"/>
    </row>
    <row r="744" spans="2:27" s="25" customFormat="1" ht="15.75" customHeight="1" x14ac:dyDescent="0.2">
      <c r="B744" s="89"/>
      <c r="C744"/>
      <c r="D744"/>
      <c r="E744" s="69"/>
      <c r="F744"/>
      <c r="G744"/>
      <c r="H744"/>
      <c r="I744"/>
      <c r="J744"/>
      <c r="K744"/>
      <c r="L744"/>
      <c r="M744"/>
      <c r="N744"/>
      <c r="O744"/>
      <c r="P744"/>
      <c r="Q744"/>
      <c r="R744"/>
      <c r="S744"/>
      <c r="T744"/>
      <c r="U744"/>
      <c r="V744"/>
      <c r="W744"/>
      <c r="X744"/>
      <c r="Y744"/>
      <c r="Z744"/>
      <c r="AA744"/>
    </row>
    <row r="745" spans="2:27" s="25" customFormat="1" ht="15.75" customHeight="1" x14ac:dyDescent="0.2">
      <c r="B745" s="89"/>
      <c r="C745"/>
      <c r="D745"/>
      <c r="E745" s="69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  <c r="V745"/>
      <c r="W745"/>
      <c r="X745"/>
      <c r="Y745"/>
      <c r="Z745"/>
      <c r="AA745"/>
    </row>
    <row r="746" spans="2:27" s="25" customFormat="1" ht="15.75" customHeight="1" x14ac:dyDescent="0.2">
      <c r="B746" s="89"/>
      <c r="C746"/>
      <c r="D746"/>
      <c r="E746" s="69"/>
      <c r="F746"/>
      <c r="G746"/>
      <c r="H746"/>
      <c r="I746"/>
      <c r="J746"/>
      <c r="K746"/>
      <c r="L746"/>
      <c r="M746"/>
      <c r="N746"/>
      <c r="O746"/>
      <c r="P746"/>
      <c r="Q746"/>
      <c r="R746"/>
      <c r="S746"/>
      <c r="T746"/>
      <c r="U746"/>
      <c r="V746"/>
      <c r="W746"/>
      <c r="X746"/>
      <c r="Y746"/>
      <c r="Z746"/>
      <c r="AA746"/>
    </row>
    <row r="747" spans="2:27" s="25" customFormat="1" ht="15.75" customHeight="1" x14ac:dyDescent="0.2">
      <c r="B747" s="89"/>
      <c r="C747"/>
      <c r="D747"/>
      <c r="E747" s="69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  <c r="U747"/>
      <c r="V747"/>
      <c r="W747"/>
      <c r="X747"/>
      <c r="Y747"/>
      <c r="Z747"/>
      <c r="AA747"/>
    </row>
    <row r="748" spans="2:27" s="25" customFormat="1" ht="15.75" customHeight="1" x14ac:dyDescent="0.2">
      <c r="B748" s="89"/>
      <c r="C748"/>
      <c r="D748"/>
      <c r="E748" s="69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  <c r="V748"/>
      <c r="W748"/>
      <c r="X748"/>
      <c r="Y748"/>
      <c r="Z748"/>
      <c r="AA748"/>
    </row>
    <row r="749" spans="2:27" s="25" customFormat="1" ht="15.75" customHeight="1" x14ac:dyDescent="0.2">
      <c r="B749" s="89"/>
      <c r="C749"/>
      <c r="D749"/>
      <c r="E749" s="69"/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  <c r="T749"/>
      <c r="U749"/>
      <c r="V749"/>
      <c r="W749"/>
      <c r="X749"/>
      <c r="Y749"/>
      <c r="Z749"/>
      <c r="AA749"/>
    </row>
    <row r="750" spans="2:27" s="25" customFormat="1" ht="15.75" customHeight="1" x14ac:dyDescent="0.2">
      <c r="B750" s="89"/>
      <c r="C750"/>
      <c r="D750"/>
      <c r="E750" s="69"/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  <c r="V750"/>
      <c r="W750"/>
      <c r="X750"/>
      <c r="Y750"/>
      <c r="Z750"/>
      <c r="AA750"/>
    </row>
    <row r="751" spans="2:27" s="25" customFormat="1" ht="15.75" customHeight="1" x14ac:dyDescent="0.2">
      <c r="B751" s="89"/>
      <c r="C751"/>
      <c r="D751"/>
      <c r="E751" s="69"/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  <c r="V751"/>
      <c r="W751"/>
      <c r="X751"/>
      <c r="Y751"/>
      <c r="Z751"/>
      <c r="AA751"/>
    </row>
    <row r="752" spans="2:27" s="25" customFormat="1" ht="15.75" customHeight="1" x14ac:dyDescent="0.2">
      <c r="B752" s="89"/>
      <c r="C752"/>
      <c r="D752"/>
      <c r="E752" s="69"/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  <c r="V752"/>
      <c r="W752"/>
      <c r="X752"/>
      <c r="Y752"/>
      <c r="Z752"/>
      <c r="AA752"/>
    </row>
    <row r="753" spans="2:27" s="25" customFormat="1" ht="15.75" customHeight="1" x14ac:dyDescent="0.2">
      <c r="B753" s="89"/>
      <c r="C753"/>
      <c r="D753"/>
      <c r="E753" s="69"/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  <c r="T753"/>
      <c r="U753"/>
      <c r="V753"/>
      <c r="W753"/>
      <c r="X753"/>
      <c r="Y753"/>
      <c r="Z753"/>
      <c r="AA753"/>
    </row>
    <row r="754" spans="2:27" s="25" customFormat="1" ht="15.75" customHeight="1" x14ac:dyDescent="0.2">
      <c r="B754" s="89"/>
      <c r="C754"/>
      <c r="D754"/>
      <c r="E754" s="69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  <c r="T754"/>
      <c r="U754"/>
      <c r="V754"/>
      <c r="W754"/>
      <c r="X754"/>
      <c r="Y754"/>
      <c r="Z754"/>
      <c r="AA754"/>
    </row>
    <row r="755" spans="2:27" s="25" customFormat="1" ht="15.75" customHeight="1" x14ac:dyDescent="0.2">
      <c r="B755" s="89"/>
      <c r="C755"/>
      <c r="D755"/>
      <c r="E755" s="69"/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  <c r="V755"/>
      <c r="W755"/>
      <c r="X755"/>
      <c r="Y755"/>
      <c r="Z755"/>
      <c r="AA755"/>
    </row>
    <row r="756" spans="2:27" s="25" customFormat="1" ht="15.75" customHeight="1" x14ac:dyDescent="0.2">
      <c r="B756" s="89"/>
      <c r="C756"/>
      <c r="D756"/>
      <c r="E756" s="69"/>
      <c r="F756"/>
      <c r="G756"/>
      <c r="H756"/>
      <c r="I756"/>
      <c r="J756"/>
      <c r="K756"/>
      <c r="L756"/>
      <c r="M756"/>
      <c r="N756"/>
      <c r="O756"/>
      <c r="P756"/>
      <c r="Q756"/>
      <c r="R756"/>
      <c r="S756"/>
      <c r="T756"/>
      <c r="U756"/>
      <c r="V756"/>
      <c r="W756"/>
      <c r="X756"/>
      <c r="Y756"/>
      <c r="Z756"/>
      <c r="AA756"/>
    </row>
    <row r="757" spans="2:27" s="25" customFormat="1" ht="15.75" customHeight="1" x14ac:dyDescent="0.2">
      <c r="B757" s="89"/>
      <c r="C757"/>
      <c r="D757"/>
      <c r="E757" s="69"/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  <c r="T757"/>
      <c r="U757"/>
      <c r="V757"/>
      <c r="W757"/>
      <c r="X757"/>
      <c r="Y757"/>
      <c r="Z757"/>
      <c r="AA757"/>
    </row>
    <row r="758" spans="2:27" s="25" customFormat="1" ht="15.75" customHeight="1" x14ac:dyDescent="0.2">
      <c r="B758" s="89"/>
      <c r="C758"/>
      <c r="D758"/>
      <c r="E758" s="69"/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  <c r="T758"/>
      <c r="U758"/>
      <c r="V758"/>
      <c r="W758"/>
      <c r="X758"/>
      <c r="Y758"/>
      <c r="Z758"/>
      <c r="AA758"/>
    </row>
    <row r="759" spans="2:27" s="25" customFormat="1" ht="15.75" customHeight="1" x14ac:dyDescent="0.2">
      <c r="B759" s="89"/>
      <c r="C759"/>
      <c r="D759"/>
      <c r="E759" s="69"/>
      <c r="F759"/>
      <c r="G759"/>
      <c r="H759"/>
      <c r="I759"/>
      <c r="J759"/>
      <c r="K759"/>
      <c r="L759"/>
      <c r="M759"/>
      <c r="N759"/>
      <c r="O759"/>
      <c r="P759"/>
      <c r="Q759"/>
      <c r="R759"/>
      <c r="S759"/>
      <c r="T759"/>
      <c r="U759"/>
      <c r="V759"/>
      <c r="W759"/>
      <c r="X759"/>
      <c r="Y759"/>
      <c r="Z759"/>
      <c r="AA759"/>
    </row>
    <row r="760" spans="2:27" s="25" customFormat="1" ht="15.75" customHeight="1" x14ac:dyDescent="0.2">
      <c r="B760" s="89"/>
      <c r="C760"/>
      <c r="D760"/>
      <c r="E760" s="69"/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  <c r="T760"/>
      <c r="U760"/>
      <c r="V760"/>
      <c r="W760"/>
      <c r="X760"/>
      <c r="Y760"/>
      <c r="Z760"/>
      <c r="AA760"/>
    </row>
    <row r="761" spans="2:27" s="25" customFormat="1" ht="15.75" customHeight="1" x14ac:dyDescent="0.2">
      <c r="B761" s="89"/>
      <c r="C761"/>
      <c r="D761"/>
      <c r="E761" s="69"/>
      <c r="F761"/>
      <c r="G761"/>
      <c r="H761"/>
      <c r="I761"/>
      <c r="J761"/>
      <c r="K761"/>
      <c r="L761"/>
      <c r="M761"/>
      <c r="N761"/>
      <c r="O761"/>
      <c r="P761"/>
      <c r="Q761"/>
      <c r="R761"/>
      <c r="S761"/>
      <c r="T761"/>
      <c r="U761"/>
      <c r="V761"/>
      <c r="W761"/>
      <c r="X761"/>
      <c r="Y761"/>
      <c r="Z761"/>
      <c r="AA761"/>
    </row>
    <row r="762" spans="2:27" s="25" customFormat="1" ht="15.75" customHeight="1" x14ac:dyDescent="0.2">
      <c r="B762" s="89"/>
      <c r="C762"/>
      <c r="D762"/>
      <c r="E762" s="69"/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  <c r="U762"/>
      <c r="V762"/>
      <c r="W762"/>
      <c r="X762"/>
      <c r="Y762"/>
      <c r="Z762"/>
      <c r="AA762"/>
    </row>
    <row r="763" spans="2:27" s="25" customFormat="1" ht="15.75" customHeight="1" x14ac:dyDescent="0.2">
      <c r="B763" s="89"/>
      <c r="C763"/>
      <c r="D763"/>
      <c r="E763" s="69"/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  <c r="V763"/>
      <c r="W763"/>
      <c r="X763"/>
      <c r="Y763"/>
      <c r="Z763"/>
      <c r="AA763"/>
    </row>
    <row r="764" spans="2:27" s="25" customFormat="1" ht="15.75" customHeight="1" x14ac:dyDescent="0.2">
      <c r="B764" s="89"/>
      <c r="C764"/>
      <c r="D764"/>
      <c r="E764" s="69"/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  <c r="V764"/>
      <c r="W764"/>
      <c r="X764"/>
      <c r="Y764"/>
      <c r="Z764"/>
      <c r="AA764"/>
    </row>
    <row r="765" spans="2:27" s="25" customFormat="1" ht="15.75" customHeight="1" x14ac:dyDescent="0.2">
      <c r="B765" s="89"/>
      <c r="C765"/>
      <c r="D765"/>
      <c r="E765" s="69"/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  <c r="U765"/>
      <c r="V765"/>
      <c r="W765"/>
      <c r="X765"/>
      <c r="Y765"/>
      <c r="Z765"/>
      <c r="AA765"/>
    </row>
    <row r="766" spans="2:27" s="25" customFormat="1" ht="15.75" customHeight="1" x14ac:dyDescent="0.2">
      <c r="B766" s="89"/>
      <c r="C766"/>
      <c r="D766"/>
      <c r="E766" s="69"/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  <c r="T766"/>
      <c r="U766"/>
      <c r="V766"/>
      <c r="W766"/>
      <c r="X766"/>
      <c r="Y766"/>
      <c r="Z766"/>
      <c r="AA766"/>
    </row>
    <row r="767" spans="2:27" s="25" customFormat="1" ht="15.75" customHeight="1" x14ac:dyDescent="0.2">
      <c r="B767" s="89"/>
      <c r="C767"/>
      <c r="D767"/>
      <c r="E767" s="69"/>
      <c r="F767"/>
      <c r="G767"/>
      <c r="H767"/>
      <c r="I767"/>
      <c r="J767"/>
      <c r="K767"/>
      <c r="L767"/>
      <c r="M767"/>
      <c r="N767"/>
      <c r="O767"/>
      <c r="P767"/>
      <c r="Q767"/>
      <c r="R767"/>
      <c r="S767"/>
      <c r="T767"/>
      <c r="U767"/>
      <c r="V767"/>
      <c r="W767"/>
      <c r="X767"/>
      <c r="Y767"/>
      <c r="Z767"/>
      <c r="AA767"/>
    </row>
    <row r="768" spans="2:27" s="25" customFormat="1" ht="15.75" customHeight="1" x14ac:dyDescent="0.2">
      <c r="B768" s="89"/>
      <c r="C768"/>
      <c r="D768"/>
      <c r="E768" s="69"/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  <c r="U768"/>
      <c r="V768"/>
      <c r="W768"/>
      <c r="X768"/>
      <c r="Y768"/>
      <c r="Z768"/>
      <c r="AA768"/>
    </row>
    <row r="769" spans="2:27" s="25" customFormat="1" ht="15.75" customHeight="1" x14ac:dyDescent="0.2">
      <c r="B769" s="89"/>
      <c r="C769"/>
      <c r="D769"/>
      <c r="E769" s="69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  <c r="V769"/>
      <c r="W769"/>
      <c r="X769"/>
      <c r="Y769"/>
      <c r="Z769"/>
      <c r="AA769"/>
    </row>
    <row r="770" spans="2:27" s="25" customFormat="1" ht="15.75" customHeight="1" x14ac:dyDescent="0.2">
      <c r="B770" s="89"/>
      <c r="C770"/>
      <c r="D770"/>
      <c r="E770" s="69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  <c r="V770"/>
      <c r="W770"/>
      <c r="X770"/>
      <c r="Y770"/>
      <c r="Z770"/>
      <c r="AA770"/>
    </row>
    <row r="771" spans="2:27" s="25" customFormat="1" ht="15.75" customHeight="1" x14ac:dyDescent="0.2">
      <c r="B771" s="89"/>
      <c r="C771"/>
      <c r="D771"/>
      <c r="E771" s="69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  <c r="V771"/>
      <c r="W771"/>
      <c r="X771"/>
      <c r="Y771"/>
      <c r="Z771"/>
      <c r="AA771"/>
    </row>
    <row r="772" spans="2:27" s="25" customFormat="1" ht="15.75" customHeight="1" x14ac:dyDescent="0.2">
      <c r="B772" s="89"/>
      <c r="C772"/>
      <c r="D772"/>
      <c r="E772" s="69"/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  <c r="V772"/>
      <c r="W772"/>
      <c r="X772"/>
      <c r="Y772"/>
      <c r="Z772"/>
      <c r="AA772"/>
    </row>
    <row r="773" spans="2:27" s="25" customFormat="1" ht="15.75" customHeight="1" x14ac:dyDescent="0.2">
      <c r="B773" s="89"/>
      <c r="C773"/>
      <c r="D773"/>
      <c r="E773" s="69"/>
      <c r="F773"/>
      <c r="G773"/>
      <c r="H773"/>
      <c r="I773"/>
      <c r="J773"/>
      <c r="K773"/>
      <c r="L773"/>
      <c r="M773"/>
      <c r="N773"/>
      <c r="O773"/>
      <c r="P773"/>
      <c r="Q773"/>
      <c r="R773"/>
      <c r="S773"/>
      <c r="T773"/>
      <c r="U773"/>
      <c r="V773"/>
      <c r="W773"/>
      <c r="X773"/>
      <c r="Y773"/>
      <c r="Z773"/>
      <c r="AA773"/>
    </row>
    <row r="774" spans="2:27" s="25" customFormat="1" ht="15.75" customHeight="1" x14ac:dyDescent="0.2">
      <c r="B774" s="89"/>
      <c r="C774"/>
      <c r="D774"/>
      <c r="E774" s="69"/>
      <c r="F774"/>
      <c r="G774"/>
      <c r="H774"/>
      <c r="I774"/>
      <c r="J774"/>
      <c r="K774"/>
      <c r="L774"/>
      <c r="M774"/>
      <c r="N774"/>
      <c r="O774"/>
      <c r="P774"/>
      <c r="Q774"/>
      <c r="R774"/>
      <c r="S774"/>
      <c r="T774"/>
      <c r="U774"/>
      <c r="V774"/>
      <c r="W774"/>
      <c r="X774"/>
      <c r="Y774"/>
      <c r="Z774"/>
      <c r="AA774"/>
    </row>
    <row r="775" spans="2:27" s="25" customFormat="1" ht="15.75" customHeight="1" x14ac:dyDescent="0.2">
      <c r="B775" s="89"/>
      <c r="C775"/>
      <c r="D775"/>
      <c r="E775" s="69"/>
      <c r="F775"/>
      <c r="G775"/>
      <c r="H775"/>
      <c r="I775"/>
      <c r="J775"/>
      <c r="K775"/>
      <c r="L775"/>
      <c r="M775"/>
      <c r="N775"/>
      <c r="O775"/>
      <c r="P775"/>
      <c r="Q775"/>
      <c r="R775"/>
      <c r="S775"/>
      <c r="T775"/>
      <c r="U775"/>
      <c r="V775"/>
      <c r="W775"/>
      <c r="X775"/>
      <c r="Y775"/>
      <c r="Z775"/>
      <c r="AA775"/>
    </row>
    <row r="776" spans="2:27" s="25" customFormat="1" ht="15.75" customHeight="1" x14ac:dyDescent="0.2">
      <c r="B776" s="89"/>
      <c r="C776"/>
      <c r="D776"/>
      <c r="E776" s="69"/>
      <c r="F776"/>
      <c r="G776"/>
      <c r="H776"/>
      <c r="I776"/>
      <c r="J776"/>
      <c r="K776"/>
      <c r="L776"/>
      <c r="M776"/>
      <c r="N776"/>
      <c r="O776"/>
      <c r="P776"/>
      <c r="Q776"/>
      <c r="R776"/>
      <c r="S776"/>
      <c r="T776"/>
      <c r="U776"/>
      <c r="V776"/>
      <c r="W776"/>
      <c r="X776"/>
      <c r="Y776"/>
      <c r="Z776"/>
      <c r="AA776"/>
    </row>
    <row r="777" spans="2:27" s="25" customFormat="1" ht="15.75" customHeight="1" x14ac:dyDescent="0.2">
      <c r="B777" s="89"/>
      <c r="C777"/>
      <c r="D777"/>
      <c r="E777" s="69"/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  <c r="V777"/>
      <c r="W777"/>
      <c r="X777"/>
      <c r="Y777"/>
      <c r="Z777"/>
      <c r="AA777"/>
    </row>
    <row r="778" spans="2:27" s="25" customFormat="1" ht="15.75" customHeight="1" x14ac:dyDescent="0.2">
      <c r="B778" s="89"/>
      <c r="C778"/>
      <c r="D778"/>
      <c r="E778" s="69"/>
      <c r="F778"/>
      <c r="G778"/>
      <c r="H778"/>
      <c r="I778"/>
      <c r="J778"/>
      <c r="K778"/>
      <c r="L778"/>
      <c r="M778"/>
      <c r="N778"/>
      <c r="O778"/>
      <c r="P778"/>
      <c r="Q778"/>
      <c r="R778"/>
      <c r="S778"/>
      <c r="T778"/>
      <c r="U778"/>
      <c r="V778"/>
      <c r="W778"/>
      <c r="X778"/>
      <c r="Y778"/>
      <c r="Z778"/>
      <c r="AA778"/>
    </row>
    <row r="779" spans="2:27" s="25" customFormat="1" ht="15.75" customHeight="1" x14ac:dyDescent="0.2">
      <c r="B779" s="89"/>
      <c r="C779"/>
      <c r="D779"/>
      <c r="E779" s="69"/>
      <c r="F779"/>
      <c r="G779"/>
      <c r="H779"/>
      <c r="I779"/>
      <c r="J779"/>
      <c r="K779"/>
      <c r="L779"/>
      <c r="M779"/>
      <c r="N779"/>
      <c r="O779"/>
      <c r="P779"/>
      <c r="Q779"/>
      <c r="R779"/>
      <c r="S779"/>
      <c r="T779"/>
      <c r="U779"/>
      <c r="V779"/>
      <c r="W779"/>
      <c r="X779"/>
      <c r="Y779"/>
      <c r="Z779"/>
      <c r="AA779"/>
    </row>
    <row r="780" spans="2:27" s="25" customFormat="1" ht="15.75" customHeight="1" x14ac:dyDescent="0.2">
      <c r="B780" s="89"/>
      <c r="C780"/>
      <c r="D780"/>
      <c r="E780" s="69"/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  <c r="T780"/>
      <c r="U780"/>
      <c r="V780"/>
      <c r="W780"/>
      <c r="X780"/>
      <c r="Y780"/>
      <c r="Z780"/>
      <c r="AA780"/>
    </row>
    <row r="781" spans="2:27" s="25" customFormat="1" ht="15.75" customHeight="1" x14ac:dyDescent="0.2">
      <c r="B781" s="89"/>
      <c r="C781"/>
      <c r="D781"/>
      <c r="E781" s="69"/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  <c r="V781"/>
      <c r="W781"/>
      <c r="X781"/>
      <c r="Y781"/>
      <c r="Z781"/>
      <c r="AA781"/>
    </row>
    <row r="782" spans="2:27" s="25" customFormat="1" ht="15.75" customHeight="1" x14ac:dyDescent="0.2">
      <c r="B782" s="89"/>
      <c r="C782"/>
      <c r="D782"/>
      <c r="E782" s="69"/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  <c r="V782"/>
      <c r="W782"/>
      <c r="X782"/>
      <c r="Y782"/>
      <c r="Z782"/>
      <c r="AA782"/>
    </row>
    <row r="783" spans="2:27" s="25" customFormat="1" ht="15.75" customHeight="1" x14ac:dyDescent="0.2">
      <c r="B783" s="89"/>
      <c r="C783"/>
      <c r="D783"/>
      <c r="E783" s="69"/>
      <c r="F783"/>
      <c r="G783"/>
      <c r="H783"/>
      <c r="I783"/>
      <c r="J783"/>
      <c r="K783"/>
      <c r="L783"/>
      <c r="M783"/>
      <c r="N783"/>
      <c r="O783"/>
      <c r="P783"/>
      <c r="Q783"/>
      <c r="R783"/>
      <c r="S783"/>
      <c r="T783"/>
      <c r="U783"/>
      <c r="V783"/>
      <c r="W783"/>
      <c r="X783"/>
      <c r="Y783"/>
      <c r="Z783"/>
      <c r="AA783"/>
    </row>
    <row r="784" spans="2:27" s="25" customFormat="1" ht="15.75" customHeight="1" x14ac:dyDescent="0.2">
      <c r="B784" s="89"/>
      <c r="C784"/>
      <c r="D784"/>
      <c r="E784" s="69"/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  <c r="T784"/>
      <c r="U784"/>
      <c r="V784"/>
      <c r="W784"/>
      <c r="X784"/>
      <c r="Y784"/>
      <c r="Z784"/>
      <c r="AA784"/>
    </row>
    <row r="785" spans="2:27" s="25" customFormat="1" ht="15.75" customHeight="1" x14ac:dyDescent="0.2">
      <c r="B785" s="89"/>
      <c r="C785"/>
      <c r="D785"/>
      <c r="E785" s="69"/>
      <c r="F785"/>
      <c r="G785"/>
      <c r="H785"/>
      <c r="I785"/>
      <c r="J785"/>
      <c r="K785"/>
      <c r="L785"/>
      <c r="M785"/>
      <c r="N785"/>
      <c r="O785"/>
      <c r="P785"/>
      <c r="Q785"/>
      <c r="R785"/>
      <c r="S785"/>
      <c r="T785"/>
      <c r="U785"/>
      <c r="V785"/>
      <c r="W785"/>
      <c r="X785"/>
      <c r="Y785"/>
      <c r="Z785"/>
      <c r="AA785"/>
    </row>
    <row r="786" spans="2:27" s="25" customFormat="1" ht="15.75" customHeight="1" x14ac:dyDescent="0.2">
      <c r="B786" s="89"/>
      <c r="C786"/>
      <c r="D786"/>
      <c r="E786" s="69"/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  <c r="U786"/>
      <c r="V786"/>
      <c r="W786"/>
      <c r="X786"/>
      <c r="Y786"/>
      <c r="Z786"/>
      <c r="AA786"/>
    </row>
    <row r="787" spans="2:27" s="25" customFormat="1" ht="15.75" customHeight="1" x14ac:dyDescent="0.2">
      <c r="B787" s="89"/>
      <c r="C787"/>
      <c r="D787"/>
      <c r="E787" s="69"/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  <c r="V787"/>
      <c r="W787"/>
      <c r="X787"/>
      <c r="Y787"/>
      <c r="Z787"/>
      <c r="AA787"/>
    </row>
    <row r="788" spans="2:27" s="25" customFormat="1" ht="15.75" customHeight="1" x14ac:dyDescent="0.2">
      <c r="B788" s="89"/>
      <c r="C788"/>
      <c r="D788"/>
      <c r="E788" s="69"/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  <c r="V788"/>
      <c r="W788"/>
      <c r="X788"/>
      <c r="Y788"/>
      <c r="Z788"/>
      <c r="AA788"/>
    </row>
    <row r="789" spans="2:27" s="25" customFormat="1" ht="15.75" customHeight="1" x14ac:dyDescent="0.2">
      <c r="B789" s="89"/>
      <c r="C789"/>
      <c r="D789"/>
      <c r="E789" s="69"/>
      <c r="F789"/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  <c r="V789"/>
      <c r="W789"/>
      <c r="X789"/>
      <c r="Y789"/>
      <c r="Z789"/>
      <c r="AA789"/>
    </row>
    <row r="790" spans="2:27" s="25" customFormat="1" ht="15.75" customHeight="1" x14ac:dyDescent="0.2">
      <c r="B790" s="89"/>
      <c r="C790"/>
      <c r="D790"/>
      <c r="E790" s="69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  <c r="V790"/>
      <c r="W790"/>
      <c r="X790"/>
      <c r="Y790"/>
      <c r="Z790"/>
      <c r="AA790"/>
    </row>
    <row r="791" spans="2:27" s="25" customFormat="1" ht="15.75" customHeight="1" x14ac:dyDescent="0.2">
      <c r="B791" s="89"/>
      <c r="C791"/>
      <c r="D791"/>
      <c r="E791" s="69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  <c r="V791"/>
      <c r="W791"/>
      <c r="X791"/>
      <c r="Y791"/>
      <c r="Z791"/>
      <c r="AA791"/>
    </row>
    <row r="792" spans="2:27" s="25" customFormat="1" ht="15.75" customHeight="1" x14ac:dyDescent="0.2">
      <c r="B792" s="89"/>
      <c r="C792"/>
      <c r="D792"/>
      <c r="E792" s="69"/>
      <c r="F792"/>
      <c r="G792"/>
      <c r="H792"/>
      <c r="I792"/>
      <c r="J792"/>
      <c r="K792"/>
      <c r="L792"/>
      <c r="M792"/>
      <c r="N792"/>
      <c r="O792"/>
      <c r="P792"/>
      <c r="Q792"/>
      <c r="R792"/>
      <c r="S792"/>
      <c r="T792"/>
      <c r="U792"/>
      <c r="V792"/>
      <c r="W792"/>
      <c r="X792"/>
      <c r="Y792"/>
      <c r="Z792"/>
      <c r="AA792"/>
    </row>
    <row r="793" spans="2:27" s="25" customFormat="1" ht="15.75" customHeight="1" x14ac:dyDescent="0.2">
      <c r="B793" s="89"/>
      <c r="C793"/>
      <c r="D793"/>
      <c r="E793" s="69"/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  <c r="V793"/>
      <c r="W793"/>
      <c r="X793"/>
      <c r="Y793"/>
      <c r="Z793"/>
      <c r="AA793"/>
    </row>
    <row r="794" spans="2:27" s="25" customFormat="1" ht="15.75" customHeight="1" x14ac:dyDescent="0.2">
      <c r="B794" s="89"/>
      <c r="C794"/>
      <c r="D794"/>
      <c r="E794" s="69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  <c r="V794"/>
      <c r="W794"/>
      <c r="X794"/>
      <c r="Y794"/>
      <c r="Z794"/>
      <c r="AA794"/>
    </row>
    <row r="795" spans="2:27" s="25" customFormat="1" ht="15.75" customHeight="1" x14ac:dyDescent="0.2">
      <c r="B795" s="89"/>
      <c r="C795"/>
      <c r="D795"/>
      <c r="E795" s="69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  <c r="V795"/>
      <c r="W795"/>
      <c r="X795"/>
      <c r="Y795"/>
      <c r="Z795"/>
      <c r="AA795"/>
    </row>
    <row r="796" spans="2:27" s="25" customFormat="1" ht="15.75" customHeight="1" x14ac:dyDescent="0.2">
      <c r="B796" s="89"/>
      <c r="C796"/>
      <c r="D796"/>
      <c r="E796" s="69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  <c r="V796"/>
      <c r="W796"/>
      <c r="X796"/>
      <c r="Y796"/>
      <c r="Z796"/>
      <c r="AA796"/>
    </row>
    <row r="797" spans="2:27" s="25" customFormat="1" ht="15.75" customHeight="1" x14ac:dyDescent="0.2">
      <c r="B797" s="89"/>
      <c r="C797"/>
      <c r="D797"/>
      <c r="E797" s="69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  <c r="V797"/>
      <c r="W797"/>
      <c r="X797"/>
      <c r="Y797"/>
      <c r="Z797"/>
      <c r="AA797"/>
    </row>
    <row r="798" spans="2:27" s="25" customFormat="1" ht="15.75" customHeight="1" x14ac:dyDescent="0.2">
      <c r="B798" s="89"/>
      <c r="C798"/>
      <c r="D798"/>
      <c r="E798" s="69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  <c r="V798"/>
      <c r="W798"/>
      <c r="X798"/>
      <c r="Y798"/>
      <c r="Z798"/>
      <c r="AA798"/>
    </row>
    <row r="799" spans="2:27" s="25" customFormat="1" ht="15.75" customHeight="1" x14ac:dyDescent="0.2">
      <c r="B799" s="89"/>
      <c r="C799"/>
      <c r="D799"/>
      <c r="E799" s="6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  <c r="V799"/>
      <c r="W799"/>
      <c r="X799"/>
      <c r="Y799"/>
      <c r="Z799"/>
      <c r="AA799"/>
    </row>
    <row r="800" spans="2:27" s="25" customFormat="1" ht="15.75" customHeight="1" x14ac:dyDescent="0.2">
      <c r="B800" s="89"/>
      <c r="C800"/>
      <c r="D800"/>
      <c r="E800" s="69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  <c r="V800"/>
      <c r="W800"/>
      <c r="X800"/>
      <c r="Y800"/>
      <c r="Z800"/>
      <c r="AA800"/>
    </row>
    <row r="801" spans="2:27" s="25" customFormat="1" ht="15.75" customHeight="1" x14ac:dyDescent="0.2">
      <c r="B801" s="89"/>
      <c r="C801"/>
      <c r="D801"/>
      <c r="E801" s="69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  <c r="V801"/>
      <c r="W801"/>
      <c r="X801"/>
      <c r="Y801"/>
      <c r="Z801"/>
      <c r="AA801"/>
    </row>
    <row r="802" spans="2:27" s="25" customFormat="1" ht="15.75" customHeight="1" x14ac:dyDescent="0.2">
      <c r="B802" s="89"/>
      <c r="C802"/>
      <c r="D802"/>
      <c r="E802" s="69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  <c r="V802"/>
      <c r="W802"/>
      <c r="X802"/>
      <c r="Y802"/>
      <c r="Z802"/>
      <c r="AA802"/>
    </row>
    <row r="803" spans="2:27" s="25" customFormat="1" ht="15.75" customHeight="1" x14ac:dyDescent="0.2">
      <c r="B803" s="89"/>
      <c r="C803"/>
      <c r="D803"/>
      <c r="E803" s="69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  <c r="V803"/>
      <c r="W803"/>
      <c r="X803"/>
      <c r="Y803"/>
      <c r="Z803"/>
      <c r="AA803"/>
    </row>
    <row r="804" spans="2:27" s="25" customFormat="1" ht="15.75" customHeight="1" x14ac:dyDescent="0.2">
      <c r="B804" s="89"/>
      <c r="C804"/>
      <c r="D804"/>
      <c r="E804" s="69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  <c r="V804"/>
      <c r="W804"/>
      <c r="X804"/>
      <c r="Y804"/>
      <c r="Z804"/>
      <c r="AA804"/>
    </row>
    <row r="805" spans="2:27" s="25" customFormat="1" ht="15.75" customHeight="1" x14ac:dyDescent="0.2">
      <c r="B805" s="89"/>
      <c r="C805"/>
      <c r="D805"/>
      <c r="E805" s="69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  <c r="V805"/>
      <c r="W805"/>
      <c r="X805"/>
      <c r="Y805"/>
      <c r="Z805"/>
      <c r="AA805"/>
    </row>
    <row r="806" spans="2:27" s="25" customFormat="1" ht="15.75" customHeight="1" x14ac:dyDescent="0.2">
      <c r="B806" s="89"/>
      <c r="C806"/>
      <c r="D806"/>
      <c r="E806" s="69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  <c r="V806"/>
      <c r="W806"/>
      <c r="X806"/>
      <c r="Y806"/>
      <c r="Z806"/>
      <c r="AA806"/>
    </row>
    <row r="807" spans="2:27" s="25" customFormat="1" ht="15.75" customHeight="1" x14ac:dyDescent="0.2">
      <c r="B807" s="89"/>
      <c r="C807"/>
      <c r="D807"/>
      <c r="E807" s="69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  <c r="V807"/>
      <c r="W807"/>
      <c r="X807"/>
      <c r="Y807"/>
      <c r="Z807"/>
      <c r="AA807"/>
    </row>
    <row r="808" spans="2:27" s="25" customFormat="1" ht="15.75" customHeight="1" x14ac:dyDescent="0.2">
      <c r="B808" s="89"/>
      <c r="C808"/>
      <c r="D808"/>
      <c r="E808" s="69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  <c r="V808"/>
      <c r="W808"/>
      <c r="X808"/>
      <c r="Y808"/>
      <c r="Z808"/>
      <c r="AA808"/>
    </row>
    <row r="809" spans="2:27" s="25" customFormat="1" ht="15.75" customHeight="1" x14ac:dyDescent="0.2">
      <c r="B809" s="89"/>
      <c r="C809"/>
      <c r="D809"/>
      <c r="E809" s="6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  <c r="V809"/>
      <c r="W809"/>
      <c r="X809"/>
      <c r="Y809"/>
      <c r="Z809"/>
      <c r="AA809"/>
    </row>
    <row r="810" spans="2:27" s="25" customFormat="1" ht="15.75" customHeight="1" x14ac:dyDescent="0.2">
      <c r="B810" s="89"/>
      <c r="C810"/>
      <c r="D810"/>
      <c r="E810" s="69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  <c r="V810"/>
      <c r="W810"/>
      <c r="X810"/>
      <c r="Y810"/>
      <c r="Z810"/>
      <c r="AA810"/>
    </row>
    <row r="811" spans="2:27" s="25" customFormat="1" ht="15.75" customHeight="1" x14ac:dyDescent="0.2">
      <c r="B811" s="89"/>
      <c r="C811"/>
      <c r="D811"/>
      <c r="E811" s="69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  <c r="V811"/>
      <c r="W811"/>
      <c r="X811"/>
      <c r="Y811"/>
      <c r="Z811"/>
      <c r="AA811"/>
    </row>
    <row r="812" spans="2:27" s="25" customFormat="1" ht="15.75" customHeight="1" x14ac:dyDescent="0.2">
      <c r="B812" s="89"/>
      <c r="C812"/>
      <c r="D812"/>
      <c r="E812" s="69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  <c r="V812"/>
      <c r="W812"/>
      <c r="X812"/>
      <c r="Y812"/>
      <c r="Z812"/>
      <c r="AA812"/>
    </row>
    <row r="813" spans="2:27" s="25" customFormat="1" ht="15.75" customHeight="1" x14ac:dyDescent="0.2">
      <c r="B813" s="89"/>
      <c r="C813"/>
      <c r="D813"/>
      <c r="E813" s="69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  <c r="V813"/>
      <c r="W813"/>
      <c r="X813"/>
      <c r="Y813"/>
      <c r="Z813"/>
      <c r="AA813"/>
    </row>
    <row r="814" spans="2:27" s="25" customFormat="1" ht="15.75" customHeight="1" x14ac:dyDescent="0.2">
      <c r="B814" s="89"/>
      <c r="C814"/>
      <c r="D814"/>
      <c r="E814" s="69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  <c r="V814"/>
      <c r="W814"/>
      <c r="X814"/>
      <c r="Y814"/>
      <c r="Z814"/>
      <c r="AA814"/>
    </row>
    <row r="815" spans="2:27" s="25" customFormat="1" ht="15.75" customHeight="1" x14ac:dyDescent="0.2">
      <c r="B815" s="89"/>
      <c r="C815"/>
      <c r="D815"/>
      <c r="E815" s="69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  <c r="V815"/>
      <c r="W815"/>
      <c r="X815"/>
      <c r="Y815"/>
      <c r="Z815"/>
      <c r="AA815"/>
    </row>
    <row r="816" spans="2:27" s="25" customFormat="1" ht="15.75" customHeight="1" x14ac:dyDescent="0.2">
      <c r="B816" s="89"/>
      <c r="C816"/>
      <c r="D816"/>
      <c r="E816" s="69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  <c r="V816"/>
      <c r="W816"/>
      <c r="X816"/>
      <c r="Y816"/>
      <c r="Z816"/>
      <c r="AA816"/>
    </row>
    <row r="817" spans="2:27" s="25" customFormat="1" ht="15.75" customHeight="1" x14ac:dyDescent="0.2">
      <c r="B817" s="89"/>
      <c r="C817"/>
      <c r="D817"/>
      <c r="E817" s="69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  <c r="V817"/>
      <c r="W817"/>
      <c r="X817"/>
      <c r="Y817"/>
      <c r="Z817"/>
      <c r="AA817"/>
    </row>
    <row r="818" spans="2:27" s="25" customFormat="1" ht="15.75" customHeight="1" x14ac:dyDescent="0.2">
      <c r="B818" s="89"/>
      <c r="C818"/>
      <c r="D818"/>
      <c r="E818" s="69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  <c r="U818"/>
      <c r="V818"/>
      <c r="W818"/>
      <c r="X818"/>
      <c r="Y818"/>
      <c r="Z818"/>
      <c r="AA818"/>
    </row>
    <row r="819" spans="2:27" s="25" customFormat="1" ht="15.75" customHeight="1" x14ac:dyDescent="0.2">
      <c r="B819" s="89"/>
      <c r="C819"/>
      <c r="D819"/>
      <c r="E819" s="6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/>
      <c r="U819"/>
      <c r="V819"/>
      <c r="W819"/>
      <c r="X819"/>
      <c r="Y819"/>
      <c r="Z819"/>
      <c r="AA819"/>
    </row>
    <row r="820" spans="2:27" s="25" customFormat="1" ht="15.75" customHeight="1" x14ac:dyDescent="0.2">
      <c r="B820" s="89"/>
      <c r="C820"/>
      <c r="D820"/>
      <c r="E820" s="69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  <c r="U820"/>
      <c r="V820"/>
      <c r="W820"/>
      <c r="X820"/>
      <c r="Y820"/>
      <c r="Z820"/>
      <c r="AA820"/>
    </row>
    <row r="821" spans="2:27" s="25" customFormat="1" ht="15.75" customHeight="1" x14ac:dyDescent="0.2">
      <c r="B821" s="89"/>
      <c r="C821"/>
      <c r="D821"/>
      <c r="E821" s="69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  <c r="V821"/>
      <c r="W821"/>
      <c r="X821"/>
      <c r="Y821"/>
      <c r="Z821"/>
      <c r="AA821"/>
    </row>
    <row r="822" spans="2:27" s="25" customFormat="1" ht="15.75" customHeight="1" x14ac:dyDescent="0.2">
      <c r="B822" s="89"/>
      <c r="C822"/>
      <c r="D822"/>
      <c r="E822" s="69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  <c r="V822"/>
      <c r="W822"/>
      <c r="X822"/>
      <c r="Y822"/>
      <c r="Z822"/>
      <c r="AA822"/>
    </row>
    <row r="823" spans="2:27" s="25" customFormat="1" ht="15.75" customHeight="1" x14ac:dyDescent="0.2">
      <c r="B823" s="89"/>
      <c r="C823"/>
      <c r="D823"/>
      <c r="E823" s="69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  <c r="V823"/>
      <c r="W823"/>
      <c r="X823"/>
      <c r="Y823"/>
      <c r="Z823"/>
      <c r="AA823"/>
    </row>
    <row r="824" spans="2:27" s="25" customFormat="1" ht="15.75" customHeight="1" x14ac:dyDescent="0.2">
      <c r="B824" s="89"/>
      <c r="C824"/>
      <c r="D824"/>
      <c r="E824" s="69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  <c r="U824"/>
      <c r="V824"/>
      <c r="W824"/>
      <c r="X824"/>
      <c r="Y824"/>
      <c r="Z824"/>
      <c r="AA824"/>
    </row>
    <row r="825" spans="2:27" s="25" customFormat="1" ht="15.75" customHeight="1" x14ac:dyDescent="0.2">
      <c r="B825" s="89"/>
      <c r="C825"/>
      <c r="D825"/>
      <c r="E825" s="69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  <c r="V825"/>
      <c r="W825"/>
      <c r="X825"/>
      <c r="Y825"/>
      <c r="Z825"/>
      <c r="AA825"/>
    </row>
    <row r="826" spans="2:27" s="25" customFormat="1" ht="15.75" customHeight="1" x14ac:dyDescent="0.2">
      <c r="B826" s="89"/>
      <c r="C826"/>
      <c r="D826"/>
      <c r="E826" s="69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  <c r="U826"/>
      <c r="V826"/>
      <c r="W826"/>
      <c r="X826"/>
      <c r="Y826"/>
      <c r="Z826"/>
      <c r="AA826"/>
    </row>
    <row r="827" spans="2:27" s="25" customFormat="1" ht="15.75" customHeight="1" x14ac:dyDescent="0.2">
      <c r="B827" s="89"/>
      <c r="C827"/>
      <c r="D827"/>
      <c r="E827" s="69"/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  <c r="U827"/>
      <c r="V827"/>
      <c r="W827"/>
      <c r="X827"/>
      <c r="Y827"/>
      <c r="Z827"/>
      <c r="AA827"/>
    </row>
    <row r="828" spans="2:27" s="25" customFormat="1" ht="15.75" customHeight="1" x14ac:dyDescent="0.2">
      <c r="B828" s="89"/>
      <c r="C828"/>
      <c r="D828"/>
      <c r="E828" s="69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  <c r="V828"/>
      <c r="W828"/>
      <c r="X828"/>
      <c r="Y828"/>
      <c r="Z828"/>
      <c r="AA828"/>
    </row>
    <row r="829" spans="2:27" s="25" customFormat="1" ht="15.75" customHeight="1" x14ac:dyDescent="0.2">
      <c r="B829" s="89"/>
      <c r="C829"/>
      <c r="D829"/>
      <c r="E829" s="6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  <c r="V829"/>
      <c r="W829"/>
      <c r="X829"/>
      <c r="Y829"/>
      <c r="Z829"/>
      <c r="AA829"/>
    </row>
    <row r="830" spans="2:27" s="25" customFormat="1" ht="15.75" customHeight="1" x14ac:dyDescent="0.2">
      <c r="B830" s="89"/>
      <c r="C830"/>
      <c r="D830"/>
      <c r="E830" s="69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  <c r="V830"/>
      <c r="W830"/>
      <c r="X830"/>
      <c r="Y830"/>
      <c r="Z830"/>
      <c r="AA830"/>
    </row>
    <row r="831" spans="2:27" s="25" customFormat="1" ht="15.75" customHeight="1" x14ac:dyDescent="0.2">
      <c r="B831" s="89"/>
      <c r="C831"/>
      <c r="D831"/>
      <c r="E831" s="69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  <c r="V831"/>
      <c r="W831"/>
      <c r="X831"/>
      <c r="Y831"/>
      <c r="Z831"/>
      <c r="AA831"/>
    </row>
    <row r="832" spans="2:27" s="25" customFormat="1" ht="15.75" customHeight="1" x14ac:dyDescent="0.2">
      <c r="B832" s="89"/>
      <c r="C832"/>
      <c r="D832"/>
      <c r="E832" s="69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  <c r="V832"/>
      <c r="W832"/>
      <c r="X832"/>
      <c r="Y832"/>
      <c r="Z832"/>
      <c r="AA832"/>
    </row>
    <row r="833" spans="2:27" s="25" customFormat="1" ht="15.75" customHeight="1" x14ac:dyDescent="0.2">
      <c r="B833" s="89"/>
      <c r="C833"/>
      <c r="D833"/>
      <c r="E833" s="69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  <c r="V833"/>
      <c r="W833"/>
      <c r="X833"/>
      <c r="Y833"/>
      <c r="Z833"/>
      <c r="AA833"/>
    </row>
    <row r="834" spans="2:27" s="25" customFormat="1" ht="15.75" customHeight="1" x14ac:dyDescent="0.2">
      <c r="B834" s="89"/>
      <c r="C834"/>
      <c r="D834"/>
      <c r="E834" s="69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  <c r="V834"/>
      <c r="W834"/>
      <c r="X834"/>
      <c r="Y834"/>
      <c r="Z834"/>
      <c r="AA834"/>
    </row>
    <row r="835" spans="2:27" s="25" customFormat="1" ht="15.75" customHeight="1" x14ac:dyDescent="0.2">
      <c r="B835" s="89"/>
      <c r="C835"/>
      <c r="D835"/>
      <c r="E835" s="69"/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  <c r="U835"/>
      <c r="V835"/>
      <c r="W835"/>
      <c r="X835"/>
      <c r="Y835"/>
      <c r="Z835"/>
      <c r="AA835"/>
    </row>
    <row r="836" spans="2:27" s="25" customFormat="1" ht="15.75" customHeight="1" x14ac:dyDescent="0.2">
      <c r="B836" s="89"/>
      <c r="C836"/>
      <c r="D836"/>
      <c r="E836" s="69"/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  <c r="U836"/>
      <c r="V836"/>
      <c r="W836"/>
      <c r="X836"/>
      <c r="Y836"/>
      <c r="Z836"/>
      <c r="AA836"/>
    </row>
    <row r="837" spans="2:27" s="25" customFormat="1" ht="15.75" customHeight="1" x14ac:dyDescent="0.2">
      <c r="B837" s="89"/>
      <c r="C837"/>
      <c r="D837"/>
      <c r="E837" s="69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  <c r="U837"/>
      <c r="V837"/>
      <c r="W837"/>
      <c r="X837"/>
      <c r="Y837"/>
      <c r="Z837"/>
      <c r="AA837"/>
    </row>
    <row r="838" spans="2:27" s="25" customFormat="1" ht="15.75" customHeight="1" x14ac:dyDescent="0.2">
      <c r="B838" s="89"/>
      <c r="C838"/>
      <c r="D838"/>
      <c r="E838" s="69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  <c r="V838"/>
      <c r="W838"/>
      <c r="X838"/>
      <c r="Y838"/>
      <c r="Z838"/>
      <c r="AA838"/>
    </row>
    <row r="839" spans="2:27" s="25" customFormat="1" ht="15.75" customHeight="1" x14ac:dyDescent="0.2">
      <c r="B839" s="89"/>
      <c r="C839"/>
      <c r="D839"/>
      <c r="E839" s="6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  <c r="V839"/>
      <c r="W839"/>
      <c r="X839"/>
      <c r="Y839"/>
      <c r="Z839"/>
      <c r="AA839"/>
    </row>
    <row r="840" spans="2:27" s="25" customFormat="1" ht="15.75" customHeight="1" x14ac:dyDescent="0.2">
      <c r="B840" s="89"/>
      <c r="C840"/>
      <c r="D840"/>
      <c r="E840" s="69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  <c r="V840"/>
      <c r="W840"/>
      <c r="X840"/>
      <c r="Y840"/>
      <c r="Z840"/>
      <c r="AA840"/>
    </row>
    <row r="841" spans="2:27" s="25" customFormat="1" ht="15.75" customHeight="1" x14ac:dyDescent="0.2">
      <c r="B841" s="89"/>
      <c r="C841"/>
      <c r="D841"/>
      <c r="E841" s="69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  <c r="V841"/>
      <c r="W841"/>
      <c r="X841"/>
      <c r="Y841"/>
      <c r="Z841"/>
      <c r="AA841"/>
    </row>
    <row r="842" spans="2:27" s="25" customFormat="1" ht="15.75" customHeight="1" x14ac:dyDescent="0.2">
      <c r="B842" s="89"/>
      <c r="C842"/>
      <c r="D842"/>
      <c r="E842" s="69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  <c r="U842"/>
      <c r="V842"/>
      <c r="W842"/>
      <c r="X842"/>
      <c r="Y842"/>
      <c r="Z842"/>
      <c r="AA842"/>
    </row>
    <row r="843" spans="2:27" s="25" customFormat="1" ht="15.75" customHeight="1" x14ac:dyDescent="0.2">
      <c r="B843" s="89"/>
      <c r="C843"/>
      <c r="D843"/>
      <c r="E843" s="69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  <c r="V843"/>
      <c r="W843"/>
      <c r="X843"/>
      <c r="Y843"/>
      <c r="Z843"/>
      <c r="AA843"/>
    </row>
    <row r="844" spans="2:27" s="25" customFormat="1" ht="15.75" customHeight="1" x14ac:dyDescent="0.2">
      <c r="B844" s="89"/>
      <c r="C844"/>
      <c r="D844"/>
      <c r="E844" s="69"/>
      <c r="F844"/>
      <c r="G844"/>
      <c r="H844"/>
      <c r="I844"/>
      <c r="J844"/>
      <c r="K844"/>
      <c r="L844"/>
      <c r="M844"/>
      <c r="N844"/>
      <c r="O844"/>
      <c r="P844"/>
      <c r="Q844"/>
      <c r="R844"/>
      <c r="S844"/>
      <c r="T844"/>
      <c r="U844"/>
      <c r="V844"/>
      <c r="W844"/>
      <c r="X844"/>
      <c r="Y844"/>
      <c r="Z844"/>
      <c r="AA844"/>
    </row>
    <row r="845" spans="2:27" s="25" customFormat="1" ht="15.75" customHeight="1" x14ac:dyDescent="0.2">
      <c r="B845" s="89"/>
      <c r="C845"/>
      <c r="D845"/>
      <c r="E845" s="69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  <c r="U845"/>
      <c r="V845"/>
      <c r="W845"/>
      <c r="X845"/>
      <c r="Y845"/>
      <c r="Z845"/>
      <c r="AA845"/>
    </row>
    <row r="846" spans="2:27" s="25" customFormat="1" ht="15.75" customHeight="1" x14ac:dyDescent="0.2">
      <c r="B846" s="89"/>
      <c r="C846"/>
      <c r="D846"/>
      <c r="E846" s="69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  <c r="V846"/>
      <c r="W846"/>
      <c r="X846"/>
      <c r="Y846"/>
      <c r="Z846"/>
      <c r="AA846"/>
    </row>
    <row r="847" spans="2:27" s="25" customFormat="1" ht="15.75" customHeight="1" x14ac:dyDescent="0.2">
      <c r="B847" s="89"/>
      <c r="C847"/>
      <c r="D847"/>
      <c r="E847" s="69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  <c r="U847"/>
      <c r="V847"/>
      <c r="W847"/>
      <c r="X847"/>
      <c r="Y847"/>
      <c r="Z847"/>
      <c r="AA847"/>
    </row>
    <row r="848" spans="2:27" s="25" customFormat="1" ht="15.75" customHeight="1" x14ac:dyDescent="0.2">
      <c r="B848" s="89"/>
      <c r="C848"/>
      <c r="D848"/>
      <c r="E848" s="69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/>
      <c r="U848"/>
      <c r="V848"/>
      <c r="W848"/>
      <c r="X848"/>
      <c r="Y848"/>
      <c r="Z848"/>
      <c r="AA848"/>
    </row>
    <row r="849" spans="2:27" s="25" customFormat="1" ht="15.75" customHeight="1" x14ac:dyDescent="0.2">
      <c r="B849" s="89"/>
      <c r="C849"/>
      <c r="D849"/>
      <c r="E849" s="6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  <c r="V849"/>
      <c r="W849"/>
      <c r="X849"/>
      <c r="Y849"/>
      <c r="Z849"/>
      <c r="AA849"/>
    </row>
    <row r="850" spans="2:27" s="25" customFormat="1" ht="15.75" customHeight="1" x14ac:dyDescent="0.2">
      <c r="B850" s="89"/>
      <c r="C850"/>
      <c r="D850"/>
      <c r="E850" s="69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  <c r="V850"/>
      <c r="W850"/>
      <c r="X850"/>
      <c r="Y850"/>
      <c r="Z850"/>
      <c r="AA850"/>
    </row>
    <row r="851" spans="2:27" s="25" customFormat="1" ht="15.75" customHeight="1" x14ac:dyDescent="0.2">
      <c r="B851" s="89"/>
      <c r="C851"/>
      <c r="D851"/>
      <c r="E851" s="69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  <c r="U851"/>
      <c r="V851"/>
      <c r="W851"/>
      <c r="X851"/>
      <c r="Y851"/>
      <c r="Z851"/>
      <c r="AA851"/>
    </row>
    <row r="852" spans="2:27" s="25" customFormat="1" ht="15.75" customHeight="1" x14ac:dyDescent="0.2">
      <c r="B852" s="89"/>
      <c r="C852"/>
      <c r="D852"/>
      <c r="E852" s="69"/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  <c r="U852"/>
      <c r="V852"/>
      <c r="W852"/>
      <c r="X852"/>
      <c r="Y852"/>
      <c r="Z852"/>
      <c r="AA852"/>
    </row>
    <row r="853" spans="2:27" s="25" customFormat="1" ht="15.75" customHeight="1" x14ac:dyDescent="0.2">
      <c r="B853" s="89"/>
      <c r="C853"/>
      <c r="D853"/>
      <c r="E853" s="69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  <c r="V853"/>
      <c r="W853"/>
      <c r="X853"/>
      <c r="Y853"/>
      <c r="Z853"/>
      <c r="AA853"/>
    </row>
    <row r="854" spans="2:27" s="25" customFormat="1" ht="15.75" customHeight="1" x14ac:dyDescent="0.2">
      <c r="B854" s="89"/>
      <c r="C854"/>
      <c r="D854"/>
      <c r="E854" s="69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  <c r="V854"/>
      <c r="W854"/>
      <c r="X854"/>
      <c r="Y854"/>
      <c r="Z854"/>
      <c r="AA854"/>
    </row>
    <row r="855" spans="2:27" s="25" customFormat="1" ht="15.75" customHeight="1" x14ac:dyDescent="0.2">
      <c r="B855" s="89"/>
      <c r="C855"/>
      <c r="D855"/>
      <c r="E855" s="69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  <c r="U855"/>
      <c r="V855"/>
      <c r="W855"/>
      <c r="X855"/>
      <c r="Y855"/>
      <c r="Z855"/>
      <c r="AA855"/>
    </row>
    <row r="856" spans="2:27" s="25" customFormat="1" ht="15.75" customHeight="1" x14ac:dyDescent="0.2">
      <c r="B856" s="89"/>
      <c r="C856"/>
      <c r="D856"/>
      <c r="E856" s="69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  <c r="U856"/>
      <c r="V856"/>
      <c r="W856"/>
      <c r="X856"/>
      <c r="Y856"/>
      <c r="Z856"/>
      <c r="AA856"/>
    </row>
    <row r="857" spans="2:27" s="25" customFormat="1" ht="15.75" customHeight="1" x14ac:dyDescent="0.2">
      <c r="B857" s="89"/>
      <c r="C857"/>
      <c r="D857"/>
      <c r="E857" s="69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  <c r="U857"/>
      <c r="V857"/>
      <c r="W857"/>
      <c r="X857"/>
      <c r="Y857"/>
      <c r="Z857"/>
      <c r="AA857"/>
    </row>
    <row r="858" spans="2:27" s="25" customFormat="1" ht="15.75" customHeight="1" x14ac:dyDescent="0.2">
      <c r="B858" s="89"/>
      <c r="C858"/>
      <c r="D858"/>
      <c r="E858" s="69"/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  <c r="U858"/>
      <c r="V858"/>
      <c r="W858"/>
      <c r="X858"/>
      <c r="Y858"/>
      <c r="Z858"/>
      <c r="AA858"/>
    </row>
    <row r="859" spans="2:27" s="25" customFormat="1" ht="15.75" customHeight="1" x14ac:dyDescent="0.2">
      <c r="B859" s="89"/>
      <c r="C859"/>
      <c r="D859"/>
      <c r="E859" s="69"/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  <c r="U859"/>
      <c r="V859"/>
      <c r="W859"/>
      <c r="X859"/>
      <c r="Y859"/>
      <c r="Z859"/>
      <c r="AA859"/>
    </row>
    <row r="860" spans="2:27" s="25" customFormat="1" ht="15.75" customHeight="1" x14ac:dyDescent="0.2">
      <c r="B860" s="89"/>
      <c r="C860"/>
      <c r="D860"/>
      <c r="E860" s="69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  <c r="U860"/>
      <c r="V860"/>
      <c r="W860"/>
      <c r="X860"/>
      <c r="Y860"/>
      <c r="Z860"/>
      <c r="AA860"/>
    </row>
    <row r="861" spans="2:27" s="25" customFormat="1" ht="15.75" customHeight="1" x14ac:dyDescent="0.2">
      <c r="B861" s="89"/>
      <c r="C861"/>
      <c r="D861"/>
      <c r="E861" s="69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  <c r="V861"/>
      <c r="W861"/>
      <c r="X861"/>
      <c r="Y861"/>
      <c r="Z861"/>
      <c r="AA861"/>
    </row>
    <row r="862" spans="2:27" s="25" customFormat="1" ht="15.75" customHeight="1" x14ac:dyDescent="0.2">
      <c r="B862" s="89"/>
      <c r="C862"/>
      <c r="D862"/>
      <c r="E862" s="69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  <c r="V862"/>
      <c r="W862"/>
      <c r="X862"/>
      <c r="Y862"/>
      <c r="Z862"/>
      <c r="AA862"/>
    </row>
    <row r="863" spans="2:27" s="25" customFormat="1" ht="15.75" customHeight="1" x14ac:dyDescent="0.2">
      <c r="B863" s="89"/>
      <c r="C863"/>
      <c r="D863"/>
      <c r="E863" s="69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  <c r="V863"/>
      <c r="W863"/>
      <c r="X863"/>
      <c r="Y863"/>
      <c r="Z863"/>
      <c r="AA863"/>
    </row>
    <row r="864" spans="2:27" s="25" customFormat="1" ht="15.75" customHeight="1" x14ac:dyDescent="0.2">
      <c r="B864" s="89"/>
      <c r="C864"/>
      <c r="D864"/>
      <c r="E864" s="69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/>
      <c r="U864"/>
      <c r="V864"/>
      <c r="W864"/>
      <c r="X864"/>
      <c r="Y864"/>
      <c r="Z864"/>
      <c r="AA864"/>
    </row>
    <row r="865" spans="2:27" s="25" customFormat="1" ht="15.75" customHeight="1" x14ac:dyDescent="0.2">
      <c r="B865" s="89"/>
      <c r="C865"/>
      <c r="D865"/>
      <c r="E865" s="69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  <c r="V865"/>
      <c r="W865"/>
      <c r="X865"/>
      <c r="Y865"/>
      <c r="Z865"/>
      <c r="AA865"/>
    </row>
    <row r="866" spans="2:27" s="25" customFormat="1" ht="15.75" customHeight="1" x14ac:dyDescent="0.2">
      <c r="B866" s="89"/>
      <c r="C866"/>
      <c r="D866"/>
      <c r="E866" s="69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  <c r="U866"/>
      <c r="V866"/>
      <c r="W866"/>
      <c r="X866"/>
      <c r="Y866"/>
      <c r="Z866"/>
      <c r="AA866"/>
    </row>
    <row r="867" spans="2:27" s="25" customFormat="1" ht="15.75" customHeight="1" x14ac:dyDescent="0.2">
      <c r="B867" s="89"/>
      <c r="C867"/>
      <c r="D867"/>
      <c r="E867" s="69"/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  <c r="T867"/>
      <c r="U867"/>
      <c r="V867"/>
      <c r="W867"/>
      <c r="X867"/>
      <c r="Y867"/>
      <c r="Z867"/>
      <c r="AA867"/>
    </row>
    <row r="868" spans="2:27" s="25" customFormat="1" ht="15.75" customHeight="1" x14ac:dyDescent="0.2">
      <c r="B868" s="89"/>
      <c r="C868"/>
      <c r="D868"/>
      <c r="E868" s="69"/>
      <c r="F868"/>
      <c r="G868"/>
      <c r="H868"/>
      <c r="I868"/>
      <c r="J868"/>
      <c r="K868"/>
      <c r="L868"/>
      <c r="M868"/>
      <c r="N868"/>
      <c r="O868"/>
      <c r="P868"/>
      <c r="Q868"/>
      <c r="R868"/>
      <c r="S868"/>
      <c r="T868"/>
      <c r="U868"/>
      <c r="V868"/>
      <c r="W868"/>
      <c r="X868"/>
      <c r="Y868"/>
      <c r="Z868"/>
      <c r="AA868"/>
    </row>
    <row r="869" spans="2:27" s="25" customFormat="1" ht="15.75" customHeight="1" x14ac:dyDescent="0.2">
      <c r="B869" s="89"/>
      <c r="C869"/>
      <c r="D869"/>
      <c r="E869" s="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  <c r="V869"/>
      <c r="W869"/>
      <c r="X869"/>
      <c r="Y869"/>
      <c r="Z869"/>
      <c r="AA869"/>
    </row>
    <row r="870" spans="2:27" s="25" customFormat="1" ht="15.75" customHeight="1" x14ac:dyDescent="0.2">
      <c r="B870" s="89"/>
      <c r="C870"/>
      <c r="D870"/>
      <c r="E870" s="69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  <c r="V870"/>
      <c r="W870"/>
      <c r="X870"/>
      <c r="Y870"/>
      <c r="Z870"/>
      <c r="AA870"/>
    </row>
    <row r="871" spans="2:27" s="25" customFormat="1" ht="15.75" customHeight="1" x14ac:dyDescent="0.2">
      <c r="B871" s="89"/>
      <c r="C871"/>
      <c r="D871"/>
      <c r="E871" s="69"/>
      <c r="F871"/>
      <c r="G871"/>
      <c r="H871"/>
      <c r="I871"/>
      <c r="J871"/>
      <c r="K871"/>
      <c r="L871"/>
      <c r="M871"/>
      <c r="N871"/>
      <c r="O871"/>
      <c r="P871"/>
      <c r="Q871"/>
      <c r="R871"/>
      <c r="S871"/>
      <c r="T871"/>
      <c r="U871"/>
      <c r="V871"/>
      <c r="W871"/>
      <c r="X871"/>
      <c r="Y871"/>
      <c r="Z871"/>
      <c r="AA871"/>
    </row>
    <row r="872" spans="2:27" s="25" customFormat="1" ht="15.75" customHeight="1" x14ac:dyDescent="0.2">
      <c r="B872" s="89"/>
      <c r="C872"/>
      <c r="D872"/>
      <c r="E872" s="69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  <c r="U872"/>
      <c r="V872"/>
      <c r="W872"/>
      <c r="X872"/>
      <c r="Y872"/>
      <c r="Z872"/>
      <c r="AA872"/>
    </row>
    <row r="873" spans="2:27" s="25" customFormat="1" ht="15.75" customHeight="1" x14ac:dyDescent="0.2">
      <c r="B873" s="89"/>
      <c r="C873"/>
      <c r="D873"/>
      <c r="E873" s="69"/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  <c r="T873"/>
      <c r="U873"/>
      <c r="V873"/>
      <c r="W873"/>
      <c r="X873"/>
      <c r="Y873"/>
      <c r="Z873"/>
      <c r="AA873"/>
    </row>
    <row r="874" spans="2:27" s="25" customFormat="1" ht="15.75" customHeight="1" x14ac:dyDescent="0.2">
      <c r="B874" s="89"/>
      <c r="C874"/>
      <c r="D874"/>
      <c r="E874" s="69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  <c r="V874"/>
      <c r="W874"/>
      <c r="X874"/>
      <c r="Y874"/>
      <c r="Z874"/>
      <c r="AA874"/>
    </row>
    <row r="875" spans="2:27" s="25" customFormat="1" ht="15.75" customHeight="1" x14ac:dyDescent="0.2">
      <c r="B875" s="89"/>
      <c r="C875"/>
      <c r="D875"/>
      <c r="E875" s="69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  <c r="V875"/>
      <c r="W875"/>
      <c r="X875"/>
      <c r="Y875"/>
      <c r="Z875"/>
      <c r="AA875"/>
    </row>
    <row r="876" spans="2:27" s="25" customFormat="1" ht="15.75" customHeight="1" x14ac:dyDescent="0.2">
      <c r="B876" s="89"/>
      <c r="C876"/>
      <c r="D876"/>
      <c r="E876" s="69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  <c r="V876"/>
      <c r="W876"/>
      <c r="X876"/>
      <c r="Y876"/>
      <c r="Z876"/>
      <c r="AA876"/>
    </row>
    <row r="877" spans="2:27" s="25" customFormat="1" ht="15.75" customHeight="1" x14ac:dyDescent="0.2">
      <c r="B877" s="89"/>
      <c r="C877"/>
      <c r="D877"/>
      <c r="E877" s="69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  <c r="U877"/>
      <c r="V877"/>
      <c r="W877"/>
      <c r="X877"/>
      <c r="Y877"/>
      <c r="Z877"/>
      <c r="AA877"/>
    </row>
    <row r="878" spans="2:27" s="25" customFormat="1" ht="15.75" customHeight="1" x14ac:dyDescent="0.2">
      <c r="B878" s="89"/>
      <c r="C878"/>
      <c r="D878"/>
      <c r="E878" s="69"/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  <c r="T878"/>
      <c r="U878"/>
      <c r="V878"/>
      <c r="W878"/>
      <c r="X878"/>
      <c r="Y878"/>
      <c r="Z878"/>
      <c r="AA878"/>
    </row>
    <row r="879" spans="2:27" s="25" customFormat="1" ht="15.75" customHeight="1" x14ac:dyDescent="0.2">
      <c r="B879" s="89"/>
      <c r="C879"/>
      <c r="D879"/>
      <c r="E879" s="6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  <c r="U879"/>
      <c r="V879"/>
      <c r="W879"/>
      <c r="X879"/>
      <c r="Y879"/>
      <c r="Z879"/>
      <c r="AA879"/>
    </row>
    <row r="880" spans="2:27" s="25" customFormat="1" ht="15.75" customHeight="1" x14ac:dyDescent="0.2">
      <c r="B880" s="89"/>
      <c r="C880"/>
      <c r="D880"/>
      <c r="E880" s="69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  <c r="U880"/>
      <c r="V880"/>
      <c r="W880"/>
      <c r="X880"/>
      <c r="Y880"/>
      <c r="Z880"/>
      <c r="AA880"/>
    </row>
    <row r="881" spans="2:27" s="25" customFormat="1" ht="15.75" customHeight="1" x14ac:dyDescent="0.2">
      <c r="B881" s="89"/>
      <c r="C881"/>
      <c r="D881"/>
      <c r="E881" s="69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  <c r="U881"/>
      <c r="V881"/>
      <c r="W881"/>
      <c r="X881"/>
      <c r="Y881"/>
      <c r="Z881"/>
      <c r="AA881"/>
    </row>
    <row r="882" spans="2:27" s="25" customFormat="1" ht="15.75" customHeight="1" x14ac:dyDescent="0.2">
      <c r="B882" s="89"/>
      <c r="C882"/>
      <c r="D882"/>
      <c r="E882" s="69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  <c r="U882"/>
      <c r="V882"/>
      <c r="W882"/>
      <c r="X882"/>
      <c r="Y882"/>
      <c r="Z882"/>
      <c r="AA882"/>
    </row>
    <row r="883" spans="2:27" s="25" customFormat="1" ht="15.75" customHeight="1" x14ac:dyDescent="0.2">
      <c r="B883" s="89"/>
      <c r="C883"/>
      <c r="D883"/>
      <c r="E883" s="69"/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  <c r="T883"/>
      <c r="U883"/>
      <c r="V883"/>
      <c r="W883"/>
      <c r="X883"/>
      <c r="Y883"/>
      <c r="Z883"/>
      <c r="AA883"/>
    </row>
    <row r="884" spans="2:27" s="25" customFormat="1" ht="15.75" customHeight="1" x14ac:dyDescent="0.2">
      <c r="B884" s="89"/>
      <c r="C884"/>
      <c r="D884"/>
      <c r="E884" s="69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  <c r="V884"/>
      <c r="W884"/>
      <c r="X884"/>
      <c r="Y884"/>
      <c r="Z884"/>
      <c r="AA884"/>
    </row>
    <row r="885" spans="2:27" s="25" customFormat="1" ht="15.75" customHeight="1" x14ac:dyDescent="0.2">
      <c r="B885" s="89"/>
      <c r="C885"/>
      <c r="D885"/>
      <c r="E885" s="69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  <c r="V885"/>
      <c r="W885"/>
      <c r="X885"/>
      <c r="Y885"/>
      <c r="Z885"/>
      <c r="AA885"/>
    </row>
    <row r="886" spans="2:27" s="25" customFormat="1" ht="15.75" customHeight="1" x14ac:dyDescent="0.2">
      <c r="B886" s="89"/>
      <c r="C886"/>
      <c r="D886"/>
      <c r="E886" s="69"/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  <c r="T886"/>
      <c r="U886"/>
      <c r="V886"/>
      <c r="W886"/>
      <c r="X886"/>
      <c r="Y886"/>
      <c r="Z886"/>
      <c r="AA886"/>
    </row>
    <row r="887" spans="2:27" s="25" customFormat="1" ht="15.75" customHeight="1" x14ac:dyDescent="0.2">
      <c r="B887" s="89"/>
      <c r="C887"/>
      <c r="D887"/>
      <c r="E887" s="69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  <c r="V887"/>
      <c r="W887"/>
      <c r="X887"/>
      <c r="Y887"/>
      <c r="Z887"/>
      <c r="AA887"/>
    </row>
    <row r="888" spans="2:27" s="25" customFormat="1" ht="15.75" customHeight="1" x14ac:dyDescent="0.2">
      <c r="B888" s="89"/>
      <c r="C888"/>
      <c r="D888"/>
      <c r="E888" s="69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  <c r="U888"/>
      <c r="V888"/>
      <c r="W888"/>
      <c r="X888"/>
      <c r="Y888"/>
      <c r="Z888"/>
      <c r="AA888"/>
    </row>
    <row r="889" spans="2:27" s="25" customFormat="1" ht="15.75" customHeight="1" x14ac:dyDescent="0.2">
      <c r="B889" s="89"/>
      <c r="C889"/>
      <c r="D889"/>
      <c r="E889" s="6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  <c r="V889"/>
      <c r="W889"/>
      <c r="X889"/>
      <c r="Y889"/>
      <c r="Z889"/>
      <c r="AA889"/>
    </row>
    <row r="890" spans="2:27" s="25" customFormat="1" ht="15.75" customHeight="1" x14ac:dyDescent="0.2">
      <c r="B890" s="89"/>
      <c r="C890"/>
      <c r="D890"/>
      <c r="E890" s="69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  <c r="V890"/>
      <c r="W890"/>
      <c r="X890"/>
      <c r="Y890"/>
      <c r="Z890"/>
      <c r="AA890"/>
    </row>
    <row r="891" spans="2:27" s="25" customFormat="1" ht="15.75" customHeight="1" x14ac:dyDescent="0.2">
      <c r="B891" s="89"/>
      <c r="C891"/>
      <c r="D891"/>
      <c r="E891" s="69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  <c r="V891"/>
      <c r="W891"/>
      <c r="X891"/>
      <c r="Y891"/>
      <c r="Z891"/>
      <c r="AA891"/>
    </row>
    <row r="892" spans="2:27" s="25" customFormat="1" ht="15.75" customHeight="1" x14ac:dyDescent="0.2">
      <c r="B892" s="89"/>
      <c r="C892"/>
      <c r="D892"/>
      <c r="E892" s="69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  <c r="V892"/>
      <c r="W892"/>
      <c r="X892"/>
      <c r="Y892"/>
      <c r="Z892"/>
      <c r="AA892"/>
    </row>
    <row r="893" spans="2:27" s="25" customFormat="1" ht="15.75" customHeight="1" x14ac:dyDescent="0.2">
      <c r="B893" s="89"/>
      <c r="C893"/>
      <c r="D893"/>
      <c r="E893" s="69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  <c r="U893"/>
      <c r="V893"/>
      <c r="W893"/>
      <c r="X893"/>
      <c r="Y893"/>
      <c r="Z893"/>
      <c r="AA893"/>
    </row>
    <row r="894" spans="2:27" s="25" customFormat="1" ht="15.75" customHeight="1" x14ac:dyDescent="0.2">
      <c r="B894" s="89"/>
      <c r="C894"/>
      <c r="D894"/>
      <c r="E894" s="69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  <c r="V894"/>
      <c r="W894"/>
      <c r="X894"/>
      <c r="Y894"/>
      <c r="Z894"/>
      <c r="AA894"/>
    </row>
    <row r="895" spans="2:27" s="25" customFormat="1" ht="15.75" customHeight="1" x14ac:dyDescent="0.2">
      <c r="B895" s="89"/>
      <c r="C895"/>
      <c r="D895"/>
      <c r="E895" s="69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  <c r="V895"/>
      <c r="W895"/>
      <c r="X895"/>
      <c r="Y895"/>
      <c r="Z895"/>
      <c r="AA895"/>
    </row>
    <row r="896" spans="2:27" s="25" customFormat="1" ht="15.75" customHeight="1" x14ac:dyDescent="0.2">
      <c r="B896" s="89"/>
      <c r="C896"/>
      <c r="D896"/>
      <c r="E896" s="69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  <c r="V896"/>
      <c r="W896"/>
      <c r="X896"/>
      <c r="Y896"/>
      <c r="Z896"/>
      <c r="AA896"/>
    </row>
    <row r="897" spans="2:27" s="25" customFormat="1" ht="15.75" customHeight="1" x14ac:dyDescent="0.2">
      <c r="B897" s="89"/>
      <c r="C897"/>
      <c r="D897"/>
      <c r="E897" s="69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  <c r="V897"/>
      <c r="W897"/>
      <c r="X897"/>
      <c r="Y897"/>
      <c r="Z897"/>
      <c r="AA897"/>
    </row>
    <row r="898" spans="2:27" s="25" customFormat="1" ht="15.75" customHeight="1" x14ac:dyDescent="0.2">
      <c r="B898" s="89"/>
      <c r="C898"/>
      <c r="D898"/>
      <c r="E898" s="69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  <c r="V898"/>
      <c r="W898"/>
      <c r="X898"/>
      <c r="Y898"/>
      <c r="Z898"/>
      <c r="AA898"/>
    </row>
    <row r="899" spans="2:27" s="25" customFormat="1" ht="15.75" customHeight="1" x14ac:dyDescent="0.2">
      <c r="B899" s="89"/>
      <c r="C899"/>
      <c r="D899"/>
      <c r="E899" s="6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  <c r="V899"/>
      <c r="W899"/>
      <c r="X899"/>
      <c r="Y899"/>
      <c r="Z899"/>
      <c r="AA899"/>
    </row>
    <row r="900" spans="2:27" s="25" customFormat="1" ht="15.75" customHeight="1" x14ac:dyDescent="0.2">
      <c r="B900" s="89"/>
      <c r="C900"/>
      <c r="D900"/>
      <c r="E900" s="69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  <c r="V900"/>
      <c r="W900"/>
      <c r="X900"/>
      <c r="Y900"/>
      <c r="Z900"/>
      <c r="AA900"/>
    </row>
    <row r="901" spans="2:27" s="25" customFormat="1" ht="15.75" customHeight="1" x14ac:dyDescent="0.2">
      <c r="B901" s="89"/>
      <c r="C901"/>
      <c r="D901"/>
      <c r="E901" s="69"/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/>
      <c r="U901"/>
      <c r="V901"/>
      <c r="W901"/>
      <c r="X901"/>
      <c r="Y901"/>
      <c r="Z901"/>
      <c r="AA901"/>
    </row>
    <row r="902" spans="2:27" s="25" customFormat="1" ht="15.75" customHeight="1" x14ac:dyDescent="0.2">
      <c r="B902" s="89"/>
      <c r="C902"/>
      <c r="D902"/>
      <c r="E902" s="69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  <c r="V902"/>
      <c r="W902"/>
      <c r="X902"/>
      <c r="Y902"/>
      <c r="Z902"/>
      <c r="AA902"/>
    </row>
    <row r="903" spans="2:27" s="25" customFormat="1" ht="15.75" customHeight="1" x14ac:dyDescent="0.2">
      <c r="B903" s="89"/>
      <c r="C903"/>
      <c r="D903"/>
      <c r="E903" s="69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  <c r="V903"/>
      <c r="W903"/>
      <c r="X903"/>
      <c r="Y903"/>
      <c r="Z903"/>
      <c r="AA903"/>
    </row>
    <row r="904" spans="2:27" s="25" customFormat="1" ht="15.75" customHeight="1" x14ac:dyDescent="0.2">
      <c r="B904" s="89"/>
      <c r="C904"/>
      <c r="D904"/>
      <c r="E904" s="69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  <c r="V904"/>
      <c r="W904"/>
      <c r="X904"/>
      <c r="Y904"/>
      <c r="Z904"/>
      <c r="AA904"/>
    </row>
    <row r="905" spans="2:27" s="25" customFormat="1" ht="15.75" customHeight="1" x14ac:dyDescent="0.2">
      <c r="B905" s="89"/>
      <c r="C905"/>
      <c r="D905"/>
      <c r="E905" s="69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  <c r="V905"/>
      <c r="W905"/>
      <c r="X905"/>
      <c r="Y905"/>
      <c r="Z905"/>
      <c r="AA905"/>
    </row>
    <row r="906" spans="2:27" s="25" customFormat="1" ht="15.75" customHeight="1" x14ac:dyDescent="0.2">
      <c r="B906" s="89"/>
      <c r="C906"/>
      <c r="D906"/>
      <c r="E906" s="69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  <c r="V906"/>
      <c r="W906"/>
      <c r="X906"/>
      <c r="Y906"/>
      <c r="Z906"/>
      <c r="AA906"/>
    </row>
    <row r="907" spans="2:27" s="25" customFormat="1" ht="15.75" customHeight="1" x14ac:dyDescent="0.2">
      <c r="B907" s="89"/>
      <c r="C907"/>
      <c r="D907"/>
      <c r="E907" s="69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  <c r="V907"/>
      <c r="W907"/>
      <c r="X907"/>
      <c r="Y907"/>
      <c r="Z907"/>
      <c r="AA907"/>
    </row>
    <row r="908" spans="2:27" s="25" customFormat="1" ht="15.75" customHeight="1" x14ac:dyDescent="0.2">
      <c r="B908" s="89"/>
      <c r="C908"/>
      <c r="D908"/>
      <c r="E908" s="69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  <c r="V908"/>
      <c r="W908"/>
      <c r="X908"/>
      <c r="Y908"/>
      <c r="Z908"/>
      <c r="AA908"/>
    </row>
    <row r="909" spans="2:27" s="25" customFormat="1" ht="15.75" customHeight="1" x14ac:dyDescent="0.2">
      <c r="B909" s="89"/>
      <c r="C909"/>
      <c r="D909"/>
      <c r="E909" s="6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  <c r="V909"/>
      <c r="W909"/>
      <c r="X909"/>
      <c r="Y909"/>
      <c r="Z909"/>
      <c r="AA909"/>
    </row>
    <row r="910" spans="2:27" s="25" customFormat="1" ht="15.75" customHeight="1" x14ac:dyDescent="0.2">
      <c r="B910" s="89"/>
      <c r="C910"/>
      <c r="D910"/>
      <c r="E910" s="69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  <c r="V910"/>
      <c r="W910"/>
      <c r="X910"/>
      <c r="Y910"/>
      <c r="Z910"/>
      <c r="AA910"/>
    </row>
    <row r="911" spans="2:27" s="25" customFormat="1" ht="15.75" customHeight="1" x14ac:dyDescent="0.2">
      <c r="B911" s="89"/>
      <c r="C911"/>
      <c r="D911"/>
      <c r="E911" s="69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  <c r="V911"/>
      <c r="W911"/>
      <c r="X911"/>
      <c r="Y911"/>
      <c r="Z911"/>
      <c r="AA911"/>
    </row>
    <row r="912" spans="2:27" s="25" customFormat="1" ht="15.75" customHeight="1" x14ac:dyDescent="0.2">
      <c r="B912" s="89"/>
      <c r="C912"/>
      <c r="D912"/>
      <c r="E912" s="69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  <c r="V912"/>
      <c r="W912"/>
      <c r="X912"/>
      <c r="Y912"/>
      <c r="Z912"/>
      <c r="AA912"/>
    </row>
    <row r="913" spans="2:27" s="25" customFormat="1" ht="15.75" customHeight="1" x14ac:dyDescent="0.2">
      <c r="B913" s="89"/>
      <c r="C913"/>
      <c r="D913"/>
      <c r="E913" s="69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  <c r="V913"/>
      <c r="W913"/>
      <c r="X913"/>
      <c r="Y913"/>
      <c r="Z913"/>
      <c r="AA913"/>
    </row>
    <row r="914" spans="2:27" s="25" customFormat="1" ht="15.75" customHeight="1" x14ac:dyDescent="0.2">
      <c r="B914" s="89"/>
      <c r="C914"/>
      <c r="D914"/>
      <c r="E914" s="69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  <c r="V914"/>
      <c r="W914"/>
      <c r="X914"/>
      <c r="Y914"/>
      <c r="Z914"/>
      <c r="AA914"/>
    </row>
    <row r="915" spans="2:27" s="25" customFormat="1" ht="15.75" customHeight="1" x14ac:dyDescent="0.2">
      <c r="B915" s="89"/>
      <c r="C915"/>
      <c r="D915"/>
      <c r="E915" s="69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  <c r="V915"/>
      <c r="W915"/>
      <c r="X915"/>
      <c r="Y915"/>
      <c r="Z915"/>
      <c r="AA915"/>
    </row>
    <row r="916" spans="2:27" s="25" customFormat="1" ht="15.75" customHeight="1" x14ac:dyDescent="0.2">
      <c r="B916" s="89"/>
      <c r="C916"/>
      <c r="D916"/>
      <c r="E916" s="69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  <c r="V916"/>
      <c r="W916"/>
      <c r="X916"/>
      <c r="Y916"/>
      <c r="Z916"/>
      <c r="AA916"/>
    </row>
    <row r="917" spans="2:27" s="25" customFormat="1" ht="15.75" customHeight="1" x14ac:dyDescent="0.2">
      <c r="B917" s="89"/>
      <c r="C917"/>
      <c r="D917"/>
      <c r="E917" s="69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  <c r="V917"/>
      <c r="W917"/>
      <c r="X917"/>
      <c r="Y917"/>
      <c r="Z917"/>
      <c r="AA917"/>
    </row>
    <row r="918" spans="2:27" s="25" customFormat="1" ht="15.75" customHeight="1" x14ac:dyDescent="0.2">
      <c r="B918" s="89"/>
      <c r="C918"/>
      <c r="D918"/>
      <c r="E918" s="69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  <c r="V918"/>
      <c r="W918"/>
      <c r="X918"/>
      <c r="Y918"/>
      <c r="Z918"/>
      <c r="AA918"/>
    </row>
    <row r="919" spans="2:27" s="25" customFormat="1" ht="15.75" customHeight="1" x14ac:dyDescent="0.2">
      <c r="B919" s="89"/>
      <c r="C919"/>
      <c r="D919"/>
      <c r="E919" s="6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  <c r="V919"/>
      <c r="W919"/>
      <c r="X919"/>
      <c r="Y919"/>
      <c r="Z919"/>
      <c r="AA919"/>
    </row>
    <row r="920" spans="2:27" s="25" customFormat="1" ht="15.75" customHeight="1" x14ac:dyDescent="0.2">
      <c r="B920" s="89"/>
      <c r="C920"/>
      <c r="D920"/>
      <c r="E920" s="69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  <c r="V920"/>
      <c r="W920"/>
      <c r="X920"/>
      <c r="Y920"/>
      <c r="Z920"/>
      <c r="AA920"/>
    </row>
    <row r="921" spans="2:27" s="25" customFormat="1" ht="15.75" customHeight="1" x14ac:dyDescent="0.2">
      <c r="B921" s="89"/>
      <c r="C921"/>
      <c r="D921"/>
      <c r="E921" s="69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  <c r="V921"/>
      <c r="W921"/>
      <c r="X921"/>
      <c r="Y921"/>
      <c r="Z921"/>
      <c r="AA921"/>
    </row>
    <row r="922" spans="2:27" s="25" customFormat="1" ht="15.75" customHeight="1" x14ac:dyDescent="0.2">
      <c r="B922" s="89"/>
      <c r="C922"/>
      <c r="D922"/>
      <c r="E922" s="69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  <c r="V922"/>
      <c r="W922"/>
      <c r="X922"/>
      <c r="Y922"/>
      <c r="Z922"/>
      <c r="AA922"/>
    </row>
    <row r="923" spans="2:27" s="25" customFormat="1" ht="15.75" customHeight="1" x14ac:dyDescent="0.2">
      <c r="B923" s="89"/>
      <c r="C923"/>
      <c r="D923"/>
      <c r="E923" s="69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  <c r="V923"/>
      <c r="W923"/>
      <c r="X923"/>
      <c r="Y923"/>
      <c r="Z923"/>
      <c r="AA923"/>
    </row>
    <row r="924" spans="2:27" s="25" customFormat="1" ht="15.75" customHeight="1" x14ac:dyDescent="0.2">
      <c r="B924" s="89"/>
      <c r="C924"/>
      <c r="D924"/>
      <c r="E924" s="69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  <c r="V924"/>
      <c r="W924"/>
      <c r="X924"/>
      <c r="Y924"/>
      <c r="Z924"/>
      <c r="AA924"/>
    </row>
    <row r="925" spans="2:27" s="25" customFormat="1" ht="15.75" customHeight="1" x14ac:dyDescent="0.2">
      <c r="B925" s="89"/>
      <c r="C925"/>
      <c r="D925"/>
      <c r="E925" s="69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  <c r="V925"/>
      <c r="W925"/>
      <c r="X925"/>
      <c r="Y925"/>
      <c r="Z925"/>
      <c r="AA925"/>
    </row>
    <row r="926" spans="2:27" s="25" customFormat="1" ht="15.75" customHeight="1" x14ac:dyDescent="0.2">
      <c r="B926" s="89"/>
      <c r="C926"/>
      <c r="D926"/>
      <c r="E926" s="69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  <c r="V926"/>
      <c r="W926"/>
      <c r="X926"/>
      <c r="Y926"/>
      <c r="Z926"/>
      <c r="AA926"/>
    </row>
    <row r="927" spans="2:27" s="25" customFormat="1" ht="15.75" customHeight="1" x14ac:dyDescent="0.2">
      <c r="B927" s="89"/>
      <c r="C927"/>
      <c r="D927"/>
      <c r="E927" s="69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  <c r="V927"/>
      <c r="W927"/>
      <c r="X927"/>
      <c r="Y927"/>
      <c r="Z927"/>
      <c r="AA927"/>
    </row>
    <row r="928" spans="2:27" s="25" customFormat="1" ht="15.75" customHeight="1" x14ac:dyDescent="0.2">
      <c r="B928" s="89"/>
      <c r="C928"/>
      <c r="D928"/>
      <c r="E928" s="69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  <c r="V928"/>
      <c r="W928"/>
      <c r="X928"/>
      <c r="Y928"/>
      <c r="Z928"/>
      <c r="AA928"/>
    </row>
    <row r="929" spans="2:27" s="25" customFormat="1" ht="15.75" customHeight="1" x14ac:dyDescent="0.2">
      <c r="B929" s="89"/>
      <c r="C929"/>
      <c r="D929"/>
      <c r="E929" s="6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  <c r="V929"/>
      <c r="W929"/>
      <c r="X929"/>
      <c r="Y929"/>
      <c r="Z929"/>
      <c r="AA929"/>
    </row>
    <row r="930" spans="2:27" s="25" customFormat="1" ht="15.75" customHeight="1" x14ac:dyDescent="0.2">
      <c r="B930" s="89"/>
      <c r="C930"/>
      <c r="D930"/>
      <c r="E930" s="69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  <c r="V930"/>
      <c r="W930"/>
      <c r="X930"/>
      <c r="Y930"/>
      <c r="Z930"/>
      <c r="AA930"/>
    </row>
    <row r="931" spans="2:27" s="25" customFormat="1" ht="15.75" customHeight="1" x14ac:dyDescent="0.2">
      <c r="B931" s="89"/>
      <c r="C931"/>
      <c r="D931"/>
      <c r="E931" s="69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  <c r="V931"/>
      <c r="W931"/>
      <c r="X931"/>
      <c r="Y931"/>
      <c r="Z931"/>
      <c r="AA931"/>
    </row>
    <row r="932" spans="2:27" s="25" customFormat="1" ht="15.75" customHeight="1" x14ac:dyDescent="0.2">
      <c r="B932" s="89"/>
      <c r="C932"/>
      <c r="D932"/>
      <c r="E932" s="69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  <c r="V932"/>
      <c r="W932"/>
      <c r="X932"/>
      <c r="Y932"/>
      <c r="Z932"/>
      <c r="AA932"/>
    </row>
    <row r="933" spans="2:27" s="25" customFormat="1" ht="15.75" customHeight="1" x14ac:dyDescent="0.2">
      <c r="B933" s="89"/>
      <c r="C933"/>
      <c r="D933"/>
      <c r="E933" s="69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  <c r="V933"/>
      <c r="W933"/>
      <c r="X933"/>
      <c r="Y933"/>
      <c r="Z933"/>
      <c r="AA933"/>
    </row>
    <row r="934" spans="2:27" s="25" customFormat="1" ht="15.75" customHeight="1" x14ac:dyDescent="0.2">
      <c r="B934" s="89"/>
      <c r="C934"/>
      <c r="D934"/>
      <c r="E934" s="69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  <c r="V934"/>
      <c r="W934"/>
      <c r="X934"/>
      <c r="Y934"/>
      <c r="Z934"/>
      <c r="AA934"/>
    </row>
    <row r="935" spans="2:27" s="25" customFormat="1" ht="15.75" customHeight="1" x14ac:dyDescent="0.2">
      <c r="B935" s="89"/>
      <c r="C935"/>
      <c r="D935"/>
      <c r="E935" s="69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  <c r="V935"/>
      <c r="W935"/>
      <c r="X935"/>
      <c r="Y935"/>
      <c r="Z935"/>
      <c r="AA935"/>
    </row>
    <row r="936" spans="2:27" s="25" customFormat="1" ht="15.75" customHeight="1" x14ac:dyDescent="0.2">
      <c r="B936" s="89"/>
      <c r="C936"/>
      <c r="D936"/>
      <c r="E936" s="69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  <c r="V936"/>
      <c r="W936"/>
      <c r="X936"/>
      <c r="Y936"/>
      <c r="Z936"/>
      <c r="AA936"/>
    </row>
    <row r="937" spans="2:27" s="25" customFormat="1" ht="15.75" customHeight="1" x14ac:dyDescent="0.2">
      <c r="B937" s="89"/>
      <c r="C937"/>
      <c r="D937"/>
      <c r="E937" s="69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  <c r="V937"/>
      <c r="W937"/>
      <c r="X937"/>
      <c r="Y937"/>
      <c r="Z937"/>
      <c r="AA937"/>
    </row>
    <row r="938" spans="2:27" s="25" customFormat="1" ht="15.75" customHeight="1" x14ac:dyDescent="0.2">
      <c r="B938" s="89"/>
      <c r="C938"/>
      <c r="D938"/>
      <c r="E938" s="69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  <c r="V938"/>
      <c r="W938"/>
      <c r="X938"/>
      <c r="Y938"/>
      <c r="Z938"/>
      <c r="AA938"/>
    </row>
    <row r="939" spans="2:27" s="25" customFormat="1" ht="15.75" customHeight="1" x14ac:dyDescent="0.2">
      <c r="B939" s="89"/>
      <c r="C939"/>
      <c r="D939"/>
      <c r="E939" s="6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  <c r="V939"/>
      <c r="W939"/>
      <c r="X939"/>
      <c r="Y939"/>
      <c r="Z939"/>
      <c r="AA939"/>
    </row>
    <row r="940" spans="2:27" s="25" customFormat="1" ht="15.75" customHeight="1" x14ac:dyDescent="0.2">
      <c r="B940" s="89"/>
      <c r="C940"/>
      <c r="D940"/>
      <c r="E940" s="69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  <c r="V940"/>
      <c r="W940"/>
      <c r="X940"/>
      <c r="Y940"/>
      <c r="Z940"/>
      <c r="AA940"/>
    </row>
    <row r="941" spans="2:27" s="25" customFormat="1" ht="15.75" customHeight="1" x14ac:dyDescent="0.2">
      <c r="B941" s="89"/>
      <c r="C941"/>
      <c r="D941"/>
      <c r="E941" s="69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  <c r="V941"/>
      <c r="W941"/>
      <c r="X941"/>
      <c r="Y941"/>
      <c r="Z941"/>
      <c r="AA941"/>
    </row>
    <row r="942" spans="2:27" s="25" customFormat="1" ht="15.75" customHeight="1" x14ac:dyDescent="0.2">
      <c r="B942" s="89"/>
      <c r="C942"/>
      <c r="D942"/>
      <c r="E942" s="69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  <c r="V942"/>
      <c r="W942"/>
      <c r="X942"/>
      <c r="Y942"/>
      <c r="Z942"/>
      <c r="AA942"/>
    </row>
    <row r="943" spans="2:27" s="25" customFormat="1" ht="15.75" customHeight="1" x14ac:dyDescent="0.2">
      <c r="B943" s="89"/>
      <c r="C943"/>
      <c r="D943"/>
      <c r="E943" s="69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  <c r="V943"/>
      <c r="W943"/>
      <c r="X943"/>
      <c r="Y943"/>
      <c r="Z943"/>
      <c r="AA943"/>
    </row>
    <row r="944" spans="2:27" s="25" customFormat="1" ht="15.75" customHeight="1" x14ac:dyDescent="0.2">
      <c r="B944" s="89"/>
      <c r="C944"/>
      <c r="D944"/>
      <c r="E944" s="69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  <c r="V944"/>
      <c r="W944"/>
      <c r="X944"/>
      <c r="Y944"/>
      <c r="Z944"/>
      <c r="AA944"/>
    </row>
    <row r="945" spans="2:27" s="25" customFormat="1" ht="15.75" customHeight="1" x14ac:dyDescent="0.2">
      <c r="B945" s="89"/>
      <c r="C945"/>
      <c r="D945"/>
      <c r="E945" s="69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  <c r="U945"/>
      <c r="V945"/>
      <c r="W945"/>
      <c r="X945"/>
      <c r="Y945"/>
      <c r="Z945"/>
      <c r="AA945"/>
    </row>
    <row r="946" spans="2:27" s="25" customFormat="1" ht="15.75" customHeight="1" x14ac:dyDescent="0.2">
      <c r="B946" s="89"/>
      <c r="C946"/>
      <c r="D946"/>
      <c r="E946" s="69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  <c r="V946"/>
      <c r="W946"/>
      <c r="X946"/>
      <c r="Y946"/>
      <c r="Z946"/>
      <c r="AA946"/>
    </row>
    <row r="947" spans="2:27" s="25" customFormat="1" ht="15.75" customHeight="1" x14ac:dyDescent="0.2">
      <c r="B947" s="89"/>
      <c r="C947"/>
      <c r="D947"/>
      <c r="E947" s="69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  <c r="U947"/>
      <c r="V947"/>
      <c r="W947"/>
      <c r="X947"/>
      <c r="Y947"/>
      <c r="Z947"/>
      <c r="AA947"/>
    </row>
    <row r="948" spans="2:27" s="25" customFormat="1" ht="15.75" customHeight="1" x14ac:dyDescent="0.2">
      <c r="B948" s="89"/>
      <c r="C948"/>
      <c r="D948"/>
      <c r="E948" s="69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  <c r="U948"/>
      <c r="V948"/>
      <c r="W948"/>
      <c r="X948"/>
      <c r="Y948"/>
      <c r="Z948"/>
      <c r="AA948"/>
    </row>
    <row r="949" spans="2:27" s="25" customFormat="1" ht="15.75" customHeight="1" x14ac:dyDescent="0.2">
      <c r="B949" s="89"/>
      <c r="C949"/>
      <c r="D949"/>
      <c r="E949" s="6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  <c r="V949"/>
      <c r="W949"/>
      <c r="X949"/>
      <c r="Y949"/>
      <c r="Z949"/>
      <c r="AA949"/>
    </row>
    <row r="950" spans="2:27" s="25" customFormat="1" ht="15.75" customHeight="1" x14ac:dyDescent="0.2">
      <c r="B950" s="89"/>
      <c r="C950"/>
      <c r="D950"/>
      <c r="E950" s="69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  <c r="U950"/>
      <c r="V950"/>
      <c r="W950"/>
      <c r="X950"/>
      <c r="Y950"/>
      <c r="Z950"/>
      <c r="AA950"/>
    </row>
    <row r="951" spans="2:27" s="25" customFormat="1" ht="15.75" customHeight="1" x14ac:dyDescent="0.2">
      <c r="B951" s="89"/>
      <c r="C951"/>
      <c r="D951"/>
      <c r="E951" s="69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  <c r="V951"/>
      <c r="W951"/>
      <c r="X951"/>
      <c r="Y951"/>
      <c r="Z951"/>
      <c r="AA951"/>
    </row>
    <row r="952" spans="2:27" s="25" customFormat="1" ht="15.75" customHeight="1" x14ac:dyDescent="0.2">
      <c r="B952" s="89"/>
      <c r="C952"/>
      <c r="D952"/>
      <c r="E952" s="69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  <c r="U952"/>
      <c r="V952"/>
      <c r="W952"/>
      <c r="X952"/>
      <c r="Y952"/>
      <c r="Z952"/>
      <c r="AA952"/>
    </row>
    <row r="953" spans="2:27" s="25" customFormat="1" ht="15.75" customHeight="1" x14ac:dyDescent="0.2">
      <c r="B953" s="89"/>
      <c r="C953"/>
      <c r="D953"/>
      <c r="E953" s="69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  <c r="U953"/>
      <c r="V953"/>
      <c r="W953"/>
      <c r="X953"/>
      <c r="Y953"/>
      <c r="Z953"/>
      <c r="AA953"/>
    </row>
    <row r="954" spans="2:27" s="25" customFormat="1" ht="15.75" customHeight="1" x14ac:dyDescent="0.2">
      <c r="B954" s="89"/>
      <c r="C954"/>
      <c r="D954"/>
      <c r="E954" s="69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  <c r="V954"/>
      <c r="W954"/>
      <c r="X954"/>
      <c r="Y954"/>
      <c r="Z954"/>
      <c r="AA954"/>
    </row>
    <row r="955" spans="2:27" s="25" customFormat="1" ht="15.75" customHeight="1" x14ac:dyDescent="0.2">
      <c r="B955" s="89"/>
      <c r="C955"/>
      <c r="D955"/>
      <c r="E955" s="69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  <c r="V955"/>
      <c r="W955"/>
      <c r="X955"/>
      <c r="Y955"/>
      <c r="Z955"/>
      <c r="AA955"/>
    </row>
    <row r="956" spans="2:27" s="25" customFormat="1" ht="15.75" customHeight="1" x14ac:dyDescent="0.2">
      <c r="B956" s="89"/>
      <c r="C956"/>
      <c r="D956"/>
      <c r="E956" s="69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  <c r="U956"/>
      <c r="V956"/>
      <c r="W956"/>
      <c r="X956"/>
      <c r="Y956"/>
      <c r="Z956"/>
      <c r="AA956"/>
    </row>
    <row r="957" spans="2:27" s="25" customFormat="1" ht="15.75" customHeight="1" x14ac:dyDescent="0.2">
      <c r="B957" s="89"/>
      <c r="C957"/>
      <c r="D957"/>
      <c r="E957" s="69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  <c r="V957"/>
      <c r="W957"/>
      <c r="X957"/>
      <c r="Y957"/>
      <c r="Z957"/>
      <c r="AA957"/>
    </row>
    <row r="958" spans="2:27" s="25" customFormat="1" ht="15.75" customHeight="1" x14ac:dyDescent="0.2">
      <c r="B958" s="89"/>
      <c r="C958"/>
      <c r="D958"/>
      <c r="E958" s="69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  <c r="V958"/>
      <c r="W958"/>
      <c r="X958"/>
      <c r="Y958"/>
      <c r="Z958"/>
      <c r="AA958"/>
    </row>
    <row r="959" spans="2:27" s="25" customFormat="1" ht="15.75" customHeight="1" x14ac:dyDescent="0.2">
      <c r="B959" s="89"/>
      <c r="C959"/>
      <c r="D959"/>
      <c r="E959" s="6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  <c r="V959"/>
      <c r="W959"/>
      <c r="X959"/>
      <c r="Y959"/>
      <c r="Z959"/>
      <c r="AA959"/>
    </row>
    <row r="960" spans="2:27" s="25" customFormat="1" ht="15.75" customHeight="1" x14ac:dyDescent="0.2">
      <c r="B960" s="89"/>
      <c r="C960"/>
      <c r="D960"/>
      <c r="E960" s="69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  <c r="U960"/>
      <c r="V960"/>
      <c r="W960"/>
      <c r="X960"/>
      <c r="Y960"/>
      <c r="Z960"/>
      <c r="AA960"/>
    </row>
    <row r="961" spans="2:27" s="25" customFormat="1" ht="15.75" customHeight="1" x14ac:dyDescent="0.2">
      <c r="B961" s="89"/>
      <c r="C961"/>
      <c r="D961"/>
      <c r="E961" s="69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  <c r="V961"/>
      <c r="W961"/>
      <c r="X961"/>
      <c r="Y961"/>
      <c r="Z961"/>
      <c r="AA961"/>
    </row>
    <row r="962" spans="2:27" s="25" customFormat="1" ht="15.75" customHeight="1" x14ac:dyDescent="0.2">
      <c r="B962" s="89"/>
      <c r="C962"/>
      <c r="D962"/>
      <c r="E962" s="69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  <c r="V962"/>
      <c r="W962"/>
      <c r="X962"/>
      <c r="Y962"/>
      <c r="Z962"/>
      <c r="AA962"/>
    </row>
    <row r="963" spans="2:27" s="25" customFormat="1" ht="15.75" customHeight="1" x14ac:dyDescent="0.2">
      <c r="B963" s="89"/>
      <c r="C963"/>
      <c r="D963"/>
      <c r="E963" s="69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  <c r="V963"/>
      <c r="W963"/>
      <c r="X963"/>
      <c r="Y963"/>
      <c r="Z963"/>
      <c r="AA963"/>
    </row>
    <row r="964" spans="2:27" s="25" customFormat="1" ht="15.75" customHeight="1" x14ac:dyDescent="0.2">
      <c r="B964" s="89"/>
      <c r="C964"/>
      <c r="D964"/>
      <c r="E964" s="69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  <c r="V964"/>
      <c r="W964"/>
      <c r="X964"/>
      <c r="Y964"/>
      <c r="Z964"/>
      <c r="AA964"/>
    </row>
    <row r="965" spans="2:27" s="25" customFormat="1" ht="15.75" customHeight="1" x14ac:dyDescent="0.2">
      <c r="B965" s="89"/>
      <c r="C965"/>
      <c r="D965"/>
      <c r="E965" s="69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  <c r="T965"/>
      <c r="U965"/>
      <c r="V965"/>
      <c r="W965"/>
      <c r="X965"/>
      <c r="Y965"/>
      <c r="Z965"/>
      <c r="AA965"/>
    </row>
    <row r="966" spans="2:27" s="25" customFormat="1" ht="15.75" customHeight="1" x14ac:dyDescent="0.2">
      <c r="B966" s="89"/>
      <c r="C966"/>
      <c r="D966"/>
      <c r="E966" s="69"/>
      <c r="F966"/>
      <c r="G966"/>
      <c r="H966"/>
      <c r="I966"/>
      <c r="J966"/>
      <c r="K966"/>
      <c r="L966"/>
      <c r="M966"/>
      <c r="N966"/>
      <c r="O966"/>
      <c r="P966"/>
      <c r="Q966"/>
      <c r="R966"/>
      <c r="S966"/>
      <c r="T966"/>
      <c r="U966"/>
      <c r="V966"/>
      <c r="W966"/>
      <c r="X966"/>
      <c r="Y966"/>
      <c r="Z966"/>
      <c r="AA966"/>
    </row>
    <row r="967" spans="2:27" s="25" customFormat="1" ht="15.75" customHeight="1" x14ac:dyDescent="0.2">
      <c r="B967" s="89"/>
      <c r="C967"/>
      <c r="D967"/>
      <c r="E967" s="69"/>
      <c r="F967"/>
      <c r="G967"/>
      <c r="H967"/>
      <c r="I967"/>
      <c r="J967"/>
      <c r="K967"/>
      <c r="L967"/>
      <c r="M967"/>
      <c r="N967"/>
      <c r="O967"/>
      <c r="P967"/>
      <c r="Q967"/>
      <c r="R967"/>
      <c r="S967"/>
      <c r="T967"/>
      <c r="U967"/>
      <c r="V967"/>
      <c r="W967"/>
      <c r="X967"/>
      <c r="Y967"/>
      <c r="Z967"/>
      <c r="AA967"/>
    </row>
    <row r="968" spans="2:27" s="25" customFormat="1" ht="15.75" customHeight="1" x14ac:dyDescent="0.2">
      <c r="B968" s="89"/>
      <c r="C968"/>
      <c r="D968"/>
      <c r="E968" s="69"/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  <c r="U968"/>
      <c r="V968"/>
      <c r="W968"/>
      <c r="X968"/>
      <c r="Y968"/>
      <c r="Z968"/>
      <c r="AA968"/>
    </row>
    <row r="969" spans="2:27" s="25" customFormat="1" ht="15.75" customHeight="1" x14ac:dyDescent="0.2">
      <c r="B969" s="89"/>
      <c r="C969"/>
      <c r="D969"/>
      <c r="E969" s="69"/>
      <c r="F969"/>
      <c r="G969"/>
      <c r="H969"/>
      <c r="I969"/>
      <c r="J969"/>
      <c r="K969"/>
      <c r="L969"/>
      <c r="M969"/>
      <c r="N969"/>
      <c r="O969"/>
      <c r="P969"/>
      <c r="Q969"/>
      <c r="R969"/>
      <c r="S969"/>
      <c r="T969"/>
      <c r="U969"/>
      <c r="V969"/>
      <c r="W969"/>
      <c r="X969"/>
      <c r="Y969"/>
      <c r="Z969"/>
      <c r="AA969"/>
    </row>
    <row r="970" spans="2:27" s="25" customFormat="1" ht="15.75" customHeight="1" x14ac:dyDescent="0.2">
      <c r="B970" s="89"/>
      <c r="C970"/>
      <c r="D970"/>
      <c r="E970" s="69"/>
      <c r="F970"/>
      <c r="G970"/>
      <c r="H970"/>
      <c r="I970"/>
      <c r="J970"/>
      <c r="K970"/>
      <c r="L970"/>
      <c r="M970"/>
      <c r="N970"/>
      <c r="O970"/>
      <c r="P970"/>
      <c r="Q970"/>
      <c r="R970"/>
      <c r="S970"/>
      <c r="T970"/>
      <c r="U970"/>
      <c r="V970"/>
      <c r="W970"/>
      <c r="X970"/>
      <c r="Y970"/>
      <c r="Z970"/>
      <c r="AA970"/>
    </row>
    <row r="971" spans="2:27" s="25" customFormat="1" ht="15.75" customHeight="1" x14ac:dyDescent="0.2">
      <c r="B971" s="89"/>
      <c r="C971"/>
      <c r="D971"/>
      <c r="E971" s="69"/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  <c r="T971"/>
      <c r="U971"/>
      <c r="V971"/>
      <c r="W971"/>
      <c r="X971"/>
      <c r="Y971"/>
      <c r="Z971"/>
      <c r="AA971"/>
    </row>
    <row r="972" spans="2:27" s="25" customFormat="1" ht="15.75" customHeight="1" x14ac:dyDescent="0.2">
      <c r="B972" s="89"/>
      <c r="C972"/>
      <c r="D972"/>
      <c r="E972" s="69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  <c r="U972"/>
      <c r="V972"/>
      <c r="W972"/>
      <c r="X972"/>
      <c r="Y972"/>
      <c r="Z972"/>
      <c r="AA972"/>
    </row>
    <row r="973" spans="2:27" s="25" customFormat="1" ht="15.75" customHeight="1" x14ac:dyDescent="0.2">
      <c r="B973" s="89"/>
      <c r="C973"/>
      <c r="D973"/>
      <c r="E973" s="69"/>
      <c r="F973"/>
      <c r="G973"/>
      <c r="H973"/>
      <c r="I973"/>
      <c r="J973"/>
      <c r="K973"/>
      <c r="L973"/>
      <c r="M973"/>
      <c r="N973"/>
      <c r="O973"/>
      <c r="P973"/>
      <c r="Q973"/>
      <c r="R973"/>
      <c r="S973"/>
      <c r="T973"/>
      <c r="U973"/>
      <c r="V973"/>
      <c r="W973"/>
      <c r="X973"/>
      <c r="Y973"/>
      <c r="Z973"/>
      <c r="AA973"/>
    </row>
    <row r="974" spans="2:27" s="25" customFormat="1" ht="15.75" customHeight="1" x14ac:dyDescent="0.2">
      <c r="B974" s="89"/>
      <c r="C974"/>
      <c r="D974"/>
      <c r="E974" s="69"/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  <c r="T974"/>
      <c r="U974"/>
      <c r="V974"/>
      <c r="W974"/>
      <c r="X974"/>
      <c r="Y974"/>
      <c r="Z974"/>
      <c r="AA974"/>
    </row>
    <row r="975" spans="2:27" s="25" customFormat="1" ht="15.75" customHeight="1" x14ac:dyDescent="0.2">
      <c r="B975" s="89"/>
      <c r="C975"/>
      <c r="D975"/>
      <c r="E975" s="69"/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  <c r="U975"/>
      <c r="V975"/>
      <c r="W975"/>
      <c r="X975"/>
      <c r="Y975"/>
      <c r="Z975"/>
      <c r="AA975"/>
    </row>
    <row r="976" spans="2:27" s="25" customFormat="1" ht="15.75" customHeight="1" x14ac:dyDescent="0.2">
      <c r="B976" s="89"/>
      <c r="C976"/>
      <c r="D976"/>
      <c r="E976" s="69"/>
      <c r="F976"/>
      <c r="G976"/>
      <c r="H976"/>
      <c r="I976"/>
      <c r="J976"/>
      <c r="K976"/>
      <c r="L976"/>
      <c r="M976"/>
      <c r="N976"/>
      <c r="O976"/>
      <c r="P976"/>
      <c r="Q976"/>
      <c r="R976"/>
      <c r="S976"/>
      <c r="T976"/>
      <c r="U976"/>
      <c r="V976"/>
      <c r="W976"/>
      <c r="X976"/>
      <c r="Y976"/>
      <c r="Z976"/>
      <c r="AA976"/>
    </row>
    <row r="977" spans="2:27" s="25" customFormat="1" ht="15.75" customHeight="1" x14ac:dyDescent="0.2">
      <c r="B977" s="89"/>
      <c r="C977"/>
      <c r="D977"/>
      <c r="E977" s="69"/>
      <c r="F977"/>
      <c r="G977"/>
      <c r="H977"/>
      <c r="I977"/>
      <c r="J977"/>
      <c r="K977"/>
      <c r="L977"/>
      <c r="M977"/>
      <c r="N977"/>
      <c r="O977"/>
      <c r="P977"/>
      <c r="Q977"/>
      <c r="R977"/>
      <c r="S977"/>
      <c r="T977"/>
      <c r="U977"/>
      <c r="V977"/>
      <c r="W977"/>
      <c r="X977"/>
      <c r="Y977"/>
      <c r="Z977"/>
      <c r="AA977"/>
    </row>
    <row r="978" spans="2:27" s="25" customFormat="1" ht="15.75" customHeight="1" x14ac:dyDescent="0.2">
      <c r="B978" s="89"/>
      <c r="C978"/>
      <c r="D978"/>
      <c r="E978" s="69"/>
      <c r="F978"/>
      <c r="G978"/>
      <c r="H978"/>
      <c r="I978"/>
      <c r="J978"/>
      <c r="K978"/>
      <c r="L978"/>
      <c r="M978"/>
      <c r="N978"/>
      <c r="O978"/>
      <c r="P978"/>
      <c r="Q978"/>
      <c r="R978"/>
      <c r="S978"/>
      <c r="T978"/>
      <c r="U978"/>
      <c r="V978"/>
      <c r="W978"/>
      <c r="X978"/>
      <c r="Y978"/>
      <c r="Z978"/>
      <c r="AA978"/>
    </row>
    <row r="979" spans="2:27" s="25" customFormat="1" ht="15.75" customHeight="1" x14ac:dyDescent="0.2">
      <c r="B979" s="89"/>
      <c r="C979"/>
      <c r="D979"/>
      <c r="E979" s="69"/>
      <c r="F979"/>
      <c r="G979"/>
      <c r="H979"/>
      <c r="I979"/>
      <c r="J979"/>
      <c r="K979"/>
      <c r="L979"/>
      <c r="M979"/>
      <c r="N979"/>
      <c r="O979"/>
      <c r="P979"/>
      <c r="Q979"/>
      <c r="R979"/>
      <c r="S979"/>
      <c r="T979"/>
      <c r="U979"/>
      <c r="V979"/>
      <c r="W979"/>
      <c r="X979"/>
      <c r="Y979"/>
      <c r="Z979"/>
      <c r="AA979"/>
    </row>
    <row r="980" spans="2:27" s="25" customFormat="1" ht="15.75" customHeight="1" x14ac:dyDescent="0.2">
      <c r="B980" s="89"/>
      <c r="C980"/>
      <c r="D980"/>
      <c r="E980" s="69"/>
      <c r="F980"/>
      <c r="G980"/>
      <c r="H980"/>
      <c r="I980"/>
      <c r="J980"/>
      <c r="K980"/>
      <c r="L980"/>
      <c r="M980"/>
      <c r="N980"/>
      <c r="O980"/>
      <c r="P980"/>
      <c r="Q980"/>
      <c r="R980"/>
      <c r="S980"/>
      <c r="T980"/>
      <c r="U980"/>
      <c r="V980"/>
      <c r="W980"/>
      <c r="X980"/>
      <c r="Y980"/>
      <c r="Z980"/>
      <c r="AA980"/>
    </row>
    <row r="981" spans="2:27" s="25" customFormat="1" ht="15.75" customHeight="1" x14ac:dyDescent="0.2">
      <c r="B981" s="89"/>
      <c r="C981"/>
      <c r="D981"/>
      <c r="E981" s="69"/>
      <c r="F981"/>
      <c r="G981"/>
      <c r="H981"/>
      <c r="I981"/>
      <c r="J981"/>
      <c r="K981"/>
      <c r="L981"/>
      <c r="M981"/>
      <c r="N981"/>
      <c r="O981"/>
      <c r="P981"/>
      <c r="Q981"/>
      <c r="R981"/>
      <c r="S981"/>
      <c r="T981"/>
      <c r="U981"/>
      <c r="V981"/>
      <c r="W981"/>
      <c r="X981"/>
      <c r="Y981"/>
      <c r="Z981"/>
      <c r="AA981"/>
    </row>
    <row r="982" spans="2:27" s="25" customFormat="1" ht="15.75" customHeight="1" x14ac:dyDescent="0.2">
      <c r="B982" s="89"/>
      <c r="C982"/>
      <c r="D982"/>
      <c r="E982" s="69"/>
      <c r="F982"/>
      <c r="G982"/>
      <c r="H982"/>
      <c r="I982"/>
      <c r="J982"/>
      <c r="K982"/>
      <c r="L982"/>
      <c r="M982"/>
      <c r="N982"/>
      <c r="O982"/>
      <c r="P982"/>
      <c r="Q982"/>
      <c r="R982"/>
      <c r="S982"/>
      <c r="T982"/>
      <c r="U982"/>
      <c r="V982"/>
      <c r="W982"/>
      <c r="X982"/>
      <c r="Y982"/>
      <c r="Z982"/>
      <c r="AA982"/>
    </row>
    <row r="983" spans="2:27" s="25" customFormat="1" ht="15.75" customHeight="1" x14ac:dyDescent="0.2">
      <c r="B983" s="89"/>
      <c r="C983"/>
      <c r="D983"/>
      <c r="E983" s="69"/>
      <c r="F983"/>
      <c r="G983"/>
      <c r="H983"/>
      <c r="I983"/>
      <c r="J983"/>
      <c r="K983"/>
      <c r="L983"/>
      <c r="M983"/>
      <c r="N983"/>
      <c r="O983"/>
      <c r="P983"/>
      <c r="Q983"/>
      <c r="R983"/>
      <c r="S983"/>
      <c r="T983"/>
      <c r="U983"/>
      <c r="V983"/>
      <c r="W983"/>
      <c r="X983"/>
      <c r="Y983"/>
      <c r="Z983"/>
      <c r="AA983"/>
    </row>
    <row r="984" spans="2:27" s="25" customFormat="1" ht="15.75" customHeight="1" x14ac:dyDescent="0.2">
      <c r="B984" s="89"/>
      <c r="C984"/>
      <c r="D984"/>
      <c r="E984" s="69"/>
      <c r="F984"/>
      <c r="G984"/>
      <c r="H984"/>
      <c r="I984"/>
      <c r="J984"/>
      <c r="K984"/>
      <c r="L984"/>
      <c r="M984"/>
      <c r="N984"/>
      <c r="O984"/>
      <c r="P984"/>
      <c r="Q984"/>
      <c r="R984"/>
      <c r="S984"/>
      <c r="T984"/>
      <c r="U984"/>
      <c r="V984"/>
      <c r="W984"/>
      <c r="X984"/>
      <c r="Y984"/>
      <c r="Z984"/>
      <c r="AA984"/>
    </row>
    <row r="985" spans="2:27" s="25" customFormat="1" ht="15.75" customHeight="1" x14ac:dyDescent="0.2">
      <c r="B985" s="89"/>
      <c r="C985"/>
      <c r="D985"/>
      <c r="E985" s="69"/>
      <c r="F985"/>
      <c r="G985"/>
      <c r="H985"/>
      <c r="I985"/>
      <c r="J985"/>
      <c r="K985"/>
      <c r="L985"/>
      <c r="M985"/>
      <c r="N985"/>
      <c r="O985"/>
      <c r="P985"/>
      <c r="Q985"/>
      <c r="R985"/>
      <c r="S985"/>
      <c r="T985"/>
      <c r="U985"/>
      <c r="V985"/>
      <c r="W985"/>
      <c r="X985"/>
      <c r="Y985"/>
      <c r="Z985"/>
      <c r="AA985"/>
    </row>
    <row r="986" spans="2:27" s="25" customFormat="1" ht="15.75" customHeight="1" x14ac:dyDescent="0.2">
      <c r="B986" s="89"/>
      <c r="C986"/>
      <c r="D986"/>
      <c r="E986" s="69"/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  <c r="U986"/>
      <c r="V986"/>
      <c r="W986"/>
      <c r="X986"/>
      <c r="Y986"/>
      <c r="Z986"/>
      <c r="AA986"/>
    </row>
    <row r="987" spans="2:27" s="25" customFormat="1" ht="15.75" customHeight="1" x14ac:dyDescent="0.2">
      <c r="B987" s="89"/>
      <c r="C987"/>
      <c r="D987"/>
      <c r="E987" s="69"/>
      <c r="F987"/>
      <c r="G987"/>
      <c r="H987"/>
      <c r="I987"/>
      <c r="J987"/>
      <c r="K987"/>
      <c r="L987"/>
      <c r="M987"/>
      <c r="N987"/>
      <c r="O987"/>
      <c r="P987"/>
      <c r="Q987"/>
      <c r="R987"/>
      <c r="S987"/>
      <c r="T987"/>
      <c r="U987"/>
      <c r="V987"/>
      <c r="W987"/>
      <c r="X987"/>
      <c r="Y987"/>
      <c r="Z987"/>
      <c r="AA987"/>
    </row>
    <row r="988" spans="2:27" s="25" customFormat="1" ht="15.75" customHeight="1" x14ac:dyDescent="0.2">
      <c r="B988" s="89"/>
      <c r="C988"/>
      <c r="D988"/>
      <c r="E988" s="69"/>
      <c r="F988"/>
      <c r="G988"/>
      <c r="H988"/>
      <c r="I988"/>
      <c r="J988"/>
      <c r="K988"/>
      <c r="L988"/>
      <c r="M988"/>
      <c r="N988"/>
      <c r="O988"/>
      <c r="P988"/>
      <c r="Q988"/>
      <c r="R988"/>
      <c r="S988"/>
      <c r="T988"/>
      <c r="U988"/>
      <c r="V988"/>
      <c r="W988"/>
      <c r="X988"/>
      <c r="Y988"/>
      <c r="Z988"/>
      <c r="AA988"/>
    </row>
    <row r="989" spans="2:27" s="25" customFormat="1" ht="15.75" customHeight="1" x14ac:dyDescent="0.2">
      <c r="B989" s="89"/>
      <c r="C989"/>
      <c r="D989"/>
      <c r="E989" s="69"/>
      <c r="F989"/>
      <c r="G989"/>
      <c r="H989"/>
      <c r="I989"/>
      <c r="J989"/>
      <c r="K989"/>
      <c r="L989"/>
      <c r="M989"/>
      <c r="N989"/>
      <c r="O989"/>
      <c r="P989"/>
      <c r="Q989"/>
      <c r="R989"/>
      <c r="S989"/>
      <c r="T989"/>
      <c r="U989"/>
      <c r="V989"/>
      <c r="W989"/>
      <c r="X989"/>
      <c r="Y989"/>
      <c r="Z989"/>
      <c r="AA989"/>
    </row>
    <row r="990" spans="2:27" s="25" customFormat="1" ht="15.75" customHeight="1" x14ac:dyDescent="0.2">
      <c r="B990" s="89"/>
      <c r="C990"/>
      <c r="D990"/>
      <c r="E990" s="69"/>
      <c r="F990"/>
      <c r="G990"/>
      <c r="H990"/>
      <c r="I990"/>
      <c r="J990"/>
      <c r="K990"/>
      <c r="L990"/>
      <c r="M990"/>
      <c r="N990"/>
      <c r="O990"/>
      <c r="P990"/>
      <c r="Q990"/>
      <c r="R990"/>
      <c r="S990"/>
      <c r="T990"/>
      <c r="U990"/>
      <c r="V990"/>
      <c r="W990"/>
      <c r="X990"/>
      <c r="Y990"/>
      <c r="Z990"/>
      <c r="AA990"/>
    </row>
    <row r="991" spans="2:27" s="25" customFormat="1" ht="15.75" customHeight="1" x14ac:dyDescent="0.2">
      <c r="B991" s="89"/>
      <c r="C991"/>
      <c r="D991"/>
      <c r="E991" s="69"/>
      <c r="F991"/>
      <c r="G991"/>
      <c r="H991"/>
      <c r="I991"/>
      <c r="J991"/>
      <c r="K991"/>
      <c r="L991"/>
      <c r="M991"/>
      <c r="N991"/>
      <c r="O991"/>
      <c r="P991"/>
      <c r="Q991"/>
      <c r="R991"/>
      <c r="S991"/>
      <c r="T991"/>
      <c r="U991"/>
      <c r="V991"/>
      <c r="W991"/>
      <c r="X991"/>
      <c r="Y991"/>
      <c r="Z991"/>
      <c r="AA991"/>
    </row>
    <row r="992" spans="2:27" s="25" customFormat="1" ht="15.75" customHeight="1" x14ac:dyDescent="0.2">
      <c r="B992" s="89"/>
      <c r="C992"/>
      <c r="D992"/>
      <c r="E992" s="69"/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  <c r="T992"/>
      <c r="U992"/>
      <c r="V992"/>
      <c r="W992"/>
      <c r="X992"/>
      <c r="Y992"/>
      <c r="Z992"/>
      <c r="AA992"/>
    </row>
    <row r="993" spans="2:27" s="25" customFormat="1" ht="15.75" customHeight="1" x14ac:dyDescent="0.2">
      <c r="B993" s="89"/>
      <c r="C993"/>
      <c r="D993"/>
      <c r="E993" s="69"/>
      <c r="F993"/>
      <c r="G993"/>
      <c r="H993"/>
      <c r="I993"/>
      <c r="J993"/>
      <c r="K993"/>
      <c r="L993"/>
      <c r="M993"/>
      <c r="N993"/>
      <c r="O993"/>
      <c r="P993"/>
      <c r="Q993"/>
      <c r="R993"/>
      <c r="S993"/>
      <c r="T993"/>
      <c r="U993"/>
      <c r="V993"/>
      <c r="W993"/>
      <c r="X993"/>
      <c r="Y993"/>
      <c r="Z993"/>
      <c r="AA993"/>
    </row>
    <row r="994" spans="2:27" s="25" customFormat="1" ht="15.75" customHeight="1" x14ac:dyDescent="0.2">
      <c r="B994" s="89"/>
      <c r="C994"/>
      <c r="D994"/>
      <c r="E994" s="69"/>
      <c r="F994"/>
      <c r="G994"/>
      <c r="H994"/>
      <c r="I994"/>
      <c r="J994"/>
      <c r="K994"/>
      <c r="L994"/>
      <c r="M994"/>
      <c r="N994"/>
      <c r="O994"/>
      <c r="P994"/>
      <c r="Q994"/>
      <c r="R994"/>
      <c r="S994"/>
      <c r="T994"/>
      <c r="U994"/>
      <c r="V994"/>
      <c r="W994"/>
      <c r="X994"/>
      <c r="Y994"/>
      <c r="Z994"/>
      <c r="AA994"/>
    </row>
    <row r="995" spans="2:27" s="25" customFormat="1" ht="15.75" customHeight="1" x14ac:dyDescent="0.2">
      <c r="B995" s="89"/>
      <c r="C995"/>
      <c r="D995"/>
      <c r="E995" s="69"/>
      <c r="F995"/>
      <c r="G995"/>
      <c r="H995"/>
      <c r="I995"/>
      <c r="J995"/>
      <c r="K995"/>
      <c r="L995"/>
      <c r="M995"/>
      <c r="N995"/>
      <c r="O995"/>
      <c r="P995"/>
      <c r="Q995"/>
      <c r="R995"/>
      <c r="S995"/>
      <c r="T995"/>
      <c r="U995"/>
      <c r="V995"/>
      <c r="W995"/>
      <c r="X995"/>
      <c r="Y995"/>
      <c r="Z995"/>
      <c r="AA995"/>
    </row>
  </sheetData>
  <mergeCells count="11">
    <mergeCell ref="B7:E7"/>
    <mergeCell ref="F7:G7"/>
    <mergeCell ref="B8:E8"/>
    <mergeCell ref="F8:G8"/>
    <mergeCell ref="E1:E3"/>
    <mergeCell ref="B4:E4"/>
    <mergeCell ref="F4:G4"/>
    <mergeCell ref="B5:E5"/>
    <mergeCell ref="F5:G5"/>
    <mergeCell ref="B6:E6"/>
    <mergeCell ref="F6:G6"/>
  </mergeCells>
  <conditionalFormatting sqref="A4:B8 A9:H1048576">
    <cfRule type="expression" dxfId="23" priority="1">
      <formula>ISNUMBER(SEARCH("Holiday", $E4))</formula>
    </cfRule>
    <cfRule type="expression" dxfId="22" priority="2">
      <formula>AND(WEEKDAY($A4,2)&lt;6, $A4&lt;&gt;"")</formula>
    </cfRule>
  </conditionalFormatting>
  <conditionalFormatting sqref="A1:H3">
    <cfRule type="expression" dxfId="21" priority="5">
      <formula>ISNUMBER(SEARCH("Holiday", $E1))</formula>
    </cfRule>
    <cfRule type="expression" dxfId="20" priority="6">
      <formula>AND(WEEKDAY($A1,2)&lt;6, $A1&lt;&gt;"")</formula>
    </cfRule>
  </conditionalFormatting>
  <conditionalFormatting sqref="F4:H8">
    <cfRule type="expression" dxfId="19" priority="3">
      <formula>ISNUMBER(SEARCH("Holiday", $E4))</formula>
    </cfRule>
    <cfRule type="expression" dxfId="18" priority="4">
      <formula>AND(WEEKDAY($A4,2)&lt;6, $A4&lt;&gt;"")</formula>
    </cfRule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5670B-DDE0-4729-9189-E2118EF2876A}">
  <dimension ref="A1:AA996"/>
  <sheetViews>
    <sheetView workbookViewId="0">
      <selection activeCell="E29" sqref="E29"/>
    </sheetView>
  </sheetViews>
  <sheetFormatPr defaultColWidth="12.5" defaultRowHeight="14.25" x14ac:dyDescent="0.2"/>
  <cols>
    <col min="1" max="1" width="20.25" style="25" bestFit="1" customWidth="1"/>
    <col min="2" max="2" width="7.375" style="89" bestFit="1" customWidth="1"/>
    <col min="3" max="3" width="11" customWidth="1"/>
    <col min="4" max="4" width="11.25" customWidth="1"/>
    <col min="5" max="5" width="28" style="69" customWidth="1"/>
    <col min="7" max="7" width="12" customWidth="1"/>
    <col min="8" max="8" width="19" customWidth="1"/>
    <col min="9" max="9" width="7.75" customWidth="1"/>
    <col min="10" max="10" width="94.25" bestFit="1" customWidth="1"/>
    <col min="11" max="13" width="7.75" customWidth="1"/>
    <col min="14" max="14" width="9" customWidth="1"/>
    <col min="15" max="27" width="7.75" customWidth="1"/>
  </cols>
  <sheetData>
    <row r="1" spans="1:27" ht="17.25" customHeight="1" x14ac:dyDescent="0.25">
      <c r="A1" s="48"/>
      <c r="B1" s="81"/>
      <c r="C1" s="49"/>
      <c r="D1" s="49"/>
      <c r="E1" s="97" t="s">
        <v>0</v>
      </c>
      <c r="F1" s="50"/>
      <c r="G1" s="51"/>
      <c r="H1" s="52"/>
      <c r="K1" s="28"/>
      <c r="L1" s="28"/>
      <c r="M1" s="28"/>
      <c r="N1" s="28"/>
      <c r="O1" s="28"/>
      <c r="P1" s="28"/>
    </row>
    <row r="2" spans="1:27" ht="17.25" customHeight="1" x14ac:dyDescent="0.25">
      <c r="A2" s="53"/>
      <c r="B2" s="82"/>
      <c r="C2" s="54"/>
      <c r="D2" s="54"/>
      <c r="E2" s="98"/>
      <c r="F2" s="55"/>
      <c r="G2" s="56"/>
      <c r="H2" s="57"/>
      <c r="J2" s="26" t="s">
        <v>17</v>
      </c>
      <c r="K2" s="29"/>
      <c r="L2" s="29"/>
      <c r="M2" s="30"/>
      <c r="N2" s="31"/>
      <c r="O2" s="28"/>
      <c r="P2" s="28"/>
    </row>
    <row r="3" spans="1:27" ht="15.75" x14ac:dyDescent="0.25">
      <c r="A3" s="58"/>
      <c r="B3" s="83"/>
      <c r="C3" s="59"/>
      <c r="D3" s="59"/>
      <c r="E3" s="99"/>
      <c r="F3" s="60"/>
      <c r="G3" s="61"/>
      <c r="H3" s="62"/>
      <c r="J3" s="27" t="s">
        <v>18</v>
      </c>
      <c r="K3" s="29"/>
      <c r="L3" s="29"/>
      <c r="M3" s="32"/>
      <c r="N3" s="33"/>
      <c r="O3" s="34"/>
      <c r="P3" s="35"/>
    </row>
    <row r="4" spans="1:27" ht="15" x14ac:dyDescent="0.25">
      <c r="A4" s="21" t="s">
        <v>1</v>
      </c>
      <c r="B4" s="94"/>
      <c r="C4" s="95"/>
      <c r="D4" s="95"/>
      <c r="E4" s="96"/>
      <c r="F4" s="91" t="s">
        <v>2</v>
      </c>
      <c r="G4" s="92"/>
      <c r="H4" s="1"/>
      <c r="J4" s="25"/>
      <c r="K4" s="20"/>
      <c r="L4" s="20"/>
      <c r="M4" s="14"/>
      <c r="N4" s="15"/>
    </row>
    <row r="5" spans="1:27" ht="15" x14ac:dyDescent="0.25">
      <c r="A5" s="21" t="s">
        <v>43</v>
      </c>
      <c r="B5" s="94"/>
      <c r="C5" s="95"/>
      <c r="D5" s="95"/>
      <c r="E5" s="96"/>
      <c r="F5" s="91" t="s">
        <v>3</v>
      </c>
      <c r="G5" s="92"/>
      <c r="H5" s="1"/>
      <c r="J5" s="26" t="s">
        <v>19</v>
      </c>
      <c r="K5" s="19"/>
      <c r="L5" s="19"/>
      <c r="M5" s="14"/>
      <c r="N5" s="15"/>
    </row>
    <row r="6" spans="1:27" ht="15" x14ac:dyDescent="0.25">
      <c r="A6" s="21" t="s">
        <v>4</v>
      </c>
      <c r="B6" s="94"/>
      <c r="C6" s="95"/>
      <c r="D6" s="95"/>
      <c r="E6" s="96"/>
      <c r="F6" s="91" t="s">
        <v>6</v>
      </c>
      <c r="G6" s="92"/>
      <c r="H6" s="1"/>
      <c r="J6" s="26" t="s">
        <v>30</v>
      </c>
      <c r="K6" s="19"/>
      <c r="L6" s="19"/>
      <c r="M6" s="14"/>
      <c r="N6" s="15"/>
    </row>
    <row r="7" spans="1:27" ht="15" x14ac:dyDescent="0.25">
      <c r="A7" s="21" t="s">
        <v>5</v>
      </c>
      <c r="B7" s="94"/>
      <c r="C7" s="95"/>
      <c r="D7" s="95"/>
      <c r="E7" s="96"/>
      <c r="F7" s="91" t="s">
        <v>8</v>
      </c>
      <c r="G7" s="92"/>
      <c r="H7" s="1"/>
    </row>
    <row r="8" spans="1:27" ht="15" x14ac:dyDescent="0.25">
      <c r="A8" s="21" t="s">
        <v>7</v>
      </c>
      <c r="B8" s="94"/>
      <c r="C8" s="95"/>
      <c r="D8" s="95"/>
      <c r="E8" s="96"/>
      <c r="F8" s="93"/>
      <c r="G8" s="92"/>
      <c r="H8" s="2"/>
    </row>
    <row r="9" spans="1:27" ht="15" x14ac:dyDescent="0.25">
      <c r="A9" s="78"/>
      <c r="B9" s="84"/>
      <c r="C9" s="77"/>
      <c r="D9" s="77"/>
      <c r="E9" s="77"/>
      <c r="F9" s="77"/>
      <c r="G9" s="77"/>
      <c r="H9" s="77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ht="15" x14ac:dyDescent="0.25">
      <c r="A10" s="40" t="s">
        <v>9</v>
      </c>
      <c r="B10" s="85" t="s">
        <v>31</v>
      </c>
      <c r="C10" s="41" t="s">
        <v>10</v>
      </c>
      <c r="D10" s="41" t="s">
        <v>11</v>
      </c>
      <c r="E10" s="42" t="s">
        <v>12</v>
      </c>
      <c r="F10" s="43" t="s">
        <v>13</v>
      </c>
      <c r="G10" s="42" t="s">
        <v>14</v>
      </c>
      <c r="H10" s="42" t="s">
        <v>15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1:27" s="37" customFormat="1" ht="15" x14ac:dyDescent="0.25">
      <c r="A11" s="75">
        <f>'September 2026'!A52+1</f>
        <v>46296</v>
      </c>
      <c r="B11" s="79">
        <f>WEEKNUM(A11, 2)</f>
        <v>40</v>
      </c>
      <c r="C11" s="71"/>
      <c r="D11" s="71"/>
      <c r="E11" s="76"/>
      <c r="F11" s="73"/>
      <c r="G11" s="73"/>
      <c r="H11" s="73">
        <f t="shared" ref="H11" si="0">SUM(F11:G11)</f>
        <v>0</v>
      </c>
    </row>
    <row r="12" spans="1:27" s="37" customFormat="1" ht="15" x14ac:dyDescent="0.25">
      <c r="A12" s="70">
        <f>A11+1</f>
        <v>46297</v>
      </c>
      <c r="B12" s="79">
        <f t="shared" ref="B12:B18" si="1">WEEKNUM(A12, 2)</f>
        <v>40</v>
      </c>
      <c r="C12" s="71"/>
      <c r="D12" s="71"/>
      <c r="E12" s="72"/>
      <c r="F12" s="73"/>
      <c r="G12" s="73"/>
      <c r="H12" s="73">
        <f>SUM(F12:G12)</f>
        <v>0</v>
      </c>
    </row>
    <row r="13" spans="1:27" s="37" customFormat="1" ht="15" x14ac:dyDescent="0.25">
      <c r="A13" s="70">
        <f>A12+1</f>
        <v>46298</v>
      </c>
      <c r="B13" s="79">
        <f t="shared" si="1"/>
        <v>40</v>
      </c>
      <c r="C13" s="71"/>
      <c r="D13" s="71"/>
      <c r="E13" s="72"/>
      <c r="F13" s="73"/>
      <c r="G13" s="73"/>
      <c r="H13" s="73">
        <f t="shared" ref="H13:H18" si="2">SUM(F13:G13)</f>
        <v>0</v>
      </c>
    </row>
    <row r="14" spans="1:27" s="37" customFormat="1" ht="15" x14ac:dyDescent="0.25">
      <c r="A14" s="70">
        <f>A13+1</f>
        <v>46299</v>
      </c>
      <c r="B14" s="79">
        <f t="shared" si="1"/>
        <v>40</v>
      </c>
      <c r="C14" s="71"/>
      <c r="D14" s="71"/>
      <c r="E14" s="72"/>
      <c r="F14" s="73"/>
      <c r="G14" s="73"/>
      <c r="H14" s="73">
        <f t="shared" si="2"/>
        <v>0</v>
      </c>
    </row>
    <row r="15" spans="1:27" s="28" customFormat="1" ht="15.75" customHeight="1" x14ac:dyDescent="0.2">
      <c r="A15" s="44" t="s">
        <v>40</v>
      </c>
      <c r="B15" s="80"/>
      <c r="C15" s="45"/>
      <c r="D15" s="45"/>
      <c r="E15" s="63"/>
      <c r="F15" s="46">
        <f ca="1">SUMIF($B:$E,RIGHT($A15,2),F:F)</f>
        <v>0</v>
      </c>
      <c r="G15" s="46">
        <f ca="1">SUMIF($B:$E,RIGHT($A15,2),G:G)</f>
        <v>0</v>
      </c>
      <c r="H15" s="47">
        <f ca="1">SUMIF($B:$E,RIGHT($A15,2),H:H)</f>
        <v>0</v>
      </c>
    </row>
    <row r="16" spans="1:27" s="28" customFormat="1" ht="15.75" customHeight="1" x14ac:dyDescent="0.2">
      <c r="A16" s="36"/>
      <c r="B16" s="86"/>
      <c r="C16" s="34"/>
      <c r="D16" s="34"/>
      <c r="E16" s="64"/>
      <c r="F16" s="38"/>
      <c r="G16" s="38"/>
      <c r="H16" s="39"/>
    </row>
    <row r="17" spans="1:27" ht="15" x14ac:dyDescent="0.25">
      <c r="A17" s="40" t="s">
        <v>9</v>
      </c>
      <c r="B17" s="85" t="s">
        <v>31</v>
      </c>
      <c r="C17" s="41" t="s">
        <v>10</v>
      </c>
      <c r="D17" s="41" t="s">
        <v>11</v>
      </c>
      <c r="E17" s="42" t="s">
        <v>12</v>
      </c>
      <c r="F17" s="43" t="s">
        <v>13</v>
      </c>
      <c r="G17" s="42" t="s">
        <v>14</v>
      </c>
      <c r="H17" s="42" t="s">
        <v>15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spans="1:27" ht="15.75" customHeight="1" x14ac:dyDescent="0.25">
      <c r="A18" s="70">
        <f>A14+1</f>
        <v>46300</v>
      </c>
      <c r="B18" s="79">
        <f t="shared" si="1"/>
        <v>41</v>
      </c>
      <c r="C18" s="71"/>
      <c r="D18" s="71"/>
      <c r="E18" s="72"/>
      <c r="F18" s="73"/>
      <c r="G18" s="73"/>
      <c r="H18" s="73">
        <f t="shared" si="2"/>
        <v>0</v>
      </c>
    </row>
    <row r="19" spans="1:27" ht="15.75" customHeight="1" x14ac:dyDescent="0.25">
      <c r="A19" s="70">
        <f>A18+1</f>
        <v>46301</v>
      </c>
      <c r="B19" s="79">
        <f>WEEKNUM(A19, 2)</f>
        <v>41</v>
      </c>
      <c r="C19" s="71"/>
      <c r="D19" s="71"/>
      <c r="E19" s="74"/>
      <c r="F19" s="73"/>
      <c r="G19" s="73"/>
      <c r="H19" s="73">
        <f>SUM(F19:G19)</f>
        <v>0</v>
      </c>
    </row>
    <row r="20" spans="1:27" ht="15.75" customHeight="1" x14ac:dyDescent="0.25">
      <c r="A20" s="70">
        <f t="shared" ref="A20:A24" si="3">A19+1</f>
        <v>46302</v>
      </c>
      <c r="B20" s="79">
        <f t="shared" ref="B20:B28" si="4">WEEKNUM(A20, 2)</f>
        <v>41</v>
      </c>
      <c r="C20" s="71"/>
      <c r="D20" s="71"/>
      <c r="E20" s="72"/>
      <c r="F20" s="73"/>
      <c r="G20" s="73"/>
      <c r="H20" s="73">
        <f>SUM(F20:G20)</f>
        <v>0</v>
      </c>
    </row>
    <row r="21" spans="1:27" ht="15.75" customHeight="1" x14ac:dyDescent="0.25">
      <c r="A21" s="70">
        <f t="shared" si="3"/>
        <v>46303</v>
      </c>
      <c r="B21" s="79">
        <f t="shared" si="4"/>
        <v>41</v>
      </c>
      <c r="C21" s="71"/>
      <c r="D21" s="71"/>
      <c r="E21" s="74"/>
      <c r="F21" s="73"/>
      <c r="G21" s="73"/>
      <c r="H21" s="73">
        <f t="shared" ref="H21:H28" si="5">SUM(F21:G21)</f>
        <v>0</v>
      </c>
    </row>
    <row r="22" spans="1:27" ht="15.75" customHeight="1" x14ac:dyDescent="0.25">
      <c r="A22" s="70">
        <f t="shared" si="3"/>
        <v>46304</v>
      </c>
      <c r="B22" s="79">
        <f t="shared" si="4"/>
        <v>41</v>
      </c>
      <c r="C22" s="71"/>
      <c r="D22" s="71"/>
      <c r="E22" s="72"/>
      <c r="F22" s="73"/>
      <c r="G22" s="73"/>
      <c r="H22" s="73">
        <f t="shared" si="5"/>
        <v>0</v>
      </c>
    </row>
    <row r="23" spans="1:27" ht="15.75" customHeight="1" x14ac:dyDescent="0.25">
      <c r="A23" s="70">
        <f t="shared" si="3"/>
        <v>46305</v>
      </c>
      <c r="B23" s="79">
        <f t="shared" si="4"/>
        <v>41</v>
      </c>
      <c r="C23" s="71"/>
      <c r="D23" s="71"/>
      <c r="E23" s="74"/>
      <c r="F23" s="73"/>
      <c r="G23" s="73"/>
      <c r="H23" s="73">
        <f t="shared" si="5"/>
        <v>0</v>
      </c>
    </row>
    <row r="24" spans="1:27" ht="15.75" customHeight="1" x14ac:dyDescent="0.25">
      <c r="A24" s="70">
        <f t="shared" si="3"/>
        <v>46306</v>
      </c>
      <c r="B24" s="79">
        <f>WEEKNUM(A24, 2)</f>
        <v>41</v>
      </c>
      <c r="C24" s="71"/>
      <c r="D24" s="71"/>
      <c r="E24" s="72"/>
      <c r="F24" s="73"/>
      <c r="G24" s="73"/>
      <c r="H24" s="73">
        <f t="shared" si="5"/>
        <v>0</v>
      </c>
    </row>
    <row r="25" spans="1:27" s="28" customFormat="1" ht="15.75" customHeight="1" x14ac:dyDescent="0.2">
      <c r="A25" s="44" t="str">
        <f>"Total of Week "&amp;RIGHT(A15,2)+1</f>
        <v>Total of Week 41</v>
      </c>
      <c r="B25" s="80"/>
      <c r="C25" s="45"/>
      <c r="D25" s="45"/>
      <c r="E25" s="63"/>
      <c r="F25" s="46">
        <f ca="1">SUMIF($B:$E,RIGHT($A25,2),F:F)</f>
        <v>0</v>
      </c>
      <c r="G25" s="46">
        <f ca="1">SUMIF($B:$E,RIGHT($A25,2),G:G)</f>
        <v>0</v>
      </c>
      <c r="H25" s="47">
        <f ca="1">SUMIF($B:$E,RIGHT($A25,2),H:H)</f>
        <v>0</v>
      </c>
    </row>
    <row r="26" spans="1:27" ht="15.75" customHeight="1" x14ac:dyDescent="0.25">
      <c r="A26" s="22"/>
      <c r="B26" s="87"/>
      <c r="C26" s="5"/>
      <c r="D26" s="5"/>
      <c r="E26" s="65"/>
      <c r="F26" s="6"/>
      <c r="G26" s="5"/>
      <c r="H26" s="7"/>
    </row>
    <row r="27" spans="1:27" ht="15" x14ac:dyDescent="0.25">
      <c r="A27" s="40" t="s">
        <v>9</v>
      </c>
      <c r="B27" s="85" t="s">
        <v>31</v>
      </c>
      <c r="C27" s="41" t="s">
        <v>10</v>
      </c>
      <c r="D27" s="41" t="s">
        <v>11</v>
      </c>
      <c r="E27" s="42" t="s">
        <v>12</v>
      </c>
      <c r="F27" s="43" t="s">
        <v>13</v>
      </c>
      <c r="G27" s="42" t="s">
        <v>14</v>
      </c>
      <c r="H27" s="42" t="s">
        <v>15</v>
      </c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spans="1:27" ht="15.75" customHeight="1" x14ac:dyDescent="0.25">
      <c r="A28" s="70">
        <f>A24+1</f>
        <v>46307</v>
      </c>
      <c r="B28" s="79">
        <f t="shared" si="4"/>
        <v>42</v>
      </c>
      <c r="C28" s="71"/>
      <c r="D28" s="71"/>
      <c r="E28" s="72" t="s">
        <v>26</v>
      </c>
      <c r="F28" s="73"/>
      <c r="G28" s="73"/>
      <c r="H28" s="73">
        <f t="shared" si="5"/>
        <v>0</v>
      </c>
    </row>
    <row r="29" spans="1:27" ht="15.75" customHeight="1" x14ac:dyDescent="0.25">
      <c r="A29" s="70">
        <f>A28+1</f>
        <v>46308</v>
      </c>
      <c r="B29" s="79">
        <f>WEEKNUM(A29, 2)</f>
        <v>42</v>
      </c>
      <c r="C29" s="71"/>
      <c r="D29" s="71"/>
      <c r="E29" s="74"/>
      <c r="F29" s="73"/>
      <c r="G29" s="73"/>
      <c r="H29" s="73">
        <f>SUM(F29:G29)</f>
        <v>0</v>
      </c>
    </row>
    <row r="30" spans="1:27" ht="15.75" customHeight="1" x14ac:dyDescent="0.25">
      <c r="A30" s="70">
        <f t="shared" ref="A30:A34" si="6">A29+1</f>
        <v>46309</v>
      </c>
      <c r="B30" s="79">
        <f t="shared" ref="B30:B38" si="7">WEEKNUM(A30, 2)</f>
        <v>42</v>
      </c>
      <c r="C30" s="71"/>
      <c r="D30" s="71"/>
      <c r="E30" s="72"/>
      <c r="F30" s="73"/>
      <c r="G30" s="73"/>
      <c r="H30" s="73">
        <f>SUM(F30:G30)</f>
        <v>0</v>
      </c>
    </row>
    <row r="31" spans="1:27" ht="15.75" customHeight="1" x14ac:dyDescent="0.25">
      <c r="A31" s="70">
        <f t="shared" si="6"/>
        <v>46310</v>
      </c>
      <c r="B31" s="79">
        <f t="shared" si="7"/>
        <v>42</v>
      </c>
      <c r="C31" s="71"/>
      <c r="D31" s="71"/>
      <c r="E31" s="74"/>
      <c r="F31" s="73"/>
      <c r="G31" s="73"/>
      <c r="H31" s="73">
        <f t="shared" ref="H31:H38" si="8">SUM(F31:G31)</f>
        <v>0</v>
      </c>
    </row>
    <row r="32" spans="1:27" ht="15.75" customHeight="1" x14ac:dyDescent="0.25">
      <c r="A32" s="70">
        <f t="shared" si="6"/>
        <v>46311</v>
      </c>
      <c r="B32" s="79">
        <f t="shared" si="7"/>
        <v>42</v>
      </c>
      <c r="C32" s="71"/>
      <c r="D32" s="71"/>
      <c r="E32" s="72"/>
      <c r="F32" s="73"/>
      <c r="G32" s="73"/>
      <c r="H32" s="73">
        <f t="shared" si="8"/>
        <v>0</v>
      </c>
    </row>
    <row r="33" spans="1:27" ht="15.75" customHeight="1" x14ac:dyDescent="0.25">
      <c r="A33" s="70">
        <f t="shared" si="6"/>
        <v>46312</v>
      </c>
      <c r="B33" s="79">
        <f t="shared" si="7"/>
        <v>42</v>
      </c>
      <c r="C33" s="71"/>
      <c r="D33" s="71"/>
      <c r="E33" s="74"/>
      <c r="F33" s="73"/>
      <c r="G33" s="73"/>
      <c r="H33" s="73">
        <f t="shared" si="8"/>
        <v>0</v>
      </c>
    </row>
    <row r="34" spans="1:27" ht="15.75" customHeight="1" x14ac:dyDescent="0.25">
      <c r="A34" s="70">
        <f t="shared" si="6"/>
        <v>46313</v>
      </c>
      <c r="B34" s="79">
        <f>WEEKNUM(A34, 2)</f>
        <v>42</v>
      </c>
      <c r="C34" s="71"/>
      <c r="D34" s="71"/>
      <c r="E34" s="72"/>
      <c r="F34" s="73"/>
      <c r="G34" s="73"/>
      <c r="H34" s="73">
        <f t="shared" si="8"/>
        <v>0</v>
      </c>
    </row>
    <row r="35" spans="1:27" s="28" customFormat="1" ht="15.75" customHeight="1" x14ac:dyDescent="0.2">
      <c r="A35" s="44" t="str">
        <f>"Total of Week "&amp;RIGHT(A25,2)+1</f>
        <v>Total of Week 42</v>
      </c>
      <c r="B35" s="80"/>
      <c r="C35" s="45"/>
      <c r="D35" s="45"/>
      <c r="E35" s="63"/>
      <c r="F35" s="46">
        <f ca="1">SUMIF($B:$E,RIGHT($A35,2),F:F)</f>
        <v>0</v>
      </c>
      <c r="G35" s="46">
        <f ca="1">SUMIF($B:$E,RIGHT($A35,2),G:G)</f>
        <v>0</v>
      </c>
      <c r="H35" s="47">
        <f ca="1">SUMIF($B:$E,RIGHT($A35,2),H:H)</f>
        <v>0</v>
      </c>
    </row>
    <row r="36" spans="1:27" ht="15.75" customHeight="1" x14ac:dyDescent="0.25">
      <c r="A36" s="22"/>
      <c r="B36" s="87"/>
      <c r="C36" s="5"/>
      <c r="D36" s="5"/>
      <c r="E36" s="65"/>
      <c r="F36" s="6"/>
      <c r="G36" s="5"/>
      <c r="H36" s="7"/>
    </row>
    <row r="37" spans="1:27" ht="15" x14ac:dyDescent="0.25">
      <c r="A37" s="40" t="s">
        <v>9</v>
      </c>
      <c r="B37" s="85" t="s">
        <v>31</v>
      </c>
      <c r="C37" s="41" t="s">
        <v>10</v>
      </c>
      <c r="D37" s="41" t="s">
        <v>11</v>
      </c>
      <c r="E37" s="42" t="s">
        <v>12</v>
      </c>
      <c r="F37" s="43" t="s">
        <v>13</v>
      </c>
      <c r="G37" s="42" t="s">
        <v>14</v>
      </c>
      <c r="H37" s="42" t="s">
        <v>15</v>
      </c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spans="1:27" ht="15.75" customHeight="1" x14ac:dyDescent="0.25">
      <c r="A38" s="70">
        <f>A34+1</f>
        <v>46314</v>
      </c>
      <c r="B38" s="79">
        <f t="shared" si="7"/>
        <v>43</v>
      </c>
      <c r="C38" s="71"/>
      <c r="D38" s="71"/>
      <c r="E38" s="72"/>
      <c r="F38" s="73"/>
      <c r="G38" s="73"/>
      <c r="H38" s="73">
        <f t="shared" si="8"/>
        <v>0</v>
      </c>
    </row>
    <row r="39" spans="1:27" ht="15.75" customHeight="1" x14ac:dyDescent="0.25">
      <c r="A39" s="70">
        <f>A38+1</f>
        <v>46315</v>
      </c>
      <c r="B39" s="79">
        <f>WEEKNUM(A39, 2)</f>
        <v>43</v>
      </c>
      <c r="C39" s="71"/>
      <c r="D39" s="71"/>
      <c r="E39" s="74"/>
      <c r="F39" s="73"/>
      <c r="G39" s="73"/>
      <c r="H39" s="73">
        <f>SUM(F39:G39)</f>
        <v>0</v>
      </c>
    </row>
    <row r="40" spans="1:27" ht="15.75" customHeight="1" x14ac:dyDescent="0.25">
      <c r="A40" s="70">
        <f>A39+1</f>
        <v>46316</v>
      </c>
      <c r="B40" s="79">
        <f t="shared" ref="B40:B43" si="9">WEEKNUM(A40, 2)</f>
        <v>43</v>
      </c>
      <c r="C40" s="71"/>
      <c r="D40" s="71"/>
      <c r="E40" s="72"/>
      <c r="F40" s="73"/>
      <c r="G40" s="73"/>
      <c r="H40" s="73">
        <f>SUM(F40:G40)</f>
        <v>0</v>
      </c>
    </row>
    <row r="41" spans="1:27" ht="15.75" customHeight="1" x14ac:dyDescent="0.25">
      <c r="A41" s="70">
        <f>A40+1</f>
        <v>46317</v>
      </c>
      <c r="B41" s="79">
        <f t="shared" si="9"/>
        <v>43</v>
      </c>
      <c r="C41" s="71"/>
      <c r="D41" s="71"/>
      <c r="E41" s="74"/>
      <c r="F41" s="73"/>
      <c r="G41" s="73"/>
      <c r="H41" s="73">
        <f t="shared" ref="H41:H44" si="10">SUM(F41:G41)</f>
        <v>0</v>
      </c>
    </row>
    <row r="42" spans="1:27" ht="15.75" customHeight="1" x14ac:dyDescent="0.25">
      <c r="A42" s="70">
        <f>A41+1</f>
        <v>46318</v>
      </c>
      <c r="B42" s="79">
        <f t="shared" si="9"/>
        <v>43</v>
      </c>
      <c r="C42" s="71"/>
      <c r="D42" s="71"/>
      <c r="E42" s="72"/>
      <c r="F42" s="73"/>
      <c r="G42" s="73"/>
      <c r="H42" s="73">
        <f t="shared" si="10"/>
        <v>0</v>
      </c>
    </row>
    <row r="43" spans="1:27" ht="15.75" customHeight="1" x14ac:dyDescent="0.25">
      <c r="A43" s="70">
        <f>A42+1</f>
        <v>46319</v>
      </c>
      <c r="B43" s="79">
        <f t="shared" si="9"/>
        <v>43</v>
      </c>
      <c r="C43" s="71"/>
      <c r="D43" s="71"/>
      <c r="E43" s="74"/>
      <c r="F43" s="73"/>
      <c r="G43" s="73"/>
      <c r="H43" s="73">
        <f t="shared" si="10"/>
        <v>0</v>
      </c>
    </row>
    <row r="44" spans="1:27" ht="15.75" customHeight="1" x14ac:dyDescent="0.25">
      <c r="A44" s="70">
        <f>A43+1</f>
        <v>46320</v>
      </c>
      <c r="B44" s="79">
        <f>WEEKNUM(A44, 2)</f>
        <v>43</v>
      </c>
      <c r="C44" s="71"/>
      <c r="D44" s="71"/>
      <c r="E44" s="72"/>
      <c r="F44" s="73"/>
      <c r="G44" s="73"/>
      <c r="H44" s="73">
        <f t="shared" si="10"/>
        <v>0</v>
      </c>
    </row>
    <row r="45" spans="1:27" s="28" customFormat="1" ht="15.75" customHeight="1" x14ac:dyDescent="0.2">
      <c r="A45" s="44" t="str">
        <f>"Total of Week "&amp;RIGHT(A35,2)+1</f>
        <v>Total of Week 43</v>
      </c>
      <c r="B45" s="80"/>
      <c r="C45" s="45"/>
      <c r="D45" s="45"/>
      <c r="E45" s="63"/>
      <c r="F45" s="46">
        <f ca="1">SUMIF($B:$E,RIGHT($A45,2),F:F)</f>
        <v>0</v>
      </c>
      <c r="G45" s="46">
        <f ca="1">SUMIF($B:$E,RIGHT($A45,2),G:G)</f>
        <v>0</v>
      </c>
      <c r="H45" s="47">
        <f ca="1">SUMIF($B:$E,RIGHT($A45,2),H:H)</f>
        <v>0</v>
      </c>
    </row>
    <row r="46" spans="1:27" ht="15.75" customHeight="1" x14ac:dyDescent="0.25">
      <c r="A46" s="22"/>
      <c r="B46" s="87"/>
      <c r="C46" s="5"/>
      <c r="D46" s="5"/>
      <c r="E46" s="65"/>
      <c r="F46" s="6"/>
      <c r="G46" s="5"/>
      <c r="H46" s="7"/>
    </row>
    <row r="47" spans="1:27" ht="15" x14ac:dyDescent="0.25">
      <c r="A47" s="40" t="s">
        <v>9</v>
      </c>
      <c r="B47" s="85" t="s">
        <v>31</v>
      </c>
      <c r="C47" s="41" t="s">
        <v>10</v>
      </c>
      <c r="D47" s="41" t="s">
        <v>11</v>
      </c>
      <c r="E47" s="42" t="s">
        <v>12</v>
      </c>
      <c r="F47" s="43" t="s">
        <v>13</v>
      </c>
      <c r="G47" s="42" t="s">
        <v>14</v>
      </c>
      <c r="H47" s="42" t="s">
        <v>15</v>
      </c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spans="1:27" ht="15.75" customHeight="1" x14ac:dyDescent="0.25">
      <c r="A48" s="70">
        <f t="shared" ref="A48" si="11">A44+1</f>
        <v>46321</v>
      </c>
      <c r="B48" s="79">
        <f>WEEKNUM(A48, 2)</f>
        <v>44</v>
      </c>
      <c r="C48" s="71"/>
      <c r="D48" s="71"/>
      <c r="E48" s="74"/>
      <c r="F48" s="73"/>
      <c r="G48" s="73"/>
      <c r="H48" s="73">
        <f>SUM(F48:G48)</f>
        <v>0</v>
      </c>
    </row>
    <row r="49" spans="1:27" ht="15.75" customHeight="1" x14ac:dyDescent="0.25">
      <c r="A49" s="70">
        <f>A48+1</f>
        <v>46322</v>
      </c>
      <c r="B49" s="79">
        <f t="shared" ref="B49:B53" si="12">WEEKNUM(A49, 2)</f>
        <v>44</v>
      </c>
      <c r="C49" s="71"/>
      <c r="D49" s="71"/>
      <c r="E49" s="72"/>
      <c r="F49" s="73"/>
      <c r="G49" s="73"/>
      <c r="H49" s="73">
        <f>SUM(F49:G49)</f>
        <v>0</v>
      </c>
    </row>
    <row r="50" spans="1:27" ht="15.75" customHeight="1" x14ac:dyDescent="0.25">
      <c r="A50" s="70">
        <f>A49+1</f>
        <v>46323</v>
      </c>
      <c r="B50" s="79">
        <f t="shared" si="12"/>
        <v>44</v>
      </c>
      <c r="C50" s="71"/>
      <c r="D50" s="71"/>
      <c r="E50" s="74"/>
      <c r="F50" s="73"/>
      <c r="G50" s="73"/>
      <c r="H50" s="73">
        <f t="shared" ref="H50" si="13">SUM(F50:G50)</f>
        <v>0</v>
      </c>
    </row>
    <row r="51" spans="1:27" ht="15.75" customHeight="1" x14ac:dyDescent="0.25">
      <c r="A51" s="70">
        <f>A50+1</f>
        <v>46324</v>
      </c>
      <c r="B51" s="79">
        <f>WEEKNUM(A51, 2)</f>
        <v>44</v>
      </c>
      <c r="C51" s="71"/>
      <c r="D51" s="71"/>
      <c r="E51" s="72"/>
      <c r="F51" s="73"/>
      <c r="G51" s="73"/>
      <c r="H51" s="73">
        <f>SUM(F51:G51)</f>
        <v>0</v>
      </c>
    </row>
    <row r="52" spans="1:27" ht="15.75" customHeight="1" x14ac:dyDescent="0.25">
      <c r="A52" s="70">
        <f t="shared" ref="A52" si="14">A51+1</f>
        <v>46325</v>
      </c>
      <c r="B52" s="79">
        <f t="shared" si="12"/>
        <v>44</v>
      </c>
      <c r="C52" s="71"/>
      <c r="D52" s="71"/>
      <c r="E52" s="74"/>
      <c r="F52" s="73"/>
      <c r="G52" s="73"/>
      <c r="H52" s="73">
        <f t="shared" ref="H52" si="15">SUM(F52:G52)</f>
        <v>0</v>
      </c>
    </row>
    <row r="53" spans="1:27" ht="15.75" customHeight="1" x14ac:dyDescent="0.25">
      <c r="A53" s="70">
        <f t="shared" ref="A53" si="16">A52+1</f>
        <v>46326</v>
      </c>
      <c r="B53" s="79">
        <f t="shared" si="12"/>
        <v>44</v>
      </c>
      <c r="C53" s="71"/>
      <c r="D53" s="71"/>
      <c r="E53" s="74"/>
      <c r="F53" s="73"/>
      <c r="G53" s="73"/>
      <c r="H53" s="73">
        <f t="shared" ref="H53" si="17">SUM(F53:G53)</f>
        <v>0</v>
      </c>
    </row>
    <row r="54" spans="1:27" s="28" customFormat="1" ht="15.75" customHeight="1" x14ac:dyDescent="0.2">
      <c r="A54" s="44" t="str">
        <f>"Total of Week "&amp;RIGHT(A45,2)+1</f>
        <v>Total of Week 44</v>
      </c>
      <c r="B54" s="80"/>
      <c r="C54" s="45"/>
      <c r="D54" s="45"/>
      <c r="E54" s="63"/>
      <c r="F54" s="46">
        <f ca="1">SUMIF($B:$E,RIGHT($A54,2),F:F)</f>
        <v>0</v>
      </c>
      <c r="G54" s="46">
        <f ca="1">SUMIF($B:$E,RIGHT($A54,2),G:G)</f>
        <v>0</v>
      </c>
      <c r="H54" s="47">
        <f ca="1">SUMIF($B:$E,RIGHT($A54,2),H:H)</f>
        <v>0</v>
      </c>
    </row>
    <row r="55" spans="1:27" ht="12" customHeight="1" x14ac:dyDescent="0.25">
      <c r="A55" s="23"/>
      <c r="B55" s="84"/>
      <c r="C55" s="8"/>
      <c r="D55" s="8"/>
      <c r="E55" s="66"/>
      <c r="F55" s="9"/>
      <c r="G55" s="9"/>
      <c r="H55" s="10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 ht="15.75" customHeight="1" x14ac:dyDescent="0.25">
      <c r="A56" s="24" t="s">
        <v>16</v>
      </c>
      <c r="B56" s="88"/>
      <c r="C56" s="11"/>
      <c r="D56" s="11"/>
      <c r="E56" s="67"/>
      <c r="F56" s="12"/>
      <c r="G56" s="11"/>
      <c r="H56" s="13">
        <f ca="1">SUMIF(A7:A55,"*Total of week*",H7:H55)</f>
        <v>0</v>
      </c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1:27" ht="15.75" customHeight="1" x14ac:dyDescent="0.25">
      <c r="E57" s="4"/>
      <c r="F57" s="15"/>
      <c r="O57" s="3"/>
      <c r="P57" s="3"/>
      <c r="R57" s="3"/>
    </row>
    <row r="58" spans="1:27" ht="15.75" customHeight="1" x14ac:dyDescent="0.25">
      <c r="E58" s="4"/>
      <c r="F58" s="15"/>
      <c r="O58" s="3"/>
    </row>
    <row r="59" spans="1:27" ht="15.75" customHeight="1" x14ac:dyDescent="0.25">
      <c r="A59" s="26"/>
      <c r="B59" s="90"/>
      <c r="C59" s="17"/>
      <c r="D59" s="16"/>
      <c r="E59" s="4"/>
      <c r="F59" s="15"/>
    </row>
    <row r="60" spans="1:27" ht="15.75" customHeight="1" x14ac:dyDescent="0.25">
      <c r="A60" s="26"/>
      <c r="B60" s="90"/>
      <c r="C60" s="16"/>
      <c r="D60" s="16"/>
      <c r="E60" s="68"/>
      <c r="F60" s="18"/>
      <c r="G60" s="16"/>
      <c r="H60" s="3"/>
    </row>
    <row r="61" spans="1:27" ht="15.75" customHeight="1" x14ac:dyDescent="0.25">
      <c r="A61" s="26"/>
      <c r="B61" s="90"/>
      <c r="C61" s="19"/>
      <c r="D61" s="19"/>
      <c r="E61" s="4"/>
      <c r="F61" s="15"/>
    </row>
    <row r="62" spans="1:27" s="28" customFormat="1" ht="15.75" customHeight="1" x14ac:dyDescent="0.25">
      <c r="A62" s="36"/>
      <c r="B62" s="86"/>
      <c r="C62" s="29"/>
      <c r="D62" s="29"/>
      <c r="E62" s="64"/>
      <c r="F62" s="33"/>
      <c r="G62" s="34"/>
      <c r="H62" s="35"/>
    </row>
    <row r="63" spans="1:27" ht="15.75" customHeight="1" x14ac:dyDescent="0.25">
      <c r="C63" s="20"/>
      <c r="D63" s="20"/>
      <c r="E63" s="4"/>
      <c r="F63" s="15"/>
    </row>
    <row r="64" spans="1:27" ht="15.75" customHeight="1" x14ac:dyDescent="0.25">
      <c r="A64" s="26"/>
      <c r="B64" s="90"/>
      <c r="C64" s="19"/>
      <c r="D64" s="19"/>
      <c r="E64" s="4"/>
      <c r="F64" s="15"/>
    </row>
    <row r="65" spans="1:6" ht="15.75" customHeight="1" x14ac:dyDescent="0.25">
      <c r="A65" s="26"/>
      <c r="B65" s="90"/>
      <c r="C65" s="19"/>
      <c r="D65" s="19"/>
      <c r="E65" s="4"/>
      <c r="F65" s="15"/>
    </row>
    <row r="66" spans="1:6" ht="15.75" customHeight="1" x14ac:dyDescent="0.2"/>
    <row r="67" spans="1:6" ht="15.75" customHeight="1" x14ac:dyDescent="0.2"/>
    <row r="68" spans="1:6" ht="15.75" customHeight="1" x14ac:dyDescent="0.2"/>
    <row r="69" spans="1:6" ht="15.75" customHeight="1" x14ac:dyDescent="0.2"/>
    <row r="70" spans="1:6" ht="15.75" customHeight="1" x14ac:dyDescent="0.2"/>
    <row r="71" spans="1:6" ht="15.75" customHeight="1" x14ac:dyDescent="0.2"/>
    <row r="72" spans="1:6" ht="15.75" customHeight="1" x14ac:dyDescent="0.2"/>
    <row r="73" spans="1:6" ht="15.75" customHeight="1" x14ac:dyDescent="0.2"/>
    <row r="74" spans="1:6" ht="15.75" customHeight="1" x14ac:dyDescent="0.2"/>
    <row r="75" spans="1:6" ht="15.75" customHeight="1" x14ac:dyDescent="0.2"/>
    <row r="76" spans="1:6" ht="15.75" customHeight="1" x14ac:dyDescent="0.2"/>
    <row r="77" spans="1:6" ht="15.75" customHeight="1" x14ac:dyDescent="0.2"/>
    <row r="78" spans="1:6" ht="15.75" customHeight="1" x14ac:dyDescent="0.2"/>
    <row r="79" spans="1:6" ht="15.75" customHeight="1" x14ac:dyDescent="0.2"/>
    <row r="80" spans="1:6" ht="15.75" customHeight="1" x14ac:dyDescent="0.2"/>
    <row r="81" spans="2:27" s="25" customFormat="1" ht="15.75" customHeight="1" x14ac:dyDescent="0.2">
      <c r="B81" s="89"/>
      <c r="C81"/>
      <c r="D81"/>
      <c r="E81" s="69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</row>
    <row r="82" spans="2:27" s="25" customFormat="1" ht="15.75" customHeight="1" x14ac:dyDescent="0.2">
      <c r="B82" s="89"/>
      <c r="C82"/>
      <c r="D82"/>
      <c r="E82" s="69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2:27" s="25" customFormat="1" ht="15.75" customHeight="1" x14ac:dyDescent="0.2">
      <c r="B83" s="89"/>
      <c r="C83"/>
      <c r="D83"/>
      <c r="E83" s="69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</row>
    <row r="84" spans="2:27" s="25" customFormat="1" ht="15.75" customHeight="1" x14ac:dyDescent="0.2">
      <c r="B84" s="89"/>
      <c r="C84"/>
      <c r="D84"/>
      <c r="E84" s="69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</row>
    <row r="85" spans="2:27" s="25" customFormat="1" ht="15.75" customHeight="1" x14ac:dyDescent="0.2">
      <c r="B85" s="89"/>
      <c r="C85"/>
      <c r="D85"/>
      <c r="E85" s="69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</row>
    <row r="86" spans="2:27" s="25" customFormat="1" ht="15.75" customHeight="1" x14ac:dyDescent="0.2">
      <c r="B86" s="89"/>
      <c r="C86"/>
      <c r="D86"/>
      <c r="E86" s="69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</row>
    <row r="87" spans="2:27" s="25" customFormat="1" ht="15.75" customHeight="1" x14ac:dyDescent="0.2">
      <c r="B87" s="89"/>
      <c r="C87"/>
      <c r="D87"/>
      <c r="E87" s="69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</row>
    <row r="88" spans="2:27" s="25" customFormat="1" ht="15.75" customHeight="1" x14ac:dyDescent="0.2">
      <c r="B88" s="89"/>
      <c r="C88"/>
      <c r="D88"/>
      <c r="E88" s="69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</row>
    <row r="89" spans="2:27" s="25" customFormat="1" ht="15.75" customHeight="1" x14ac:dyDescent="0.2">
      <c r="B89" s="89"/>
      <c r="C89"/>
      <c r="D89"/>
      <c r="E89" s="6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</row>
    <row r="90" spans="2:27" s="25" customFormat="1" ht="15.75" customHeight="1" x14ac:dyDescent="0.2">
      <c r="B90" s="89"/>
      <c r="C90"/>
      <c r="D90"/>
      <c r="E90" s="69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2:27" s="25" customFormat="1" ht="15.75" customHeight="1" x14ac:dyDescent="0.2">
      <c r="B91" s="89"/>
      <c r="C91"/>
      <c r="D91"/>
      <c r="E91" s="69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</row>
    <row r="92" spans="2:27" s="25" customFormat="1" ht="15.75" customHeight="1" x14ac:dyDescent="0.2">
      <c r="B92" s="89"/>
      <c r="C92"/>
      <c r="D92"/>
      <c r="E92" s="69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2:27" s="25" customFormat="1" ht="15.75" customHeight="1" x14ac:dyDescent="0.2">
      <c r="B93" s="89"/>
      <c r="C93"/>
      <c r="D93"/>
      <c r="E93" s="69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</row>
    <row r="94" spans="2:27" s="25" customFormat="1" ht="15.75" customHeight="1" x14ac:dyDescent="0.2">
      <c r="B94" s="89"/>
      <c r="C94"/>
      <c r="D94"/>
      <c r="E94" s="69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</row>
    <row r="95" spans="2:27" s="25" customFormat="1" ht="15.75" customHeight="1" x14ac:dyDescent="0.2">
      <c r="B95" s="89"/>
      <c r="C95"/>
      <c r="D95"/>
      <c r="E95" s="69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</row>
    <row r="96" spans="2:27" s="25" customFormat="1" ht="15.75" customHeight="1" x14ac:dyDescent="0.2">
      <c r="B96" s="89"/>
      <c r="C96"/>
      <c r="D96"/>
      <c r="E96" s="69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</row>
    <row r="97" spans="2:27" s="25" customFormat="1" ht="15.75" customHeight="1" x14ac:dyDescent="0.2">
      <c r="B97" s="89"/>
      <c r="C97"/>
      <c r="D97"/>
      <c r="E97" s="69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</row>
    <row r="98" spans="2:27" s="25" customFormat="1" ht="15.75" customHeight="1" x14ac:dyDescent="0.2">
      <c r="B98" s="89"/>
      <c r="C98"/>
      <c r="D98"/>
      <c r="E98" s="69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</row>
    <row r="99" spans="2:27" s="25" customFormat="1" ht="15.75" customHeight="1" x14ac:dyDescent="0.2">
      <c r="B99" s="89"/>
      <c r="C99"/>
      <c r="D99"/>
      <c r="E99" s="6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</row>
    <row r="100" spans="2:27" s="25" customFormat="1" ht="15.75" customHeight="1" x14ac:dyDescent="0.2">
      <c r="B100" s="89"/>
      <c r="C100"/>
      <c r="D100"/>
      <c r="E100" s="69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</row>
    <row r="101" spans="2:27" s="25" customFormat="1" ht="15.75" customHeight="1" x14ac:dyDescent="0.2">
      <c r="B101" s="89"/>
      <c r="C101"/>
      <c r="D101"/>
      <c r="E101" s="69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</row>
    <row r="102" spans="2:27" s="25" customFormat="1" ht="15.75" customHeight="1" x14ac:dyDescent="0.2">
      <c r="B102" s="89"/>
      <c r="C102"/>
      <c r="D102"/>
      <c r="E102" s="69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2:27" s="25" customFormat="1" ht="15.75" customHeight="1" x14ac:dyDescent="0.2">
      <c r="B103" s="89"/>
      <c r="C103"/>
      <c r="D103"/>
      <c r="E103" s="69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</row>
    <row r="104" spans="2:27" s="25" customFormat="1" ht="15.75" customHeight="1" x14ac:dyDescent="0.2">
      <c r="B104" s="89"/>
      <c r="C104"/>
      <c r="D104"/>
      <c r="E104" s="69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</row>
    <row r="105" spans="2:27" s="25" customFormat="1" ht="15.75" customHeight="1" x14ac:dyDescent="0.2">
      <c r="B105" s="89"/>
      <c r="C105"/>
      <c r="D105"/>
      <c r="E105" s="69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</row>
    <row r="106" spans="2:27" s="25" customFormat="1" ht="15.75" customHeight="1" x14ac:dyDescent="0.2">
      <c r="B106" s="89"/>
      <c r="C106"/>
      <c r="D106"/>
      <c r="E106" s="69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</row>
    <row r="107" spans="2:27" s="25" customFormat="1" ht="15.75" customHeight="1" x14ac:dyDescent="0.2">
      <c r="B107" s="89"/>
      <c r="C107"/>
      <c r="D107"/>
      <c r="E107" s="69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</row>
    <row r="108" spans="2:27" s="25" customFormat="1" ht="15.75" customHeight="1" x14ac:dyDescent="0.2">
      <c r="B108" s="89"/>
      <c r="C108"/>
      <c r="D108"/>
      <c r="E108" s="69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</row>
    <row r="109" spans="2:27" s="25" customFormat="1" ht="15.75" customHeight="1" x14ac:dyDescent="0.2">
      <c r="B109" s="89"/>
      <c r="C109"/>
      <c r="D109"/>
      <c r="E109" s="6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</row>
    <row r="110" spans="2:27" s="25" customFormat="1" ht="15.75" customHeight="1" x14ac:dyDescent="0.2">
      <c r="B110" s="89"/>
      <c r="C110"/>
      <c r="D110"/>
      <c r="E110" s="69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</row>
    <row r="111" spans="2:27" s="25" customFormat="1" ht="15.75" customHeight="1" x14ac:dyDescent="0.2">
      <c r="B111" s="89"/>
      <c r="C111"/>
      <c r="D111"/>
      <c r="E111" s="69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2:27" s="25" customFormat="1" ht="15.75" customHeight="1" x14ac:dyDescent="0.2">
      <c r="B112" s="89"/>
      <c r="C112"/>
      <c r="D112"/>
      <c r="E112" s="69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</row>
    <row r="113" spans="2:27" s="25" customFormat="1" ht="15.75" customHeight="1" x14ac:dyDescent="0.2">
      <c r="B113" s="89"/>
      <c r="C113"/>
      <c r="D113"/>
      <c r="E113" s="69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</row>
    <row r="114" spans="2:27" s="25" customFormat="1" ht="15.75" customHeight="1" x14ac:dyDescent="0.2">
      <c r="B114" s="89"/>
      <c r="C114"/>
      <c r="D114"/>
      <c r="E114" s="69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2:27" s="25" customFormat="1" ht="15.75" customHeight="1" x14ac:dyDescent="0.2">
      <c r="B115" s="89"/>
      <c r="C115"/>
      <c r="D115"/>
      <c r="E115" s="69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</row>
    <row r="116" spans="2:27" s="25" customFormat="1" ht="15.75" customHeight="1" x14ac:dyDescent="0.2">
      <c r="B116" s="89"/>
      <c r="C116"/>
      <c r="D116"/>
      <c r="E116" s="69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</row>
    <row r="117" spans="2:27" s="25" customFormat="1" ht="15.75" customHeight="1" x14ac:dyDescent="0.2">
      <c r="B117" s="89"/>
      <c r="C117"/>
      <c r="D117"/>
      <c r="E117" s="69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</row>
    <row r="118" spans="2:27" s="25" customFormat="1" ht="15.75" customHeight="1" x14ac:dyDescent="0.2">
      <c r="B118" s="89"/>
      <c r="C118"/>
      <c r="D118"/>
      <c r="E118" s="69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</row>
    <row r="119" spans="2:27" s="25" customFormat="1" ht="15.75" customHeight="1" x14ac:dyDescent="0.2">
      <c r="B119" s="89"/>
      <c r="C119"/>
      <c r="D119"/>
      <c r="E119" s="6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</row>
    <row r="120" spans="2:27" s="25" customFormat="1" ht="15.75" customHeight="1" x14ac:dyDescent="0.2">
      <c r="B120" s="89"/>
      <c r="C120"/>
      <c r="D120"/>
      <c r="E120" s="69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</row>
    <row r="121" spans="2:27" s="25" customFormat="1" ht="15.75" customHeight="1" x14ac:dyDescent="0.2">
      <c r="B121" s="89"/>
      <c r="C121"/>
      <c r="D121"/>
      <c r="E121" s="69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</row>
    <row r="122" spans="2:27" s="25" customFormat="1" ht="15.75" customHeight="1" x14ac:dyDescent="0.2">
      <c r="B122" s="89"/>
      <c r="C122"/>
      <c r="D122"/>
      <c r="E122" s="69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</row>
    <row r="123" spans="2:27" s="25" customFormat="1" ht="15.75" customHeight="1" x14ac:dyDescent="0.2">
      <c r="B123" s="89"/>
      <c r="C123"/>
      <c r="D123"/>
      <c r="E123" s="69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2:27" s="25" customFormat="1" ht="15.75" customHeight="1" x14ac:dyDescent="0.2">
      <c r="B124" s="89"/>
      <c r="C124"/>
      <c r="D124"/>
      <c r="E124" s="69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</row>
    <row r="125" spans="2:27" s="25" customFormat="1" ht="15.75" customHeight="1" x14ac:dyDescent="0.2">
      <c r="B125" s="89"/>
      <c r="C125"/>
      <c r="D125"/>
      <c r="E125" s="69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</row>
    <row r="126" spans="2:27" s="25" customFormat="1" ht="15.75" customHeight="1" x14ac:dyDescent="0.2">
      <c r="B126" s="89"/>
      <c r="C126"/>
      <c r="D126"/>
      <c r="E126" s="69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</row>
    <row r="127" spans="2:27" s="25" customFormat="1" ht="15.75" customHeight="1" x14ac:dyDescent="0.2">
      <c r="B127" s="89"/>
      <c r="C127"/>
      <c r="D127"/>
      <c r="E127" s="69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</row>
    <row r="128" spans="2:27" s="25" customFormat="1" ht="15.75" customHeight="1" x14ac:dyDescent="0.2">
      <c r="B128" s="89"/>
      <c r="C128"/>
      <c r="D128"/>
      <c r="E128" s="69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</row>
    <row r="129" spans="2:27" s="25" customFormat="1" ht="15.75" customHeight="1" x14ac:dyDescent="0.2">
      <c r="B129" s="89"/>
      <c r="C129"/>
      <c r="D129"/>
      <c r="E129" s="6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</row>
    <row r="130" spans="2:27" s="25" customFormat="1" ht="15.75" customHeight="1" x14ac:dyDescent="0.2">
      <c r="B130" s="89"/>
      <c r="C130"/>
      <c r="D130"/>
      <c r="E130" s="69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</row>
    <row r="131" spans="2:27" s="25" customFormat="1" ht="15.75" customHeight="1" x14ac:dyDescent="0.2">
      <c r="B131" s="89"/>
      <c r="C131"/>
      <c r="D131"/>
      <c r="E131" s="69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</row>
    <row r="132" spans="2:27" s="25" customFormat="1" ht="15.75" customHeight="1" x14ac:dyDescent="0.2">
      <c r="B132" s="89"/>
      <c r="C132"/>
      <c r="D132"/>
      <c r="E132" s="69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</row>
    <row r="133" spans="2:27" s="25" customFormat="1" ht="15.75" customHeight="1" x14ac:dyDescent="0.2">
      <c r="B133" s="89"/>
      <c r="C133"/>
      <c r="D133"/>
      <c r="E133" s="69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</row>
    <row r="134" spans="2:27" s="25" customFormat="1" ht="15.75" customHeight="1" x14ac:dyDescent="0.2">
      <c r="B134" s="89"/>
      <c r="C134"/>
      <c r="D134"/>
      <c r="E134" s="69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</row>
    <row r="135" spans="2:27" s="25" customFormat="1" ht="15.75" customHeight="1" x14ac:dyDescent="0.2">
      <c r="B135" s="89"/>
      <c r="C135"/>
      <c r="D135"/>
      <c r="E135" s="69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</row>
    <row r="136" spans="2:27" s="25" customFormat="1" ht="15.75" customHeight="1" x14ac:dyDescent="0.2">
      <c r="B136" s="89"/>
      <c r="C136"/>
      <c r="D136"/>
      <c r="E136" s="69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</row>
    <row r="137" spans="2:27" s="25" customFormat="1" ht="15.75" customHeight="1" x14ac:dyDescent="0.2">
      <c r="B137" s="89"/>
      <c r="C137"/>
      <c r="D137"/>
      <c r="E137" s="69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</row>
    <row r="138" spans="2:27" s="25" customFormat="1" ht="15.75" customHeight="1" x14ac:dyDescent="0.2">
      <c r="B138" s="89"/>
      <c r="C138"/>
      <c r="D138"/>
      <c r="E138" s="69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</row>
    <row r="139" spans="2:27" s="25" customFormat="1" ht="15.75" customHeight="1" x14ac:dyDescent="0.2">
      <c r="B139" s="89"/>
      <c r="C139"/>
      <c r="D139"/>
      <c r="E139" s="6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</row>
    <row r="140" spans="2:27" s="25" customFormat="1" ht="15.75" customHeight="1" x14ac:dyDescent="0.2">
      <c r="B140" s="89"/>
      <c r="C140"/>
      <c r="D140"/>
      <c r="E140" s="69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</row>
    <row r="141" spans="2:27" s="25" customFormat="1" ht="15.75" customHeight="1" x14ac:dyDescent="0.2">
      <c r="B141" s="89"/>
      <c r="C141"/>
      <c r="D141"/>
      <c r="E141" s="69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</row>
    <row r="142" spans="2:27" s="25" customFormat="1" ht="15.75" customHeight="1" x14ac:dyDescent="0.2">
      <c r="B142" s="89"/>
      <c r="C142"/>
      <c r="D142"/>
      <c r="E142" s="69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</row>
    <row r="143" spans="2:27" s="25" customFormat="1" ht="15.75" customHeight="1" x14ac:dyDescent="0.2">
      <c r="B143" s="89"/>
      <c r="C143"/>
      <c r="D143"/>
      <c r="E143" s="69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</row>
    <row r="144" spans="2:27" s="25" customFormat="1" ht="15.75" customHeight="1" x14ac:dyDescent="0.2">
      <c r="B144" s="89"/>
      <c r="C144"/>
      <c r="D144"/>
      <c r="E144" s="69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</row>
    <row r="145" spans="2:27" s="25" customFormat="1" ht="15.75" customHeight="1" x14ac:dyDescent="0.2">
      <c r="B145" s="89"/>
      <c r="C145"/>
      <c r="D145"/>
      <c r="E145" s="69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</row>
    <row r="146" spans="2:27" s="25" customFormat="1" ht="15.75" customHeight="1" x14ac:dyDescent="0.2">
      <c r="B146" s="89"/>
      <c r="C146"/>
      <c r="D146"/>
      <c r="E146" s="69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</row>
    <row r="147" spans="2:27" s="25" customFormat="1" ht="15.75" customHeight="1" x14ac:dyDescent="0.2">
      <c r="B147" s="89"/>
      <c r="C147"/>
      <c r="D147"/>
      <c r="E147" s="69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</row>
    <row r="148" spans="2:27" s="25" customFormat="1" ht="15.75" customHeight="1" x14ac:dyDescent="0.2">
      <c r="B148" s="89"/>
      <c r="C148"/>
      <c r="D148"/>
      <c r="E148" s="69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</row>
    <row r="149" spans="2:27" s="25" customFormat="1" ht="15.75" customHeight="1" x14ac:dyDescent="0.2">
      <c r="B149" s="89"/>
      <c r="C149"/>
      <c r="D149"/>
      <c r="E149" s="6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</row>
    <row r="150" spans="2:27" s="25" customFormat="1" ht="15.75" customHeight="1" x14ac:dyDescent="0.2">
      <c r="B150" s="89"/>
      <c r="C150"/>
      <c r="D150"/>
      <c r="E150" s="69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</row>
    <row r="151" spans="2:27" s="25" customFormat="1" ht="15.75" customHeight="1" x14ac:dyDescent="0.2">
      <c r="B151" s="89"/>
      <c r="C151"/>
      <c r="D151"/>
      <c r="E151" s="69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</row>
    <row r="152" spans="2:27" s="25" customFormat="1" ht="15.75" customHeight="1" x14ac:dyDescent="0.2">
      <c r="B152" s="89"/>
      <c r="C152"/>
      <c r="D152"/>
      <c r="E152" s="69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</row>
    <row r="153" spans="2:27" s="25" customFormat="1" ht="15.75" customHeight="1" x14ac:dyDescent="0.2">
      <c r="B153" s="89"/>
      <c r="C153"/>
      <c r="D153"/>
      <c r="E153" s="69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</row>
    <row r="154" spans="2:27" s="25" customFormat="1" ht="15.75" customHeight="1" x14ac:dyDescent="0.2">
      <c r="B154" s="89"/>
      <c r="C154"/>
      <c r="D154"/>
      <c r="E154" s="69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</row>
    <row r="155" spans="2:27" s="25" customFormat="1" ht="15.75" customHeight="1" x14ac:dyDescent="0.2">
      <c r="B155" s="89"/>
      <c r="C155"/>
      <c r="D155"/>
      <c r="E155" s="69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</row>
    <row r="156" spans="2:27" s="25" customFormat="1" ht="15.75" customHeight="1" x14ac:dyDescent="0.2">
      <c r="B156" s="89"/>
      <c r="C156"/>
      <c r="D156"/>
      <c r="E156" s="69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</row>
    <row r="157" spans="2:27" s="25" customFormat="1" ht="15.75" customHeight="1" x14ac:dyDescent="0.2">
      <c r="B157" s="89"/>
      <c r="C157"/>
      <c r="D157"/>
      <c r="E157" s="69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</row>
    <row r="158" spans="2:27" s="25" customFormat="1" ht="15.75" customHeight="1" x14ac:dyDescent="0.2">
      <c r="B158" s="89"/>
      <c r="C158"/>
      <c r="D158"/>
      <c r="E158" s="69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</row>
    <row r="159" spans="2:27" s="25" customFormat="1" ht="15.75" customHeight="1" x14ac:dyDescent="0.2">
      <c r="B159" s="89"/>
      <c r="C159"/>
      <c r="D159"/>
      <c r="E159" s="6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</row>
    <row r="160" spans="2:27" s="25" customFormat="1" ht="15.75" customHeight="1" x14ac:dyDescent="0.2">
      <c r="B160" s="89"/>
      <c r="C160"/>
      <c r="D160"/>
      <c r="E160" s="69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</row>
    <row r="161" spans="2:27" s="25" customFormat="1" ht="15.75" customHeight="1" x14ac:dyDescent="0.2">
      <c r="B161" s="89"/>
      <c r="C161"/>
      <c r="D161"/>
      <c r="E161" s="69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</row>
    <row r="162" spans="2:27" s="25" customFormat="1" ht="15.75" customHeight="1" x14ac:dyDescent="0.2">
      <c r="B162" s="89"/>
      <c r="C162"/>
      <c r="D162"/>
      <c r="E162" s="69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</row>
    <row r="163" spans="2:27" s="25" customFormat="1" ht="15.75" customHeight="1" x14ac:dyDescent="0.2">
      <c r="B163" s="89"/>
      <c r="C163"/>
      <c r="D163"/>
      <c r="E163" s="69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</row>
    <row r="164" spans="2:27" s="25" customFormat="1" ht="15.75" customHeight="1" x14ac:dyDescent="0.2">
      <c r="B164" s="89"/>
      <c r="C164"/>
      <c r="D164"/>
      <c r="E164" s="69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</row>
    <row r="165" spans="2:27" s="25" customFormat="1" ht="15.75" customHeight="1" x14ac:dyDescent="0.2">
      <c r="B165" s="89"/>
      <c r="C165"/>
      <c r="D165"/>
      <c r="E165" s="69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</row>
    <row r="166" spans="2:27" s="25" customFormat="1" ht="15.75" customHeight="1" x14ac:dyDescent="0.2">
      <c r="B166" s="89"/>
      <c r="C166"/>
      <c r="D166"/>
      <c r="E166" s="69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</row>
    <row r="167" spans="2:27" s="25" customFormat="1" ht="15.75" customHeight="1" x14ac:dyDescent="0.2">
      <c r="B167" s="89"/>
      <c r="C167"/>
      <c r="D167"/>
      <c r="E167" s="69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</row>
    <row r="168" spans="2:27" s="25" customFormat="1" ht="15.75" customHeight="1" x14ac:dyDescent="0.2">
      <c r="B168" s="89"/>
      <c r="C168"/>
      <c r="D168"/>
      <c r="E168" s="69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</row>
    <row r="169" spans="2:27" s="25" customFormat="1" ht="15.75" customHeight="1" x14ac:dyDescent="0.2">
      <c r="B169" s="89"/>
      <c r="C169"/>
      <c r="D169"/>
      <c r="E169" s="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</row>
    <row r="170" spans="2:27" s="25" customFormat="1" ht="15.75" customHeight="1" x14ac:dyDescent="0.2">
      <c r="B170" s="89"/>
      <c r="C170"/>
      <c r="D170"/>
      <c r="E170" s="69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</row>
    <row r="171" spans="2:27" s="25" customFormat="1" ht="15.75" customHeight="1" x14ac:dyDescent="0.2">
      <c r="B171" s="89"/>
      <c r="C171"/>
      <c r="D171"/>
      <c r="E171" s="69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</row>
    <row r="172" spans="2:27" s="25" customFormat="1" ht="15.75" customHeight="1" x14ac:dyDescent="0.2">
      <c r="B172" s="89"/>
      <c r="C172"/>
      <c r="D172"/>
      <c r="E172" s="69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</row>
    <row r="173" spans="2:27" s="25" customFormat="1" ht="15.75" customHeight="1" x14ac:dyDescent="0.2">
      <c r="B173" s="89"/>
      <c r="C173"/>
      <c r="D173"/>
      <c r="E173" s="69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</row>
    <row r="174" spans="2:27" s="25" customFormat="1" ht="15.75" customHeight="1" x14ac:dyDescent="0.2">
      <c r="B174" s="89"/>
      <c r="C174"/>
      <c r="D174"/>
      <c r="E174" s="69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</row>
    <row r="175" spans="2:27" s="25" customFormat="1" ht="15.75" customHeight="1" x14ac:dyDescent="0.2">
      <c r="B175" s="89"/>
      <c r="C175"/>
      <c r="D175"/>
      <c r="E175" s="69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</row>
    <row r="176" spans="2:27" s="25" customFormat="1" ht="15.75" customHeight="1" x14ac:dyDescent="0.2">
      <c r="B176" s="89"/>
      <c r="C176"/>
      <c r="D176"/>
      <c r="E176" s="69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</row>
    <row r="177" spans="2:27" s="25" customFormat="1" ht="15.75" customHeight="1" x14ac:dyDescent="0.2">
      <c r="B177" s="89"/>
      <c r="C177"/>
      <c r="D177"/>
      <c r="E177" s="69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</row>
    <row r="178" spans="2:27" s="25" customFormat="1" ht="15.75" customHeight="1" x14ac:dyDescent="0.2">
      <c r="B178" s="89"/>
      <c r="C178"/>
      <c r="D178"/>
      <c r="E178" s="69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</row>
    <row r="179" spans="2:27" s="25" customFormat="1" ht="15.75" customHeight="1" x14ac:dyDescent="0.2">
      <c r="B179" s="89"/>
      <c r="C179"/>
      <c r="D179"/>
      <c r="E179" s="6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</row>
    <row r="180" spans="2:27" s="25" customFormat="1" ht="15.75" customHeight="1" x14ac:dyDescent="0.2">
      <c r="B180" s="89"/>
      <c r="C180"/>
      <c r="D180"/>
      <c r="E180" s="69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</row>
    <row r="181" spans="2:27" s="25" customFormat="1" ht="15.75" customHeight="1" x14ac:dyDescent="0.2">
      <c r="B181" s="89"/>
      <c r="C181"/>
      <c r="D181"/>
      <c r="E181" s="69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</row>
    <row r="182" spans="2:27" s="25" customFormat="1" ht="15.75" customHeight="1" x14ac:dyDescent="0.2">
      <c r="B182" s="89"/>
      <c r="C182"/>
      <c r="D182"/>
      <c r="E182" s="69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</row>
    <row r="183" spans="2:27" s="25" customFormat="1" ht="15.75" customHeight="1" x14ac:dyDescent="0.2">
      <c r="B183" s="89"/>
      <c r="C183"/>
      <c r="D183"/>
      <c r="E183" s="69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</row>
    <row r="184" spans="2:27" s="25" customFormat="1" ht="15.75" customHeight="1" x14ac:dyDescent="0.2">
      <c r="B184" s="89"/>
      <c r="C184"/>
      <c r="D184"/>
      <c r="E184" s="69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</row>
    <row r="185" spans="2:27" s="25" customFormat="1" ht="15.75" customHeight="1" x14ac:dyDescent="0.2">
      <c r="B185" s="89"/>
      <c r="C185"/>
      <c r="D185"/>
      <c r="E185" s="69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</row>
    <row r="186" spans="2:27" s="25" customFormat="1" ht="15.75" customHeight="1" x14ac:dyDescent="0.2">
      <c r="B186" s="89"/>
      <c r="C186"/>
      <c r="D186"/>
      <c r="E186" s="69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</row>
    <row r="187" spans="2:27" s="25" customFormat="1" ht="15.75" customHeight="1" x14ac:dyDescent="0.2">
      <c r="B187" s="89"/>
      <c r="C187"/>
      <c r="D187"/>
      <c r="E187" s="69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</row>
    <row r="188" spans="2:27" s="25" customFormat="1" ht="15.75" customHeight="1" x14ac:dyDescent="0.2">
      <c r="B188" s="89"/>
      <c r="C188"/>
      <c r="D188"/>
      <c r="E188" s="69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</row>
    <row r="189" spans="2:27" s="25" customFormat="1" ht="15.75" customHeight="1" x14ac:dyDescent="0.2">
      <c r="B189" s="89"/>
      <c r="C189"/>
      <c r="D189"/>
      <c r="E189" s="6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</row>
    <row r="190" spans="2:27" s="25" customFormat="1" ht="15.75" customHeight="1" x14ac:dyDescent="0.2">
      <c r="B190" s="89"/>
      <c r="C190"/>
      <c r="D190"/>
      <c r="E190" s="69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</row>
    <row r="191" spans="2:27" s="25" customFormat="1" ht="15.75" customHeight="1" x14ac:dyDescent="0.2">
      <c r="B191" s="89"/>
      <c r="C191"/>
      <c r="D191"/>
      <c r="E191" s="69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</row>
    <row r="192" spans="2:27" s="25" customFormat="1" ht="15.75" customHeight="1" x14ac:dyDescent="0.2">
      <c r="B192" s="89"/>
      <c r="C192"/>
      <c r="D192"/>
      <c r="E192" s="69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</row>
    <row r="193" spans="2:27" s="25" customFormat="1" ht="15.75" customHeight="1" x14ac:dyDescent="0.2">
      <c r="B193" s="89"/>
      <c r="C193"/>
      <c r="D193"/>
      <c r="E193" s="69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</row>
    <row r="194" spans="2:27" s="25" customFormat="1" ht="15.75" customHeight="1" x14ac:dyDescent="0.2">
      <c r="B194" s="89"/>
      <c r="C194"/>
      <c r="D194"/>
      <c r="E194" s="69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</row>
    <row r="195" spans="2:27" s="25" customFormat="1" ht="15.75" customHeight="1" x14ac:dyDescent="0.2">
      <c r="B195" s="89"/>
      <c r="C195"/>
      <c r="D195"/>
      <c r="E195" s="69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</row>
    <row r="196" spans="2:27" s="25" customFormat="1" ht="15.75" customHeight="1" x14ac:dyDescent="0.2">
      <c r="B196" s="89"/>
      <c r="C196"/>
      <c r="D196"/>
      <c r="E196" s="69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</row>
    <row r="197" spans="2:27" s="25" customFormat="1" ht="15.75" customHeight="1" x14ac:dyDescent="0.2">
      <c r="B197" s="89"/>
      <c r="C197"/>
      <c r="D197"/>
      <c r="E197" s="69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</row>
    <row r="198" spans="2:27" s="25" customFormat="1" ht="15.75" customHeight="1" x14ac:dyDescent="0.2">
      <c r="B198" s="89"/>
      <c r="C198"/>
      <c r="D198"/>
      <c r="E198" s="69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</row>
    <row r="199" spans="2:27" s="25" customFormat="1" ht="15.75" customHeight="1" x14ac:dyDescent="0.2">
      <c r="B199" s="89"/>
      <c r="C199"/>
      <c r="D199"/>
      <c r="E199" s="6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</row>
    <row r="200" spans="2:27" s="25" customFormat="1" ht="15.75" customHeight="1" x14ac:dyDescent="0.2">
      <c r="B200" s="89"/>
      <c r="C200"/>
      <c r="D200"/>
      <c r="E200" s="69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</row>
    <row r="201" spans="2:27" s="25" customFormat="1" ht="15.75" customHeight="1" x14ac:dyDescent="0.2">
      <c r="B201" s="89"/>
      <c r="C201"/>
      <c r="D201"/>
      <c r="E201" s="69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</row>
    <row r="202" spans="2:27" s="25" customFormat="1" ht="15.75" customHeight="1" x14ac:dyDescent="0.2">
      <c r="B202" s="89"/>
      <c r="C202"/>
      <c r="D202"/>
      <c r="E202" s="69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</row>
    <row r="203" spans="2:27" s="25" customFormat="1" ht="15.75" customHeight="1" x14ac:dyDescent="0.2">
      <c r="B203" s="89"/>
      <c r="C203"/>
      <c r="D203"/>
      <c r="E203" s="69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</row>
    <row r="204" spans="2:27" s="25" customFormat="1" ht="15.75" customHeight="1" x14ac:dyDescent="0.2">
      <c r="B204" s="89"/>
      <c r="C204"/>
      <c r="D204"/>
      <c r="E204" s="69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</row>
    <row r="205" spans="2:27" s="25" customFormat="1" ht="15.75" customHeight="1" x14ac:dyDescent="0.2">
      <c r="B205" s="89"/>
      <c r="C205"/>
      <c r="D205"/>
      <c r="E205" s="69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</row>
    <row r="206" spans="2:27" s="25" customFormat="1" ht="15.75" customHeight="1" x14ac:dyDescent="0.2">
      <c r="B206" s="89"/>
      <c r="C206"/>
      <c r="D206"/>
      <c r="E206" s="69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</row>
    <row r="207" spans="2:27" s="25" customFormat="1" ht="15.75" customHeight="1" x14ac:dyDescent="0.2">
      <c r="B207" s="89"/>
      <c r="C207"/>
      <c r="D207"/>
      <c r="E207" s="69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</row>
    <row r="208" spans="2:27" s="25" customFormat="1" ht="15.75" customHeight="1" x14ac:dyDescent="0.2">
      <c r="B208" s="89"/>
      <c r="C208"/>
      <c r="D208"/>
      <c r="E208" s="69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</row>
    <row r="209" spans="2:27" s="25" customFormat="1" ht="15.75" customHeight="1" x14ac:dyDescent="0.2">
      <c r="B209" s="89"/>
      <c r="C209"/>
      <c r="D209"/>
      <c r="E209" s="6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</row>
    <row r="210" spans="2:27" s="25" customFormat="1" ht="15.75" customHeight="1" x14ac:dyDescent="0.2">
      <c r="B210" s="89"/>
      <c r="C210"/>
      <c r="D210"/>
      <c r="E210" s="69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</row>
    <row r="211" spans="2:27" s="25" customFormat="1" ht="15.75" customHeight="1" x14ac:dyDescent="0.2">
      <c r="B211" s="89"/>
      <c r="C211"/>
      <c r="D211"/>
      <c r="E211" s="69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</row>
    <row r="212" spans="2:27" s="25" customFormat="1" ht="15.75" customHeight="1" x14ac:dyDescent="0.2">
      <c r="B212" s="89"/>
      <c r="C212"/>
      <c r="D212"/>
      <c r="E212" s="69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</row>
    <row r="213" spans="2:27" s="25" customFormat="1" ht="15.75" customHeight="1" x14ac:dyDescent="0.2">
      <c r="B213" s="89"/>
      <c r="C213"/>
      <c r="D213"/>
      <c r="E213" s="69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</row>
    <row r="214" spans="2:27" s="25" customFormat="1" ht="15.75" customHeight="1" x14ac:dyDescent="0.2">
      <c r="B214" s="89"/>
      <c r="C214"/>
      <c r="D214"/>
      <c r="E214" s="69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</row>
    <row r="215" spans="2:27" s="25" customFormat="1" ht="15.75" customHeight="1" x14ac:dyDescent="0.2">
      <c r="B215" s="89"/>
      <c r="C215"/>
      <c r="D215"/>
      <c r="E215" s="69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</row>
    <row r="216" spans="2:27" s="25" customFormat="1" ht="15.75" customHeight="1" x14ac:dyDescent="0.2">
      <c r="B216" s="89"/>
      <c r="C216"/>
      <c r="D216"/>
      <c r="E216" s="69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</row>
    <row r="217" spans="2:27" s="25" customFormat="1" ht="15.75" customHeight="1" x14ac:dyDescent="0.2">
      <c r="B217" s="89"/>
      <c r="C217"/>
      <c r="D217"/>
      <c r="E217" s="69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</row>
    <row r="218" spans="2:27" s="25" customFormat="1" ht="15.75" customHeight="1" x14ac:dyDescent="0.2">
      <c r="B218" s="89"/>
      <c r="C218"/>
      <c r="D218"/>
      <c r="E218" s="69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</row>
    <row r="219" spans="2:27" s="25" customFormat="1" ht="15.75" customHeight="1" x14ac:dyDescent="0.2">
      <c r="B219" s="89"/>
      <c r="C219"/>
      <c r="D219"/>
      <c r="E219" s="6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</row>
    <row r="220" spans="2:27" s="25" customFormat="1" ht="15.75" customHeight="1" x14ac:dyDescent="0.2">
      <c r="B220" s="89"/>
      <c r="C220"/>
      <c r="D220"/>
      <c r="E220" s="69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</row>
    <row r="221" spans="2:27" s="25" customFormat="1" ht="15.75" customHeight="1" x14ac:dyDescent="0.2">
      <c r="B221" s="89"/>
      <c r="C221"/>
      <c r="D221"/>
      <c r="E221" s="69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</row>
    <row r="222" spans="2:27" s="25" customFormat="1" ht="15.75" customHeight="1" x14ac:dyDescent="0.2">
      <c r="B222" s="89"/>
      <c r="C222"/>
      <c r="D222"/>
      <c r="E222" s="69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</row>
    <row r="223" spans="2:27" s="25" customFormat="1" ht="15.75" customHeight="1" x14ac:dyDescent="0.2">
      <c r="B223" s="89"/>
      <c r="C223"/>
      <c r="D223"/>
      <c r="E223" s="69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</row>
    <row r="224" spans="2:27" s="25" customFormat="1" ht="15.75" customHeight="1" x14ac:dyDescent="0.2">
      <c r="B224" s="89"/>
      <c r="C224"/>
      <c r="D224"/>
      <c r="E224" s="69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</row>
    <row r="225" spans="2:27" s="25" customFormat="1" ht="15.75" customHeight="1" x14ac:dyDescent="0.2">
      <c r="B225" s="89"/>
      <c r="C225"/>
      <c r="D225"/>
      <c r="E225" s="69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</row>
    <row r="226" spans="2:27" s="25" customFormat="1" ht="15.75" customHeight="1" x14ac:dyDescent="0.2">
      <c r="B226" s="89"/>
      <c r="C226"/>
      <c r="D226"/>
      <c r="E226" s="69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</row>
    <row r="227" spans="2:27" s="25" customFormat="1" ht="15.75" customHeight="1" x14ac:dyDescent="0.2">
      <c r="B227" s="89"/>
      <c r="C227"/>
      <c r="D227"/>
      <c r="E227" s="69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</row>
    <row r="228" spans="2:27" s="25" customFormat="1" ht="15.75" customHeight="1" x14ac:dyDescent="0.2">
      <c r="B228" s="89"/>
      <c r="C228"/>
      <c r="D228"/>
      <c r="E228" s="69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</row>
    <row r="229" spans="2:27" s="25" customFormat="1" ht="15.75" customHeight="1" x14ac:dyDescent="0.2">
      <c r="B229" s="89"/>
      <c r="C229"/>
      <c r="D229"/>
      <c r="E229" s="6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</row>
    <row r="230" spans="2:27" s="25" customFormat="1" ht="15.75" customHeight="1" x14ac:dyDescent="0.2">
      <c r="B230" s="89"/>
      <c r="C230"/>
      <c r="D230"/>
      <c r="E230" s="69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</row>
    <row r="231" spans="2:27" s="25" customFormat="1" ht="15.75" customHeight="1" x14ac:dyDescent="0.2">
      <c r="B231" s="89"/>
      <c r="C231"/>
      <c r="D231"/>
      <c r="E231" s="69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</row>
    <row r="232" spans="2:27" s="25" customFormat="1" ht="15.75" customHeight="1" x14ac:dyDescent="0.2">
      <c r="B232" s="89"/>
      <c r="C232"/>
      <c r="D232"/>
      <c r="E232" s="69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</row>
    <row r="233" spans="2:27" s="25" customFormat="1" ht="15.75" customHeight="1" x14ac:dyDescent="0.2">
      <c r="B233" s="89"/>
      <c r="C233"/>
      <c r="D233"/>
      <c r="E233" s="69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</row>
    <row r="234" spans="2:27" s="25" customFormat="1" ht="15.75" customHeight="1" x14ac:dyDescent="0.2">
      <c r="B234" s="89"/>
      <c r="C234"/>
      <c r="D234"/>
      <c r="E234" s="69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</row>
    <row r="235" spans="2:27" s="25" customFormat="1" ht="15.75" customHeight="1" x14ac:dyDescent="0.2">
      <c r="B235" s="89"/>
      <c r="C235"/>
      <c r="D235"/>
      <c r="E235" s="69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</row>
    <row r="236" spans="2:27" s="25" customFormat="1" ht="15.75" customHeight="1" x14ac:dyDescent="0.2">
      <c r="B236" s="89"/>
      <c r="C236"/>
      <c r="D236"/>
      <c r="E236" s="69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</row>
    <row r="237" spans="2:27" s="25" customFormat="1" ht="15.75" customHeight="1" x14ac:dyDescent="0.2">
      <c r="B237" s="89"/>
      <c r="C237"/>
      <c r="D237"/>
      <c r="E237" s="69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</row>
    <row r="238" spans="2:27" s="25" customFormat="1" ht="15.75" customHeight="1" x14ac:dyDescent="0.2">
      <c r="B238" s="89"/>
      <c r="C238"/>
      <c r="D238"/>
      <c r="E238" s="69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</row>
    <row r="239" spans="2:27" s="25" customFormat="1" ht="15.75" customHeight="1" x14ac:dyDescent="0.2">
      <c r="B239" s="89"/>
      <c r="C239"/>
      <c r="D239"/>
      <c r="E239" s="6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</row>
    <row r="240" spans="2:27" s="25" customFormat="1" ht="15.75" customHeight="1" x14ac:dyDescent="0.2">
      <c r="B240" s="89"/>
      <c r="C240"/>
      <c r="D240"/>
      <c r="E240" s="69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</row>
    <row r="241" spans="2:27" s="25" customFormat="1" ht="15.75" customHeight="1" x14ac:dyDescent="0.2">
      <c r="B241" s="89"/>
      <c r="C241"/>
      <c r="D241"/>
      <c r="E241" s="69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</row>
    <row r="242" spans="2:27" s="25" customFormat="1" ht="15.75" customHeight="1" x14ac:dyDescent="0.2">
      <c r="B242" s="89"/>
      <c r="C242"/>
      <c r="D242"/>
      <c r="E242" s="69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</row>
    <row r="243" spans="2:27" s="25" customFormat="1" ht="15.75" customHeight="1" x14ac:dyDescent="0.2">
      <c r="B243" s="89"/>
      <c r="C243"/>
      <c r="D243"/>
      <c r="E243" s="69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</row>
    <row r="244" spans="2:27" s="25" customFormat="1" ht="15.75" customHeight="1" x14ac:dyDescent="0.2">
      <c r="B244" s="89"/>
      <c r="C244"/>
      <c r="D244"/>
      <c r="E244" s="69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</row>
    <row r="245" spans="2:27" s="25" customFormat="1" ht="15.75" customHeight="1" x14ac:dyDescent="0.2">
      <c r="B245" s="89"/>
      <c r="C245"/>
      <c r="D245"/>
      <c r="E245" s="69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</row>
    <row r="246" spans="2:27" s="25" customFormat="1" ht="15.75" customHeight="1" x14ac:dyDescent="0.2">
      <c r="B246" s="89"/>
      <c r="C246"/>
      <c r="D246"/>
      <c r="E246" s="69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</row>
    <row r="247" spans="2:27" s="25" customFormat="1" ht="15.75" customHeight="1" x14ac:dyDescent="0.2">
      <c r="B247" s="89"/>
      <c r="C247"/>
      <c r="D247"/>
      <c r="E247" s="69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</row>
    <row r="248" spans="2:27" s="25" customFormat="1" ht="15.75" customHeight="1" x14ac:dyDescent="0.2">
      <c r="B248" s="89"/>
      <c r="C248"/>
      <c r="D248"/>
      <c r="E248" s="69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</row>
    <row r="249" spans="2:27" s="25" customFormat="1" ht="15.75" customHeight="1" x14ac:dyDescent="0.2">
      <c r="B249" s="89"/>
      <c r="C249"/>
      <c r="D249"/>
      <c r="E249" s="6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</row>
    <row r="250" spans="2:27" s="25" customFormat="1" ht="15.75" customHeight="1" x14ac:dyDescent="0.2">
      <c r="B250" s="89"/>
      <c r="C250"/>
      <c r="D250"/>
      <c r="E250" s="69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</row>
    <row r="251" spans="2:27" s="25" customFormat="1" ht="15.75" customHeight="1" x14ac:dyDescent="0.2">
      <c r="B251" s="89"/>
      <c r="C251"/>
      <c r="D251"/>
      <c r="E251" s="69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</row>
    <row r="252" spans="2:27" s="25" customFormat="1" ht="15.75" customHeight="1" x14ac:dyDescent="0.2">
      <c r="B252" s="89"/>
      <c r="C252"/>
      <c r="D252"/>
      <c r="E252" s="69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</row>
    <row r="253" spans="2:27" s="25" customFormat="1" ht="15.75" customHeight="1" x14ac:dyDescent="0.2">
      <c r="B253" s="89"/>
      <c r="C253"/>
      <c r="D253"/>
      <c r="E253" s="69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</row>
    <row r="254" spans="2:27" s="25" customFormat="1" ht="15.75" customHeight="1" x14ac:dyDescent="0.2">
      <c r="B254" s="89"/>
      <c r="C254"/>
      <c r="D254"/>
      <c r="E254" s="69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</row>
    <row r="255" spans="2:27" s="25" customFormat="1" ht="15.75" customHeight="1" x14ac:dyDescent="0.2">
      <c r="B255" s="89"/>
      <c r="C255"/>
      <c r="D255"/>
      <c r="E255" s="69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</row>
    <row r="256" spans="2:27" s="25" customFormat="1" ht="15.75" customHeight="1" x14ac:dyDescent="0.2">
      <c r="B256" s="89"/>
      <c r="C256"/>
      <c r="D256"/>
      <c r="E256" s="69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</row>
    <row r="257" spans="2:27" s="25" customFormat="1" ht="15.75" customHeight="1" x14ac:dyDescent="0.2">
      <c r="B257" s="89"/>
      <c r="C257"/>
      <c r="D257"/>
      <c r="E257" s="69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</row>
    <row r="258" spans="2:27" s="25" customFormat="1" ht="15.75" customHeight="1" x14ac:dyDescent="0.2">
      <c r="B258" s="89"/>
      <c r="C258"/>
      <c r="D258"/>
      <c r="E258" s="69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</row>
    <row r="259" spans="2:27" s="25" customFormat="1" ht="15.75" customHeight="1" x14ac:dyDescent="0.2">
      <c r="B259" s="89"/>
      <c r="C259"/>
      <c r="D259"/>
      <c r="E259" s="6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</row>
    <row r="260" spans="2:27" s="25" customFormat="1" ht="15.75" customHeight="1" x14ac:dyDescent="0.2">
      <c r="B260" s="89"/>
      <c r="C260"/>
      <c r="D260"/>
      <c r="E260" s="69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</row>
    <row r="261" spans="2:27" s="25" customFormat="1" ht="15.75" customHeight="1" x14ac:dyDescent="0.2">
      <c r="B261" s="89"/>
      <c r="C261"/>
      <c r="D261"/>
      <c r="E261" s="69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</row>
    <row r="262" spans="2:27" s="25" customFormat="1" ht="15.75" customHeight="1" x14ac:dyDescent="0.2">
      <c r="B262" s="89"/>
      <c r="C262"/>
      <c r="D262"/>
      <c r="E262" s="69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</row>
    <row r="263" spans="2:27" s="25" customFormat="1" ht="15.75" customHeight="1" x14ac:dyDescent="0.2">
      <c r="B263" s="89"/>
      <c r="C263"/>
      <c r="D263"/>
      <c r="E263" s="69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</row>
    <row r="264" spans="2:27" s="25" customFormat="1" ht="15.75" customHeight="1" x14ac:dyDescent="0.2">
      <c r="B264" s="89"/>
      <c r="C264"/>
      <c r="D264"/>
      <c r="E264" s="69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</row>
    <row r="265" spans="2:27" s="25" customFormat="1" ht="15.75" customHeight="1" x14ac:dyDescent="0.2">
      <c r="B265" s="89"/>
      <c r="C265"/>
      <c r="D265"/>
      <c r="E265" s="69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</row>
    <row r="266" spans="2:27" s="25" customFormat="1" ht="15.75" customHeight="1" x14ac:dyDescent="0.2">
      <c r="B266" s="89"/>
      <c r="C266"/>
      <c r="D266"/>
      <c r="E266" s="69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</row>
    <row r="267" spans="2:27" s="25" customFormat="1" ht="15.75" customHeight="1" x14ac:dyDescent="0.2">
      <c r="B267" s="89"/>
      <c r="C267"/>
      <c r="D267"/>
      <c r="E267" s="69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</row>
    <row r="268" spans="2:27" s="25" customFormat="1" ht="15.75" customHeight="1" x14ac:dyDescent="0.2">
      <c r="B268" s="89"/>
      <c r="C268"/>
      <c r="D268"/>
      <c r="E268" s="69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</row>
    <row r="269" spans="2:27" s="25" customFormat="1" ht="15.75" customHeight="1" x14ac:dyDescent="0.2">
      <c r="B269" s="89"/>
      <c r="C269"/>
      <c r="D269"/>
      <c r="E269" s="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</row>
    <row r="270" spans="2:27" s="25" customFormat="1" ht="15.75" customHeight="1" x14ac:dyDescent="0.2">
      <c r="B270" s="89"/>
      <c r="C270"/>
      <c r="D270"/>
      <c r="E270" s="69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</row>
    <row r="271" spans="2:27" s="25" customFormat="1" ht="15.75" customHeight="1" x14ac:dyDescent="0.2">
      <c r="B271" s="89"/>
      <c r="C271"/>
      <c r="D271"/>
      <c r="E271" s="69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</row>
    <row r="272" spans="2:27" s="25" customFormat="1" ht="15.75" customHeight="1" x14ac:dyDescent="0.2">
      <c r="B272" s="89"/>
      <c r="C272"/>
      <c r="D272"/>
      <c r="E272" s="69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</row>
    <row r="273" spans="2:27" s="25" customFormat="1" ht="15.75" customHeight="1" x14ac:dyDescent="0.2">
      <c r="B273" s="89"/>
      <c r="C273"/>
      <c r="D273"/>
      <c r="E273" s="69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</row>
    <row r="274" spans="2:27" s="25" customFormat="1" ht="15.75" customHeight="1" x14ac:dyDescent="0.2">
      <c r="B274" s="89"/>
      <c r="C274"/>
      <c r="D274"/>
      <c r="E274" s="69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</row>
    <row r="275" spans="2:27" s="25" customFormat="1" ht="15.75" customHeight="1" x14ac:dyDescent="0.2">
      <c r="B275" s="89"/>
      <c r="C275"/>
      <c r="D275"/>
      <c r="E275" s="69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</row>
    <row r="276" spans="2:27" s="25" customFormat="1" ht="15.75" customHeight="1" x14ac:dyDescent="0.2">
      <c r="B276" s="89"/>
      <c r="C276"/>
      <c r="D276"/>
      <c r="E276" s="69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</row>
    <row r="277" spans="2:27" s="25" customFormat="1" ht="15.75" customHeight="1" x14ac:dyDescent="0.2">
      <c r="B277" s="89"/>
      <c r="C277"/>
      <c r="D277"/>
      <c r="E277" s="69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</row>
    <row r="278" spans="2:27" s="25" customFormat="1" ht="15.75" customHeight="1" x14ac:dyDescent="0.2">
      <c r="B278" s="89"/>
      <c r="C278"/>
      <c r="D278"/>
      <c r="E278" s="69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</row>
    <row r="279" spans="2:27" s="25" customFormat="1" ht="15.75" customHeight="1" x14ac:dyDescent="0.2">
      <c r="B279" s="89"/>
      <c r="C279"/>
      <c r="D279"/>
      <c r="E279" s="6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</row>
    <row r="280" spans="2:27" s="25" customFormat="1" ht="15.75" customHeight="1" x14ac:dyDescent="0.2">
      <c r="B280" s="89"/>
      <c r="C280"/>
      <c r="D280"/>
      <c r="E280" s="69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</row>
    <row r="281" spans="2:27" s="25" customFormat="1" ht="15.75" customHeight="1" x14ac:dyDescent="0.2">
      <c r="B281" s="89"/>
      <c r="C281"/>
      <c r="D281"/>
      <c r="E281" s="69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</row>
    <row r="282" spans="2:27" s="25" customFormat="1" ht="15.75" customHeight="1" x14ac:dyDescent="0.2">
      <c r="B282" s="89"/>
      <c r="C282"/>
      <c r="D282"/>
      <c r="E282" s="69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</row>
    <row r="283" spans="2:27" s="25" customFormat="1" ht="15.75" customHeight="1" x14ac:dyDescent="0.2">
      <c r="B283" s="89"/>
      <c r="C283"/>
      <c r="D283"/>
      <c r="E283" s="69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</row>
    <row r="284" spans="2:27" s="25" customFormat="1" ht="15.75" customHeight="1" x14ac:dyDescent="0.2">
      <c r="B284" s="89"/>
      <c r="C284"/>
      <c r="D284"/>
      <c r="E284" s="69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</row>
    <row r="285" spans="2:27" s="25" customFormat="1" ht="15.75" customHeight="1" x14ac:dyDescent="0.2">
      <c r="B285" s="89"/>
      <c r="C285"/>
      <c r="D285"/>
      <c r="E285" s="69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</row>
    <row r="286" spans="2:27" s="25" customFormat="1" ht="15.75" customHeight="1" x14ac:dyDescent="0.2">
      <c r="B286" s="89"/>
      <c r="C286"/>
      <c r="D286"/>
      <c r="E286" s="69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</row>
    <row r="287" spans="2:27" s="25" customFormat="1" ht="15.75" customHeight="1" x14ac:dyDescent="0.2">
      <c r="B287" s="89"/>
      <c r="C287"/>
      <c r="D287"/>
      <c r="E287" s="69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</row>
    <row r="288" spans="2:27" s="25" customFormat="1" ht="15.75" customHeight="1" x14ac:dyDescent="0.2">
      <c r="B288" s="89"/>
      <c r="C288"/>
      <c r="D288"/>
      <c r="E288" s="69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</row>
    <row r="289" spans="2:27" s="25" customFormat="1" ht="15.75" customHeight="1" x14ac:dyDescent="0.2">
      <c r="B289" s="89"/>
      <c r="C289"/>
      <c r="D289"/>
      <c r="E289" s="6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</row>
    <row r="290" spans="2:27" s="25" customFormat="1" ht="15.75" customHeight="1" x14ac:dyDescent="0.2">
      <c r="B290" s="89"/>
      <c r="C290"/>
      <c r="D290"/>
      <c r="E290" s="69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</row>
    <row r="291" spans="2:27" s="25" customFormat="1" ht="15.75" customHeight="1" x14ac:dyDescent="0.2">
      <c r="B291" s="89"/>
      <c r="C291"/>
      <c r="D291"/>
      <c r="E291" s="69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</row>
    <row r="292" spans="2:27" s="25" customFormat="1" ht="15.75" customHeight="1" x14ac:dyDescent="0.2">
      <c r="B292" s="89"/>
      <c r="C292"/>
      <c r="D292"/>
      <c r="E292" s="69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</row>
    <row r="293" spans="2:27" s="25" customFormat="1" ht="15.75" customHeight="1" x14ac:dyDescent="0.2">
      <c r="B293" s="89"/>
      <c r="C293"/>
      <c r="D293"/>
      <c r="E293" s="69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</row>
    <row r="294" spans="2:27" s="25" customFormat="1" ht="15.75" customHeight="1" x14ac:dyDescent="0.2">
      <c r="B294" s="89"/>
      <c r="C294"/>
      <c r="D294"/>
      <c r="E294" s="69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</row>
    <row r="295" spans="2:27" s="25" customFormat="1" ht="15.75" customHeight="1" x14ac:dyDescent="0.2">
      <c r="B295" s="89"/>
      <c r="C295"/>
      <c r="D295"/>
      <c r="E295" s="69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</row>
    <row r="296" spans="2:27" s="25" customFormat="1" ht="15.75" customHeight="1" x14ac:dyDescent="0.2">
      <c r="B296" s="89"/>
      <c r="C296"/>
      <c r="D296"/>
      <c r="E296" s="69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</row>
    <row r="297" spans="2:27" s="25" customFormat="1" ht="15.75" customHeight="1" x14ac:dyDescent="0.2">
      <c r="B297" s="89"/>
      <c r="C297"/>
      <c r="D297"/>
      <c r="E297" s="69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</row>
    <row r="298" spans="2:27" s="25" customFormat="1" ht="15.75" customHeight="1" x14ac:dyDescent="0.2">
      <c r="B298" s="89"/>
      <c r="C298"/>
      <c r="D298"/>
      <c r="E298" s="69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</row>
    <row r="299" spans="2:27" s="25" customFormat="1" ht="15.75" customHeight="1" x14ac:dyDescent="0.2">
      <c r="B299" s="89"/>
      <c r="C299"/>
      <c r="D299"/>
      <c r="E299" s="6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</row>
    <row r="300" spans="2:27" s="25" customFormat="1" ht="15.75" customHeight="1" x14ac:dyDescent="0.2">
      <c r="B300" s="89"/>
      <c r="C300"/>
      <c r="D300"/>
      <c r="E300" s="69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</row>
    <row r="301" spans="2:27" s="25" customFormat="1" ht="15.75" customHeight="1" x14ac:dyDescent="0.2">
      <c r="B301" s="89"/>
      <c r="C301"/>
      <c r="D301"/>
      <c r="E301" s="69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</row>
    <row r="302" spans="2:27" s="25" customFormat="1" ht="15.75" customHeight="1" x14ac:dyDescent="0.2">
      <c r="B302" s="89"/>
      <c r="C302"/>
      <c r="D302"/>
      <c r="E302" s="69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</row>
    <row r="303" spans="2:27" s="25" customFormat="1" ht="15.75" customHeight="1" x14ac:dyDescent="0.2">
      <c r="B303" s="89"/>
      <c r="C303"/>
      <c r="D303"/>
      <c r="E303" s="69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</row>
    <row r="304" spans="2:27" s="25" customFormat="1" ht="15.75" customHeight="1" x14ac:dyDescent="0.2">
      <c r="B304" s="89"/>
      <c r="C304"/>
      <c r="D304"/>
      <c r="E304" s="69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</row>
    <row r="305" spans="2:27" s="25" customFormat="1" ht="15.75" customHeight="1" x14ac:dyDescent="0.2">
      <c r="B305" s="89"/>
      <c r="C305"/>
      <c r="D305"/>
      <c r="E305" s="69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</row>
    <row r="306" spans="2:27" s="25" customFormat="1" ht="15.75" customHeight="1" x14ac:dyDescent="0.2">
      <c r="B306" s="89"/>
      <c r="C306"/>
      <c r="D306"/>
      <c r="E306" s="69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</row>
    <row r="307" spans="2:27" s="25" customFormat="1" ht="15.75" customHeight="1" x14ac:dyDescent="0.2">
      <c r="B307" s="89"/>
      <c r="C307"/>
      <c r="D307"/>
      <c r="E307" s="69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</row>
    <row r="308" spans="2:27" s="25" customFormat="1" ht="15.75" customHeight="1" x14ac:dyDescent="0.2">
      <c r="B308" s="89"/>
      <c r="C308"/>
      <c r="D308"/>
      <c r="E308" s="69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</row>
    <row r="309" spans="2:27" s="25" customFormat="1" ht="15.75" customHeight="1" x14ac:dyDescent="0.2">
      <c r="B309" s="89"/>
      <c r="C309"/>
      <c r="D309"/>
      <c r="E309" s="6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</row>
    <row r="310" spans="2:27" s="25" customFormat="1" ht="15.75" customHeight="1" x14ac:dyDescent="0.2">
      <c r="B310" s="89"/>
      <c r="C310"/>
      <c r="D310"/>
      <c r="E310" s="69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</row>
    <row r="311" spans="2:27" s="25" customFormat="1" ht="15.75" customHeight="1" x14ac:dyDescent="0.2">
      <c r="B311" s="89"/>
      <c r="C311"/>
      <c r="D311"/>
      <c r="E311" s="69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</row>
    <row r="312" spans="2:27" s="25" customFormat="1" ht="15.75" customHeight="1" x14ac:dyDescent="0.2">
      <c r="B312" s="89"/>
      <c r="C312"/>
      <c r="D312"/>
      <c r="E312" s="69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</row>
    <row r="313" spans="2:27" s="25" customFormat="1" ht="15.75" customHeight="1" x14ac:dyDescent="0.2">
      <c r="B313" s="89"/>
      <c r="C313"/>
      <c r="D313"/>
      <c r="E313" s="69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</row>
    <row r="314" spans="2:27" s="25" customFormat="1" ht="15.75" customHeight="1" x14ac:dyDescent="0.2">
      <c r="B314" s="89"/>
      <c r="C314"/>
      <c r="D314"/>
      <c r="E314" s="69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</row>
    <row r="315" spans="2:27" s="25" customFormat="1" ht="15.75" customHeight="1" x14ac:dyDescent="0.2">
      <c r="B315" s="89"/>
      <c r="C315"/>
      <c r="D315"/>
      <c r="E315" s="69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</row>
    <row r="316" spans="2:27" s="25" customFormat="1" ht="15.75" customHeight="1" x14ac:dyDescent="0.2">
      <c r="B316" s="89"/>
      <c r="C316"/>
      <c r="D316"/>
      <c r="E316" s="69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</row>
    <row r="317" spans="2:27" s="25" customFormat="1" ht="15.75" customHeight="1" x14ac:dyDescent="0.2">
      <c r="B317" s="89"/>
      <c r="C317"/>
      <c r="D317"/>
      <c r="E317" s="69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</row>
    <row r="318" spans="2:27" s="25" customFormat="1" ht="15.75" customHeight="1" x14ac:dyDescent="0.2">
      <c r="B318" s="89"/>
      <c r="C318"/>
      <c r="D318"/>
      <c r="E318" s="69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</row>
    <row r="319" spans="2:27" s="25" customFormat="1" ht="15.75" customHeight="1" x14ac:dyDescent="0.2">
      <c r="B319" s="89"/>
      <c r="C319"/>
      <c r="D319"/>
      <c r="E319" s="6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</row>
    <row r="320" spans="2:27" s="25" customFormat="1" ht="15.75" customHeight="1" x14ac:dyDescent="0.2">
      <c r="B320" s="89"/>
      <c r="C320"/>
      <c r="D320"/>
      <c r="E320" s="69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</row>
    <row r="321" spans="2:27" s="25" customFormat="1" ht="15.75" customHeight="1" x14ac:dyDescent="0.2">
      <c r="B321" s="89"/>
      <c r="C321"/>
      <c r="D321"/>
      <c r="E321" s="69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</row>
    <row r="322" spans="2:27" s="25" customFormat="1" ht="15.75" customHeight="1" x14ac:dyDescent="0.2">
      <c r="B322" s="89"/>
      <c r="C322"/>
      <c r="D322"/>
      <c r="E322" s="69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</row>
    <row r="323" spans="2:27" s="25" customFormat="1" ht="15.75" customHeight="1" x14ac:dyDescent="0.2">
      <c r="B323" s="89"/>
      <c r="C323"/>
      <c r="D323"/>
      <c r="E323" s="69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</row>
    <row r="324" spans="2:27" s="25" customFormat="1" ht="15.75" customHeight="1" x14ac:dyDescent="0.2">
      <c r="B324" s="89"/>
      <c r="C324"/>
      <c r="D324"/>
      <c r="E324" s="69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</row>
    <row r="325" spans="2:27" s="25" customFormat="1" ht="15.75" customHeight="1" x14ac:dyDescent="0.2">
      <c r="B325" s="89"/>
      <c r="C325"/>
      <c r="D325"/>
      <c r="E325" s="69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</row>
    <row r="326" spans="2:27" s="25" customFormat="1" ht="15.75" customHeight="1" x14ac:dyDescent="0.2">
      <c r="B326" s="89"/>
      <c r="C326"/>
      <c r="D326"/>
      <c r="E326" s="69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</row>
    <row r="327" spans="2:27" s="25" customFormat="1" ht="15.75" customHeight="1" x14ac:dyDescent="0.2">
      <c r="B327" s="89"/>
      <c r="C327"/>
      <c r="D327"/>
      <c r="E327" s="69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</row>
    <row r="328" spans="2:27" s="25" customFormat="1" ht="15.75" customHeight="1" x14ac:dyDescent="0.2">
      <c r="B328" s="89"/>
      <c r="C328"/>
      <c r="D328"/>
      <c r="E328" s="69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</row>
    <row r="329" spans="2:27" s="25" customFormat="1" ht="15.75" customHeight="1" x14ac:dyDescent="0.2">
      <c r="B329" s="89"/>
      <c r="C329"/>
      <c r="D329"/>
      <c r="E329" s="6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</row>
    <row r="330" spans="2:27" s="25" customFormat="1" ht="15.75" customHeight="1" x14ac:dyDescent="0.2">
      <c r="B330" s="89"/>
      <c r="C330"/>
      <c r="D330"/>
      <c r="E330" s="69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</row>
    <row r="331" spans="2:27" s="25" customFormat="1" ht="15.75" customHeight="1" x14ac:dyDescent="0.2">
      <c r="B331" s="89"/>
      <c r="C331"/>
      <c r="D331"/>
      <c r="E331" s="69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</row>
    <row r="332" spans="2:27" s="25" customFormat="1" ht="15.75" customHeight="1" x14ac:dyDescent="0.2">
      <c r="B332" s="89"/>
      <c r="C332"/>
      <c r="D332"/>
      <c r="E332" s="69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</row>
    <row r="333" spans="2:27" s="25" customFormat="1" ht="15.75" customHeight="1" x14ac:dyDescent="0.2">
      <c r="B333" s="89"/>
      <c r="C333"/>
      <c r="D333"/>
      <c r="E333" s="69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</row>
    <row r="334" spans="2:27" s="25" customFormat="1" ht="15.75" customHeight="1" x14ac:dyDescent="0.2">
      <c r="B334" s="89"/>
      <c r="C334"/>
      <c r="D334"/>
      <c r="E334" s="69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</row>
    <row r="335" spans="2:27" s="25" customFormat="1" ht="15.75" customHeight="1" x14ac:dyDescent="0.2">
      <c r="B335" s="89"/>
      <c r="C335"/>
      <c r="D335"/>
      <c r="E335" s="69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</row>
    <row r="336" spans="2:27" s="25" customFormat="1" ht="15.75" customHeight="1" x14ac:dyDescent="0.2">
      <c r="B336" s="89"/>
      <c r="C336"/>
      <c r="D336"/>
      <c r="E336" s="69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</row>
    <row r="337" spans="2:27" s="25" customFormat="1" ht="15.75" customHeight="1" x14ac:dyDescent="0.2">
      <c r="B337" s="89"/>
      <c r="C337"/>
      <c r="D337"/>
      <c r="E337" s="69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</row>
    <row r="338" spans="2:27" s="25" customFormat="1" ht="15.75" customHeight="1" x14ac:dyDescent="0.2">
      <c r="B338" s="89"/>
      <c r="C338"/>
      <c r="D338"/>
      <c r="E338" s="69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</row>
    <row r="339" spans="2:27" s="25" customFormat="1" ht="15.75" customHeight="1" x14ac:dyDescent="0.2">
      <c r="B339" s="89"/>
      <c r="C339"/>
      <c r="D339"/>
      <c r="E339" s="6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</row>
    <row r="340" spans="2:27" s="25" customFormat="1" ht="15.75" customHeight="1" x14ac:dyDescent="0.2">
      <c r="B340" s="89"/>
      <c r="C340"/>
      <c r="D340"/>
      <c r="E340" s="69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</row>
    <row r="341" spans="2:27" s="25" customFormat="1" ht="15.75" customHeight="1" x14ac:dyDescent="0.2">
      <c r="B341" s="89"/>
      <c r="C341"/>
      <c r="D341"/>
      <c r="E341" s="69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</row>
    <row r="342" spans="2:27" s="25" customFormat="1" ht="15.75" customHeight="1" x14ac:dyDescent="0.2">
      <c r="B342" s="89"/>
      <c r="C342"/>
      <c r="D342"/>
      <c r="E342" s="69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</row>
    <row r="343" spans="2:27" s="25" customFormat="1" ht="15.75" customHeight="1" x14ac:dyDescent="0.2">
      <c r="B343" s="89"/>
      <c r="C343"/>
      <c r="D343"/>
      <c r="E343" s="69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</row>
    <row r="344" spans="2:27" s="25" customFormat="1" ht="15.75" customHeight="1" x14ac:dyDescent="0.2">
      <c r="B344" s="89"/>
      <c r="C344"/>
      <c r="D344"/>
      <c r="E344" s="69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</row>
    <row r="345" spans="2:27" s="25" customFormat="1" ht="15.75" customHeight="1" x14ac:dyDescent="0.2">
      <c r="B345" s="89"/>
      <c r="C345"/>
      <c r="D345"/>
      <c r="E345" s="69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</row>
    <row r="346" spans="2:27" s="25" customFormat="1" ht="15.75" customHeight="1" x14ac:dyDescent="0.2">
      <c r="B346" s="89"/>
      <c r="C346"/>
      <c r="D346"/>
      <c r="E346" s="69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</row>
    <row r="347" spans="2:27" s="25" customFormat="1" ht="15.75" customHeight="1" x14ac:dyDescent="0.2">
      <c r="B347" s="89"/>
      <c r="C347"/>
      <c r="D347"/>
      <c r="E347" s="69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</row>
    <row r="348" spans="2:27" s="25" customFormat="1" ht="15.75" customHeight="1" x14ac:dyDescent="0.2">
      <c r="B348" s="89"/>
      <c r="C348"/>
      <c r="D348"/>
      <c r="E348" s="69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</row>
    <row r="349" spans="2:27" s="25" customFormat="1" ht="15.75" customHeight="1" x14ac:dyDescent="0.2">
      <c r="B349" s="89"/>
      <c r="C349"/>
      <c r="D349"/>
      <c r="E349" s="6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</row>
    <row r="350" spans="2:27" s="25" customFormat="1" ht="15.75" customHeight="1" x14ac:dyDescent="0.2">
      <c r="B350" s="89"/>
      <c r="C350"/>
      <c r="D350"/>
      <c r="E350" s="69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</row>
    <row r="351" spans="2:27" s="25" customFormat="1" ht="15.75" customHeight="1" x14ac:dyDescent="0.2">
      <c r="B351" s="89"/>
      <c r="C351"/>
      <c r="D351"/>
      <c r="E351" s="69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</row>
    <row r="352" spans="2:27" s="25" customFormat="1" ht="15.75" customHeight="1" x14ac:dyDescent="0.2">
      <c r="B352" s="89"/>
      <c r="C352"/>
      <c r="D352"/>
      <c r="E352" s="69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</row>
    <row r="353" spans="2:27" s="25" customFormat="1" ht="15.75" customHeight="1" x14ac:dyDescent="0.2">
      <c r="B353" s="89"/>
      <c r="C353"/>
      <c r="D353"/>
      <c r="E353" s="69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</row>
    <row r="354" spans="2:27" s="25" customFormat="1" ht="15.75" customHeight="1" x14ac:dyDescent="0.2">
      <c r="B354" s="89"/>
      <c r="C354"/>
      <c r="D354"/>
      <c r="E354" s="69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  <c r="AA354"/>
    </row>
    <row r="355" spans="2:27" s="25" customFormat="1" ht="15.75" customHeight="1" x14ac:dyDescent="0.2">
      <c r="B355" s="89"/>
      <c r="C355"/>
      <c r="D355"/>
      <c r="E355" s="69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</row>
    <row r="356" spans="2:27" s="25" customFormat="1" ht="15.75" customHeight="1" x14ac:dyDescent="0.2">
      <c r="B356" s="89"/>
      <c r="C356"/>
      <c r="D356"/>
      <c r="E356" s="69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</row>
    <row r="357" spans="2:27" s="25" customFormat="1" ht="15.75" customHeight="1" x14ac:dyDescent="0.2">
      <c r="B357" s="89"/>
      <c r="C357"/>
      <c r="D357"/>
      <c r="E357" s="69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</row>
    <row r="358" spans="2:27" s="25" customFormat="1" ht="15.75" customHeight="1" x14ac:dyDescent="0.2">
      <c r="B358" s="89"/>
      <c r="C358"/>
      <c r="D358"/>
      <c r="E358" s="69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</row>
    <row r="359" spans="2:27" s="25" customFormat="1" ht="15.75" customHeight="1" x14ac:dyDescent="0.2">
      <c r="B359" s="89"/>
      <c r="C359"/>
      <c r="D359"/>
      <c r="E359" s="6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</row>
    <row r="360" spans="2:27" s="25" customFormat="1" ht="15.75" customHeight="1" x14ac:dyDescent="0.2">
      <c r="B360" s="89"/>
      <c r="C360"/>
      <c r="D360"/>
      <c r="E360" s="69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</row>
    <row r="361" spans="2:27" s="25" customFormat="1" ht="15.75" customHeight="1" x14ac:dyDescent="0.2">
      <c r="B361" s="89"/>
      <c r="C361"/>
      <c r="D361"/>
      <c r="E361" s="69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</row>
    <row r="362" spans="2:27" s="25" customFormat="1" ht="15.75" customHeight="1" x14ac:dyDescent="0.2">
      <c r="B362" s="89"/>
      <c r="C362"/>
      <c r="D362"/>
      <c r="E362" s="69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</row>
    <row r="363" spans="2:27" s="25" customFormat="1" ht="15.75" customHeight="1" x14ac:dyDescent="0.2">
      <c r="B363" s="89"/>
      <c r="C363"/>
      <c r="D363"/>
      <c r="E363" s="69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</row>
    <row r="364" spans="2:27" s="25" customFormat="1" ht="15.75" customHeight="1" x14ac:dyDescent="0.2">
      <c r="B364" s="89"/>
      <c r="C364"/>
      <c r="D364"/>
      <c r="E364" s="69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</row>
    <row r="365" spans="2:27" s="25" customFormat="1" ht="15.75" customHeight="1" x14ac:dyDescent="0.2">
      <c r="B365" s="89"/>
      <c r="C365"/>
      <c r="D365"/>
      <c r="E365" s="69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</row>
    <row r="366" spans="2:27" s="25" customFormat="1" ht="15.75" customHeight="1" x14ac:dyDescent="0.2">
      <c r="B366" s="89"/>
      <c r="C366"/>
      <c r="D366"/>
      <c r="E366" s="69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</row>
    <row r="367" spans="2:27" s="25" customFormat="1" ht="15.75" customHeight="1" x14ac:dyDescent="0.2">
      <c r="B367" s="89"/>
      <c r="C367"/>
      <c r="D367"/>
      <c r="E367" s="69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</row>
    <row r="368" spans="2:27" s="25" customFormat="1" ht="15.75" customHeight="1" x14ac:dyDescent="0.2">
      <c r="B368" s="89"/>
      <c r="C368"/>
      <c r="D368"/>
      <c r="E368" s="69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</row>
    <row r="369" spans="2:27" s="25" customFormat="1" ht="15.75" customHeight="1" x14ac:dyDescent="0.2">
      <c r="B369" s="89"/>
      <c r="C369"/>
      <c r="D369"/>
      <c r="E369" s="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</row>
    <row r="370" spans="2:27" s="25" customFormat="1" ht="15.75" customHeight="1" x14ac:dyDescent="0.2">
      <c r="B370" s="89"/>
      <c r="C370"/>
      <c r="D370"/>
      <c r="E370" s="69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</row>
    <row r="371" spans="2:27" s="25" customFormat="1" ht="15.75" customHeight="1" x14ac:dyDescent="0.2">
      <c r="B371" s="89"/>
      <c r="C371"/>
      <c r="D371"/>
      <c r="E371" s="69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</row>
    <row r="372" spans="2:27" s="25" customFormat="1" ht="15.75" customHeight="1" x14ac:dyDescent="0.2">
      <c r="B372" s="89"/>
      <c r="C372"/>
      <c r="D372"/>
      <c r="E372" s="69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</row>
    <row r="373" spans="2:27" s="25" customFormat="1" ht="15.75" customHeight="1" x14ac:dyDescent="0.2">
      <c r="B373" s="89"/>
      <c r="C373"/>
      <c r="D373"/>
      <c r="E373" s="69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</row>
    <row r="374" spans="2:27" s="25" customFormat="1" ht="15.75" customHeight="1" x14ac:dyDescent="0.2">
      <c r="B374" s="89"/>
      <c r="C374"/>
      <c r="D374"/>
      <c r="E374" s="69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</row>
    <row r="375" spans="2:27" s="25" customFormat="1" ht="15.75" customHeight="1" x14ac:dyDescent="0.2">
      <c r="B375" s="89"/>
      <c r="C375"/>
      <c r="D375"/>
      <c r="E375" s="69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</row>
    <row r="376" spans="2:27" s="25" customFormat="1" ht="15.75" customHeight="1" x14ac:dyDescent="0.2">
      <c r="B376" s="89"/>
      <c r="C376"/>
      <c r="D376"/>
      <c r="E376" s="69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</row>
    <row r="377" spans="2:27" s="25" customFormat="1" ht="15.75" customHeight="1" x14ac:dyDescent="0.2">
      <c r="B377" s="89"/>
      <c r="C377"/>
      <c r="D377"/>
      <c r="E377" s="69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</row>
    <row r="378" spans="2:27" s="25" customFormat="1" ht="15.75" customHeight="1" x14ac:dyDescent="0.2">
      <c r="B378" s="89"/>
      <c r="C378"/>
      <c r="D378"/>
      <c r="E378" s="69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</row>
    <row r="379" spans="2:27" s="25" customFormat="1" ht="15.75" customHeight="1" x14ac:dyDescent="0.2">
      <c r="B379" s="89"/>
      <c r="C379"/>
      <c r="D379"/>
      <c r="E379" s="6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</row>
    <row r="380" spans="2:27" s="25" customFormat="1" ht="15.75" customHeight="1" x14ac:dyDescent="0.2">
      <c r="B380" s="89"/>
      <c r="C380"/>
      <c r="D380"/>
      <c r="E380" s="69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</row>
    <row r="381" spans="2:27" s="25" customFormat="1" ht="15.75" customHeight="1" x14ac:dyDescent="0.2">
      <c r="B381" s="89"/>
      <c r="C381"/>
      <c r="D381"/>
      <c r="E381" s="69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  <c r="AA381"/>
    </row>
    <row r="382" spans="2:27" s="25" customFormat="1" ht="15.75" customHeight="1" x14ac:dyDescent="0.2">
      <c r="B382" s="89"/>
      <c r="C382"/>
      <c r="D382"/>
      <c r="E382" s="69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  <c r="AA382"/>
    </row>
    <row r="383" spans="2:27" s="25" customFormat="1" ht="15.75" customHeight="1" x14ac:dyDescent="0.2">
      <c r="B383" s="89"/>
      <c r="C383"/>
      <c r="D383"/>
      <c r="E383" s="69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  <c r="AA383"/>
    </row>
    <row r="384" spans="2:27" s="25" customFormat="1" ht="15.75" customHeight="1" x14ac:dyDescent="0.2">
      <c r="B384" s="89"/>
      <c r="C384"/>
      <c r="D384"/>
      <c r="E384" s="69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</row>
    <row r="385" spans="2:27" s="25" customFormat="1" ht="15.75" customHeight="1" x14ac:dyDescent="0.2">
      <c r="B385" s="89"/>
      <c r="C385"/>
      <c r="D385"/>
      <c r="E385" s="69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  <c r="AA385"/>
    </row>
    <row r="386" spans="2:27" s="25" customFormat="1" ht="15.75" customHeight="1" x14ac:dyDescent="0.2">
      <c r="B386" s="89"/>
      <c r="C386"/>
      <c r="D386"/>
      <c r="E386" s="69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</row>
    <row r="387" spans="2:27" s="25" customFormat="1" ht="15.75" customHeight="1" x14ac:dyDescent="0.2">
      <c r="B387" s="89"/>
      <c r="C387"/>
      <c r="D387"/>
      <c r="E387" s="69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/>
    </row>
    <row r="388" spans="2:27" s="25" customFormat="1" ht="15.75" customHeight="1" x14ac:dyDescent="0.2">
      <c r="B388" s="89"/>
      <c r="C388"/>
      <c r="D388"/>
      <c r="E388" s="69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</row>
    <row r="389" spans="2:27" s="25" customFormat="1" ht="15.75" customHeight="1" x14ac:dyDescent="0.2">
      <c r="B389" s="89"/>
      <c r="C389"/>
      <c r="D389"/>
      <c r="E389" s="6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</row>
    <row r="390" spans="2:27" s="25" customFormat="1" ht="15.75" customHeight="1" x14ac:dyDescent="0.2">
      <c r="B390" s="89"/>
      <c r="C390"/>
      <c r="D390"/>
      <c r="E390" s="69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</row>
    <row r="391" spans="2:27" s="25" customFormat="1" ht="15.75" customHeight="1" x14ac:dyDescent="0.2">
      <c r="B391" s="89"/>
      <c r="C391"/>
      <c r="D391"/>
      <c r="E391" s="69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  <c r="AA391"/>
    </row>
    <row r="392" spans="2:27" s="25" customFormat="1" ht="15.75" customHeight="1" x14ac:dyDescent="0.2">
      <c r="B392" s="89"/>
      <c r="C392"/>
      <c r="D392"/>
      <c r="E392" s="69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</row>
    <row r="393" spans="2:27" s="25" customFormat="1" ht="15.75" customHeight="1" x14ac:dyDescent="0.2">
      <c r="B393" s="89"/>
      <c r="C393"/>
      <c r="D393"/>
      <c r="E393" s="69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  <c r="AA393"/>
    </row>
    <row r="394" spans="2:27" s="25" customFormat="1" ht="15.75" customHeight="1" x14ac:dyDescent="0.2">
      <c r="B394" s="89"/>
      <c r="C394"/>
      <c r="D394"/>
      <c r="E394" s="69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  <c r="AA394"/>
    </row>
    <row r="395" spans="2:27" s="25" customFormat="1" ht="15.75" customHeight="1" x14ac:dyDescent="0.2">
      <c r="B395" s="89"/>
      <c r="C395"/>
      <c r="D395"/>
      <c r="E395" s="69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  <c r="AA395"/>
    </row>
    <row r="396" spans="2:27" s="25" customFormat="1" ht="15.75" customHeight="1" x14ac:dyDescent="0.2">
      <c r="B396" s="89"/>
      <c r="C396"/>
      <c r="D396"/>
      <c r="E396" s="69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</row>
    <row r="397" spans="2:27" s="25" customFormat="1" ht="15.75" customHeight="1" x14ac:dyDescent="0.2">
      <c r="B397" s="89"/>
      <c r="C397"/>
      <c r="D397"/>
      <c r="E397" s="69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</row>
    <row r="398" spans="2:27" s="25" customFormat="1" ht="15.75" customHeight="1" x14ac:dyDescent="0.2">
      <c r="B398" s="89"/>
      <c r="C398"/>
      <c r="D398"/>
      <c r="E398" s="69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</row>
    <row r="399" spans="2:27" s="25" customFormat="1" ht="15.75" customHeight="1" x14ac:dyDescent="0.2">
      <c r="B399" s="89"/>
      <c r="C399"/>
      <c r="D399"/>
      <c r="E399" s="6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</row>
    <row r="400" spans="2:27" s="25" customFormat="1" ht="15.75" customHeight="1" x14ac:dyDescent="0.2">
      <c r="B400" s="89"/>
      <c r="C400"/>
      <c r="D400"/>
      <c r="E400" s="69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</row>
    <row r="401" spans="2:27" s="25" customFormat="1" ht="15.75" customHeight="1" x14ac:dyDescent="0.2">
      <c r="B401" s="89"/>
      <c r="C401"/>
      <c r="D401"/>
      <c r="E401" s="69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</row>
    <row r="402" spans="2:27" s="25" customFormat="1" ht="15.75" customHeight="1" x14ac:dyDescent="0.2">
      <c r="B402" s="89"/>
      <c r="C402"/>
      <c r="D402"/>
      <c r="E402" s="69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</row>
    <row r="403" spans="2:27" s="25" customFormat="1" ht="15.75" customHeight="1" x14ac:dyDescent="0.2">
      <c r="B403" s="89"/>
      <c r="C403"/>
      <c r="D403"/>
      <c r="E403" s="69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</row>
    <row r="404" spans="2:27" s="25" customFormat="1" ht="15.75" customHeight="1" x14ac:dyDescent="0.2">
      <c r="B404" s="89"/>
      <c r="C404"/>
      <c r="D404"/>
      <c r="E404" s="69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</row>
    <row r="405" spans="2:27" s="25" customFormat="1" ht="15.75" customHeight="1" x14ac:dyDescent="0.2">
      <c r="B405" s="89"/>
      <c r="C405"/>
      <c r="D405"/>
      <c r="E405" s="69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</row>
    <row r="406" spans="2:27" s="25" customFormat="1" ht="15.75" customHeight="1" x14ac:dyDescent="0.2">
      <c r="B406" s="89"/>
      <c r="C406"/>
      <c r="D406"/>
      <c r="E406" s="69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  <c r="AA406"/>
    </row>
    <row r="407" spans="2:27" s="25" customFormat="1" ht="15.75" customHeight="1" x14ac:dyDescent="0.2">
      <c r="B407" s="89"/>
      <c r="C407"/>
      <c r="D407"/>
      <c r="E407" s="69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  <c r="AA407"/>
    </row>
    <row r="408" spans="2:27" s="25" customFormat="1" ht="15.75" customHeight="1" x14ac:dyDescent="0.2">
      <c r="B408" s="89"/>
      <c r="C408"/>
      <c r="D408"/>
      <c r="E408" s="69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</row>
    <row r="409" spans="2:27" s="25" customFormat="1" ht="15.75" customHeight="1" x14ac:dyDescent="0.2">
      <c r="B409" s="89"/>
      <c r="C409"/>
      <c r="D409"/>
      <c r="E409" s="6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</row>
    <row r="410" spans="2:27" s="25" customFormat="1" ht="15.75" customHeight="1" x14ac:dyDescent="0.2">
      <c r="B410" s="89"/>
      <c r="C410"/>
      <c r="D410"/>
      <c r="E410" s="69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</row>
    <row r="411" spans="2:27" s="25" customFormat="1" ht="15.75" customHeight="1" x14ac:dyDescent="0.2">
      <c r="B411" s="89"/>
      <c r="C411"/>
      <c r="D411"/>
      <c r="E411" s="69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  <c r="AA411"/>
    </row>
    <row r="412" spans="2:27" s="25" customFormat="1" ht="15.75" customHeight="1" x14ac:dyDescent="0.2">
      <c r="B412" s="89"/>
      <c r="C412"/>
      <c r="D412"/>
      <c r="E412" s="69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</row>
    <row r="413" spans="2:27" s="25" customFormat="1" ht="15.75" customHeight="1" x14ac:dyDescent="0.2">
      <c r="B413" s="89"/>
      <c r="C413"/>
      <c r="D413"/>
      <c r="E413" s="69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/>
    </row>
    <row r="414" spans="2:27" s="25" customFormat="1" ht="15.75" customHeight="1" x14ac:dyDescent="0.2">
      <c r="B414" s="89"/>
      <c r="C414"/>
      <c r="D414"/>
      <c r="E414" s="69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  <c r="AA414"/>
    </row>
    <row r="415" spans="2:27" s="25" customFormat="1" ht="15.75" customHeight="1" x14ac:dyDescent="0.2">
      <c r="B415" s="89"/>
      <c r="C415"/>
      <c r="D415"/>
      <c r="E415" s="69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  <c r="Z415"/>
      <c r="AA415"/>
    </row>
    <row r="416" spans="2:27" s="25" customFormat="1" ht="15.75" customHeight="1" x14ac:dyDescent="0.2">
      <c r="B416" s="89"/>
      <c r="C416"/>
      <c r="D416"/>
      <c r="E416" s="69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  <c r="AA416"/>
    </row>
    <row r="417" spans="2:27" s="25" customFormat="1" ht="15.75" customHeight="1" x14ac:dyDescent="0.2">
      <c r="B417" s="89"/>
      <c r="C417"/>
      <c r="D417"/>
      <c r="E417" s="69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  <c r="AA417"/>
    </row>
    <row r="418" spans="2:27" s="25" customFormat="1" ht="15.75" customHeight="1" x14ac:dyDescent="0.2">
      <c r="B418" s="89"/>
      <c r="C418"/>
      <c r="D418"/>
      <c r="E418" s="69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  <c r="AA418"/>
    </row>
    <row r="419" spans="2:27" s="25" customFormat="1" ht="15.75" customHeight="1" x14ac:dyDescent="0.2">
      <c r="B419" s="89"/>
      <c r="C419"/>
      <c r="D419"/>
      <c r="E419" s="6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  <c r="AA419"/>
    </row>
    <row r="420" spans="2:27" s="25" customFormat="1" ht="15.75" customHeight="1" x14ac:dyDescent="0.2">
      <c r="B420" s="89"/>
      <c r="C420"/>
      <c r="D420"/>
      <c r="E420" s="69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</row>
    <row r="421" spans="2:27" s="25" customFormat="1" ht="15.75" customHeight="1" x14ac:dyDescent="0.2">
      <c r="B421" s="89"/>
      <c r="C421"/>
      <c r="D421"/>
      <c r="E421" s="69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/>
      <c r="W421"/>
      <c r="X421"/>
      <c r="Y421"/>
      <c r="Z421"/>
      <c r="AA421"/>
    </row>
    <row r="422" spans="2:27" s="25" customFormat="1" ht="15.75" customHeight="1" x14ac:dyDescent="0.2">
      <c r="B422" s="89"/>
      <c r="C422"/>
      <c r="D422"/>
      <c r="E422" s="69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  <c r="AA422"/>
    </row>
    <row r="423" spans="2:27" s="25" customFormat="1" ht="15.75" customHeight="1" x14ac:dyDescent="0.2">
      <c r="B423" s="89"/>
      <c r="C423"/>
      <c r="D423"/>
      <c r="E423" s="69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  <c r="AA423"/>
    </row>
    <row r="424" spans="2:27" s="25" customFormat="1" ht="15.75" customHeight="1" x14ac:dyDescent="0.2">
      <c r="B424" s="89"/>
      <c r="C424"/>
      <c r="D424"/>
      <c r="E424" s="69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  <c r="AA424"/>
    </row>
    <row r="425" spans="2:27" s="25" customFormat="1" ht="15.75" customHeight="1" x14ac:dyDescent="0.2">
      <c r="B425" s="89"/>
      <c r="C425"/>
      <c r="D425"/>
      <c r="E425" s="69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  <c r="AA425"/>
    </row>
    <row r="426" spans="2:27" s="25" customFormat="1" ht="15.75" customHeight="1" x14ac:dyDescent="0.2">
      <c r="B426" s="89"/>
      <c r="C426"/>
      <c r="D426"/>
      <c r="E426" s="69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  <c r="AA426"/>
    </row>
    <row r="427" spans="2:27" s="25" customFormat="1" ht="15.75" customHeight="1" x14ac:dyDescent="0.2">
      <c r="B427" s="89"/>
      <c r="C427"/>
      <c r="D427"/>
      <c r="E427" s="69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  <c r="AA427"/>
    </row>
    <row r="428" spans="2:27" s="25" customFormat="1" ht="15.75" customHeight="1" x14ac:dyDescent="0.2">
      <c r="B428" s="89"/>
      <c r="C428"/>
      <c r="D428"/>
      <c r="E428" s="69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</row>
    <row r="429" spans="2:27" s="25" customFormat="1" ht="15.75" customHeight="1" x14ac:dyDescent="0.2">
      <c r="B429" s="89"/>
      <c r="C429"/>
      <c r="D429"/>
      <c r="E429" s="6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  <c r="AA429"/>
    </row>
    <row r="430" spans="2:27" s="25" customFormat="1" ht="15.75" customHeight="1" x14ac:dyDescent="0.2">
      <c r="B430" s="89"/>
      <c r="C430"/>
      <c r="D430"/>
      <c r="E430" s="69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  <c r="W430"/>
      <c r="X430"/>
      <c r="Y430"/>
      <c r="Z430"/>
      <c r="AA430"/>
    </row>
    <row r="431" spans="2:27" s="25" customFormat="1" ht="15.75" customHeight="1" x14ac:dyDescent="0.2">
      <c r="B431" s="89"/>
      <c r="C431"/>
      <c r="D431"/>
      <c r="E431" s="69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  <c r="Y431"/>
      <c r="Z431"/>
      <c r="AA431"/>
    </row>
    <row r="432" spans="2:27" s="25" customFormat="1" ht="15.75" customHeight="1" x14ac:dyDescent="0.2">
      <c r="B432" s="89"/>
      <c r="C432"/>
      <c r="D432"/>
      <c r="E432" s="69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  <c r="AA432"/>
    </row>
    <row r="433" spans="2:27" s="25" customFormat="1" ht="15.75" customHeight="1" x14ac:dyDescent="0.2">
      <c r="B433" s="89"/>
      <c r="C433"/>
      <c r="D433"/>
      <c r="E433" s="69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  <c r="AA433"/>
    </row>
    <row r="434" spans="2:27" s="25" customFormat="1" ht="15.75" customHeight="1" x14ac:dyDescent="0.2">
      <c r="B434" s="89"/>
      <c r="C434"/>
      <c r="D434"/>
      <c r="E434" s="69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  <c r="AA434"/>
    </row>
    <row r="435" spans="2:27" s="25" customFormat="1" ht="15.75" customHeight="1" x14ac:dyDescent="0.2">
      <c r="B435" s="89"/>
      <c r="C435"/>
      <c r="D435"/>
      <c r="E435" s="69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  <c r="V435"/>
      <c r="W435"/>
      <c r="X435"/>
      <c r="Y435"/>
      <c r="Z435"/>
      <c r="AA435"/>
    </row>
    <row r="436" spans="2:27" s="25" customFormat="1" ht="15.75" customHeight="1" x14ac:dyDescent="0.2">
      <c r="B436" s="89"/>
      <c r="C436"/>
      <c r="D436"/>
      <c r="E436" s="69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</row>
    <row r="437" spans="2:27" s="25" customFormat="1" ht="15.75" customHeight="1" x14ac:dyDescent="0.2">
      <c r="B437" s="89"/>
      <c r="C437"/>
      <c r="D437"/>
      <c r="E437" s="69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  <c r="Y437"/>
      <c r="Z437"/>
      <c r="AA437"/>
    </row>
    <row r="438" spans="2:27" s="25" customFormat="1" ht="15.75" customHeight="1" x14ac:dyDescent="0.2">
      <c r="B438" s="89"/>
      <c r="C438"/>
      <c r="D438"/>
      <c r="E438" s="69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  <c r="W438"/>
      <c r="X438"/>
      <c r="Y438"/>
      <c r="Z438"/>
      <c r="AA438"/>
    </row>
    <row r="439" spans="2:27" s="25" customFormat="1" ht="15.75" customHeight="1" x14ac:dyDescent="0.2">
      <c r="B439" s="89"/>
      <c r="C439"/>
      <c r="D439"/>
      <c r="E439" s="6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  <c r="AA439"/>
    </row>
    <row r="440" spans="2:27" s="25" customFormat="1" ht="15.75" customHeight="1" x14ac:dyDescent="0.2">
      <c r="B440" s="89"/>
      <c r="C440"/>
      <c r="D440"/>
      <c r="E440" s="69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</row>
    <row r="441" spans="2:27" s="25" customFormat="1" ht="15.75" customHeight="1" x14ac:dyDescent="0.2">
      <c r="B441" s="89"/>
      <c r="C441"/>
      <c r="D441"/>
      <c r="E441" s="69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/>
      <c r="W441"/>
      <c r="X441"/>
      <c r="Y441"/>
      <c r="Z441"/>
      <c r="AA441"/>
    </row>
    <row r="442" spans="2:27" s="25" customFormat="1" ht="15.75" customHeight="1" x14ac:dyDescent="0.2">
      <c r="B442" s="89"/>
      <c r="C442"/>
      <c r="D442"/>
      <c r="E442" s="69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  <c r="AA442"/>
    </row>
    <row r="443" spans="2:27" s="25" customFormat="1" ht="15.75" customHeight="1" x14ac:dyDescent="0.2">
      <c r="B443" s="89"/>
      <c r="C443"/>
      <c r="D443"/>
      <c r="E443" s="69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  <c r="AA443"/>
    </row>
    <row r="444" spans="2:27" s="25" customFormat="1" ht="15.75" customHeight="1" x14ac:dyDescent="0.2">
      <c r="B444" s="89"/>
      <c r="C444"/>
      <c r="D444"/>
      <c r="E444" s="69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  <c r="AA444"/>
    </row>
    <row r="445" spans="2:27" s="25" customFormat="1" ht="15.75" customHeight="1" x14ac:dyDescent="0.2">
      <c r="B445" s="89"/>
      <c r="C445"/>
      <c r="D445"/>
      <c r="E445" s="69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  <c r="V445"/>
      <c r="W445"/>
      <c r="X445"/>
      <c r="Y445"/>
      <c r="Z445"/>
      <c r="AA445"/>
    </row>
    <row r="446" spans="2:27" s="25" customFormat="1" ht="15.75" customHeight="1" x14ac:dyDescent="0.2">
      <c r="B446" s="89"/>
      <c r="C446"/>
      <c r="D446"/>
      <c r="E446" s="69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  <c r="Y446"/>
      <c r="Z446"/>
      <c r="AA446"/>
    </row>
    <row r="447" spans="2:27" s="25" customFormat="1" ht="15.75" customHeight="1" x14ac:dyDescent="0.2">
      <c r="B447" s="89"/>
      <c r="C447"/>
      <c r="D447"/>
      <c r="E447" s="69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  <c r="W447"/>
      <c r="X447"/>
      <c r="Y447"/>
      <c r="Z447"/>
      <c r="AA447"/>
    </row>
    <row r="448" spans="2:27" s="25" customFormat="1" ht="15.75" customHeight="1" x14ac:dyDescent="0.2">
      <c r="B448" s="89"/>
      <c r="C448"/>
      <c r="D448"/>
      <c r="E448" s="69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</row>
    <row r="449" spans="2:27" s="25" customFormat="1" ht="15.75" customHeight="1" x14ac:dyDescent="0.2">
      <c r="B449" s="89"/>
      <c r="C449"/>
      <c r="D449"/>
      <c r="E449" s="6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  <c r="W449"/>
      <c r="X449"/>
      <c r="Y449"/>
      <c r="Z449"/>
      <c r="AA449"/>
    </row>
    <row r="450" spans="2:27" s="25" customFormat="1" ht="15.75" customHeight="1" x14ac:dyDescent="0.2">
      <c r="B450" s="89"/>
      <c r="C450"/>
      <c r="D450"/>
      <c r="E450" s="69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  <c r="AA450"/>
    </row>
    <row r="451" spans="2:27" s="25" customFormat="1" ht="15.75" customHeight="1" x14ac:dyDescent="0.2">
      <c r="B451" s="89"/>
      <c r="C451"/>
      <c r="D451"/>
      <c r="E451" s="69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  <c r="AA451"/>
    </row>
    <row r="452" spans="2:27" s="25" customFormat="1" ht="15.75" customHeight="1" x14ac:dyDescent="0.2">
      <c r="B452" s="89"/>
      <c r="C452"/>
      <c r="D452"/>
      <c r="E452" s="69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</row>
    <row r="453" spans="2:27" s="25" customFormat="1" ht="15.75" customHeight="1" x14ac:dyDescent="0.2">
      <c r="B453" s="89"/>
      <c r="C453"/>
      <c r="D453"/>
      <c r="E453" s="69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  <c r="AA453"/>
    </row>
    <row r="454" spans="2:27" s="25" customFormat="1" ht="15.75" customHeight="1" x14ac:dyDescent="0.2">
      <c r="B454" s="89"/>
      <c r="C454"/>
      <c r="D454"/>
      <c r="E454" s="69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  <c r="AA454"/>
    </row>
    <row r="455" spans="2:27" s="25" customFormat="1" ht="15.75" customHeight="1" x14ac:dyDescent="0.2">
      <c r="B455" s="89"/>
      <c r="C455"/>
      <c r="D455"/>
      <c r="E455" s="69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  <c r="AA455"/>
    </row>
    <row r="456" spans="2:27" s="25" customFormat="1" ht="15.75" customHeight="1" x14ac:dyDescent="0.2">
      <c r="B456" s="89"/>
      <c r="C456"/>
      <c r="D456"/>
      <c r="E456" s="69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  <c r="AA456"/>
    </row>
    <row r="457" spans="2:27" s="25" customFormat="1" ht="15.75" customHeight="1" x14ac:dyDescent="0.2">
      <c r="B457" s="89"/>
      <c r="C457"/>
      <c r="D457"/>
      <c r="E457" s="69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  <c r="AA457"/>
    </row>
    <row r="458" spans="2:27" s="25" customFormat="1" ht="15.75" customHeight="1" x14ac:dyDescent="0.2">
      <c r="B458" s="89"/>
      <c r="C458"/>
      <c r="D458"/>
      <c r="E458" s="69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  <c r="V458"/>
      <c r="W458"/>
      <c r="X458"/>
      <c r="Y458"/>
      <c r="Z458"/>
      <c r="AA458"/>
    </row>
    <row r="459" spans="2:27" s="25" customFormat="1" ht="15.75" customHeight="1" x14ac:dyDescent="0.2">
      <c r="B459" s="89"/>
      <c r="C459"/>
      <c r="D459"/>
      <c r="E459" s="6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  <c r="AA459"/>
    </row>
    <row r="460" spans="2:27" s="25" customFormat="1" ht="15.75" customHeight="1" x14ac:dyDescent="0.2">
      <c r="B460" s="89"/>
      <c r="C460"/>
      <c r="D460"/>
      <c r="E460" s="69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  <c r="AA460"/>
    </row>
    <row r="461" spans="2:27" s="25" customFormat="1" ht="15.75" customHeight="1" x14ac:dyDescent="0.2">
      <c r="B461" s="89"/>
      <c r="C461"/>
      <c r="D461"/>
      <c r="E461" s="69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  <c r="AA461"/>
    </row>
    <row r="462" spans="2:27" s="25" customFormat="1" ht="15.75" customHeight="1" x14ac:dyDescent="0.2">
      <c r="B462" s="89"/>
      <c r="C462"/>
      <c r="D462"/>
      <c r="E462" s="69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  <c r="AA462"/>
    </row>
    <row r="463" spans="2:27" s="25" customFormat="1" ht="15.75" customHeight="1" x14ac:dyDescent="0.2">
      <c r="B463" s="89"/>
      <c r="C463"/>
      <c r="D463"/>
      <c r="E463" s="69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  <c r="AA463"/>
    </row>
    <row r="464" spans="2:27" s="25" customFormat="1" ht="15.75" customHeight="1" x14ac:dyDescent="0.2">
      <c r="B464" s="89"/>
      <c r="C464"/>
      <c r="D464"/>
      <c r="E464" s="69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  <c r="AA464"/>
    </row>
    <row r="465" spans="2:27" s="25" customFormat="1" ht="15.75" customHeight="1" x14ac:dyDescent="0.2">
      <c r="B465" s="89"/>
      <c r="C465"/>
      <c r="D465"/>
      <c r="E465" s="69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  <c r="AA465"/>
    </row>
    <row r="466" spans="2:27" s="25" customFormat="1" ht="15.75" customHeight="1" x14ac:dyDescent="0.2">
      <c r="B466" s="89"/>
      <c r="C466"/>
      <c r="D466"/>
      <c r="E466" s="69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  <c r="AA466"/>
    </row>
    <row r="467" spans="2:27" s="25" customFormat="1" ht="15.75" customHeight="1" x14ac:dyDescent="0.2">
      <c r="B467" s="89"/>
      <c r="C467"/>
      <c r="D467"/>
      <c r="E467" s="69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  <c r="AA467"/>
    </row>
    <row r="468" spans="2:27" s="25" customFormat="1" ht="15.75" customHeight="1" x14ac:dyDescent="0.2">
      <c r="B468" s="89"/>
      <c r="C468"/>
      <c r="D468"/>
      <c r="E468" s="69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</row>
    <row r="469" spans="2:27" s="25" customFormat="1" ht="15.75" customHeight="1" x14ac:dyDescent="0.2">
      <c r="B469" s="89"/>
      <c r="C469"/>
      <c r="D469"/>
      <c r="E469" s="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  <c r="AA469"/>
    </row>
    <row r="470" spans="2:27" s="25" customFormat="1" ht="15.75" customHeight="1" x14ac:dyDescent="0.2">
      <c r="B470" s="89"/>
      <c r="C470"/>
      <c r="D470"/>
      <c r="E470" s="69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  <c r="AA470"/>
    </row>
    <row r="471" spans="2:27" s="25" customFormat="1" ht="15.75" customHeight="1" x14ac:dyDescent="0.2">
      <c r="B471" s="89"/>
      <c r="C471"/>
      <c r="D471"/>
      <c r="E471" s="69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  <c r="AA471"/>
    </row>
    <row r="472" spans="2:27" s="25" customFormat="1" ht="15.75" customHeight="1" x14ac:dyDescent="0.2">
      <c r="B472" s="89"/>
      <c r="C472"/>
      <c r="D472"/>
      <c r="E472" s="69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  <c r="AA472"/>
    </row>
    <row r="473" spans="2:27" s="25" customFormat="1" ht="15.75" customHeight="1" x14ac:dyDescent="0.2">
      <c r="B473" s="89"/>
      <c r="C473"/>
      <c r="D473"/>
      <c r="E473" s="69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  <c r="W473"/>
      <c r="X473"/>
      <c r="Y473"/>
      <c r="Z473"/>
      <c r="AA473"/>
    </row>
    <row r="474" spans="2:27" s="25" customFormat="1" ht="15.75" customHeight="1" x14ac:dyDescent="0.2">
      <c r="B474" s="89"/>
      <c r="C474"/>
      <c r="D474"/>
      <c r="E474" s="69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/>
      <c r="W474"/>
      <c r="X474"/>
      <c r="Y474"/>
      <c r="Z474"/>
      <c r="AA474"/>
    </row>
    <row r="475" spans="2:27" s="25" customFormat="1" ht="15.75" customHeight="1" x14ac:dyDescent="0.2">
      <c r="B475" s="89"/>
      <c r="C475"/>
      <c r="D475"/>
      <c r="E475" s="69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  <c r="W475"/>
      <c r="X475"/>
      <c r="Y475"/>
      <c r="Z475"/>
      <c r="AA475"/>
    </row>
    <row r="476" spans="2:27" s="25" customFormat="1" ht="15.75" customHeight="1" x14ac:dyDescent="0.2">
      <c r="B476" s="89"/>
      <c r="C476"/>
      <c r="D476"/>
      <c r="E476" s="69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  <c r="W476"/>
      <c r="X476"/>
      <c r="Y476"/>
      <c r="Z476"/>
      <c r="AA476"/>
    </row>
    <row r="477" spans="2:27" s="25" customFormat="1" ht="15.75" customHeight="1" x14ac:dyDescent="0.2">
      <c r="B477" s="89"/>
      <c r="C477"/>
      <c r="D477"/>
      <c r="E477" s="69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  <c r="W477"/>
      <c r="X477"/>
      <c r="Y477"/>
      <c r="Z477"/>
      <c r="AA477"/>
    </row>
    <row r="478" spans="2:27" s="25" customFormat="1" ht="15.75" customHeight="1" x14ac:dyDescent="0.2">
      <c r="B478" s="89"/>
      <c r="C478"/>
      <c r="D478"/>
      <c r="E478" s="69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  <c r="W478"/>
      <c r="X478"/>
      <c r="Y478"/>
      <c r="Z478"/>
      <c r="AA478"/>
    </row>
    <row r="479" spans="2:27" s="25" customFormat="1" ht="15.75" customHeight="1" x14ac:dyDescent="0.2">
      <c r="B479" s="89"/>
      <c r="C479"/>
      <c r="D479"/>
      <c r="E479" s="6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  <c r="W479"/>
      <c r="X479"/>
      <c r="Y479"/>
      <c r="Z479"/>
      <c r="AA479"/>
    </row>
    <row r="480" spans="2:27" s="25" customFormat="1" ht="15.75" customHeight="1" x14ac:dyDescent="0.2">
      <c r="B480" s="89"/>
      <c r="C480"/>
      <c r="D480"/>
      <c r="E480" s="69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  <c r="AA480"/>
    </row>
    <row r="481" spans="2:27" s="25" customFormat="1" ht="15.75" customHeight="1" x14ac:dyDescent="0.2">
      <c r="B481" s="89"/>
      <c r="C481"/>
      <c r="D481"/>
      <c r="E481" s="69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  <c r="V481"/>
      <c r="W481"/>
      <c r="X481"/>
      <c r="Y481"/>
      <c r="Z481"/>
      <c r="AA481"/>
    </row>
    <row r="482" spans="2:27" s="25" customFormat="1" ht="15.75" customHeight="1" x14ac:dyDescent="0.2">
      <c r="B482" s="89"/>
      <c r="C482"/>
      <c r="D482"/>
      <c r="E482" s="69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  <c r="W482"/>
      <c r="X482"/>
      <c r="Y482"/>
      <c r="Z482"/>
      <c r="AA482"/>
    </row>
    <row r="483" spans="2:27" s="25" customFormat="1" ht="15.75" customHeight="1" x14ac:dyDescent="0.2">
      <c r="B483" s="89"/>
      <c r="C483"/>
      <c r="D483"/>
      <c r="E483" s="69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  <c r="W483"/>
      <c r="X483"/>
      <c r="Y483"/>
      <c r="Z483"/>
      <c r="AA483"/>
    </row>
    <row r="484" spans="2:27" s="25" customFormat="1" ht="15.75" customHeight="1" x14ac:dyDescent="0.2">
      <c r="B484" s="89"/>
      <c r="C484"/>
      <c r="D484"/>
      <c r="E484" s="69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  <c r="AA484"/>
    </row>
    <row r="485" spans="2:27" s="25" customFormat="1" ht="15.75" customHeight="1" x14ac:dyDescent="0.2">
      <c r="B485" s="89"/>
      <c r="C485"/>
      <c r="D485"/>
      <c r="E485" s="69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  <c r="W485"/>
      <c r="X485"/>
      <c r="Y485"/>
      <c r="Z485"/>
      <c r="AA485"/>
    </row>
    <row r="486" spans="2:27" s="25" customFormat="1" ht="15.75" customHeight="1" x14ac:dyDescent="0.2">
      <c r="B486" s="89"/>
      <c r="C486"/>
      <c r="D486"/>
      <c r="E486" s="69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  <c r="V486"/>
      <c r="W486"/>
      <c r="X486"/>
      <c r="Y486"/>
      <c r="Z486"/>
      <c r="AA486"/>
    </row>
    <row r="487" spans="2:27" s="25" customFormat="1" ht="15.75" customHeight="1" x14ac:dyDescent="0.2">
      <c r="B487" s="89"/>
      <c r="C487"/>
      <c r="D487"/>
      <c r="E487" s="69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  <c r="V487"/>
      <c r="W487"/>
      <c r="X487"/>
      <c r="Y487"/>
      <c r="Z487"/>
      <c r="AA487"/>
    </row>
    <row r="488" spans="2:27" s="25" customFormat="1" ht="15.75" customHeight="1" x14ac:dyDescent="0.2">
      <c r="B488" s="89"/>
      <c r="C488"/>
      <c r="D488"/>
      <c r="E488" s="69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  <c r="AA488"/>
    </row>
    <row r="489" spans="2:27" s="25" customFormat="1" ht="15.75" customHeight="1" x14ac:dyDescent="0.2">
      <c r="B489" s="89"/>
      <c r="C489"/>
      <c r="D489"/>
      <c r="E489" s="6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  <c r="W489"/>
      <c r="X489"/>
      <c r="Y489"/>
      <c r="Z489"/>
      <c r="AA489"/>
    </row>
    <row r="490" spans="2:27" s="25" customFormat="1" ht="15.75" customHeight="1" x14ac:dyDescent="0.2">
      <c r="B490" s="89"/>
      <c r="C490"/>
      <c r="D490"/>
      <c r="E490" s="69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  <c r="V490"/>
      <c r="W490"/>
      <c r="X490"/>
      <c r="Y490"/>
      <c r="Z490"/>
      <c r="AA490"/>
    </row>
    <row r="491" spans="2:27" s="25" customFormat="1" ht="15.75" customHeight="1" x14ac:dyDescent="0.2">
      <c r="B491" s="89"/>
      <c r="C491"/>
      <c r="D491"/>
      <c r="E491" s="69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  <c r="V491"/>
      <c r="W491"/>
      <c r="X491"/>
      <c r="Y491"/>
      <c r="Z491"/>
      <c r="AA491"/>
    </row>
    <row r="492" spans="2:27" s="25" customFormat="1" ht="15.75" customHeight="1" x14ac:dyDescent="0.2">
      <c r="B492" s="89"/>
      <c r="C492"/>
      <c r="D492"/>
      <c r="E492" s="69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  <c r="AA492"/>
    </row>
    <row r="493" spans="2:27" s="25" customFormat="1" ht="15.75" customHeight="1" x14ac:dyDescent="0.2">
      <c r="B493" s="89"/>
      <c r="C493"/>
      <c r="D493"/>
      <c r="E493" s="69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  <c r="W493"/>
      <c r="X493"/>
      <c r="Y493"/>
      <c r="Z493"/>
      <c r="AA493"/>
    </row>
    <row r="494" spans="2:27" s="25" customFormat="1" ht="15.75" customHeight="1" x14ac:dyDescent="0.2">
      <c r="B494" s="89"/>
      <c r="C494"/>
      <c r="D494"/>
      <c r="E494" s="69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  <c r="W494"/>
      <c r="X494"/>
      <c r="Y494"/>
      <c r="Z494"/>
      <c r="AA494"/>
    </row>
    <row r="495" spans="2:27" s="25" customFormat="1" ht="15.75" customHeight="1" x14ac:dyDescent="0.2">
      <c r="B495" s="89"/>
      <c r="C495"/>
      <c r="D495"/>
      <c r="E495" s="69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  <c r="V495"/>
      <c r="W495"/>
      <c r="X495"/>
      <c r="Y495"/>
      <c r="Z495"/>
      <c r="AA495"/>
    </row>
    <row r="496" spans="2:27" s="25" customFormat="1" ht="15.75" customHeight="1" x14ac:dyDescent="0.2">
      <c r="B496" s="89"/>
      <c r="C496"/>
      <c r="D496"/>
      <c r="E496" s="69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  <c r="W496"/>
      <c r="X496"/>
      <c r="Y496"/>
      <c r="Z496"/>
      <c r="AA496"/>
    </row>
    <row r="497" spans="2:27" s="25" customFormat="1" ht="15.75" customHeight="1" x14ac:dyDescent="0.2">
      <c r="B497" s="89"/>
      <c r="C497"/>
      <c r="D497"/>
      <c r="E497" s="69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  <c r="W497"/>
      <c r="X497"/>
      <c r="Y497"/>
      <c r="Z497"/>
      <c r="AA497"/>
    </row>
    <row r="498" spans="2:27" s="25" customFormat="1" ht="15.75" customHeight="1" x14ac:dyDescent="0.2">
      <c r="B498" s="89"/>
      <c r="C498"/>
      <c r="D498"/>
      <c r="E498" s="69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  <c r="W498"/>
      <c r="X498"/>
      <c r="Y498"/>
      <c r="Z498"/>
      <c r="AA498"/>
    </row>
    <row r="499" spans="2:27" s="25" customFormat="1" ht="15.75" customHeight="1" x14ac:dyDescent="0.2">
      <c r="B499" s="89"/>
      <c r="C499"/>
      <c r="D499"/>
      <c r="E499" s="6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  <c r="W499"/>
      <c r="X499"/>
      <c r="Y499"/>
      <c r="Z499"/>
      <c r="AA499"/>
    </row>
    <row r="500" spans="2:27" s="25" customFormat="1" ht="15.75" customHeight="1" x14ac:dyDescent="0.2">
      <c r="B500" s="89"/>
      <c r="C500"/>
      <c r="D500"/>
      <c r="E500" s="69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  <c r="AA500"/>
    </row>
    <row r="501" spans="2:27" s="25" customFormat="1" ht="15.75" customHeight="1" x14ac:dyDescent="0.2">
      <c r="B501" s="89"/>
      <c r="C501"/>
      <c r="D501"/>
      <c r="E501" s="69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/>
      <c r="W501"/>
      <c r="X501"/>
      <c r="Y501"/>
      <c r="Z501"/>
      <c r="AA501"/>
    </row>
    <row r="502" spans="2:27" s="25" customFormat="1" ht="15.75" customHeight="1" x14ac:dyDescent="0.2">
      <c r="B502" s="89"/>
      <c r="C502"/>
      <c r="D502"/>
      <c r="E502" s="69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  <c r="W502"/>
      <c r="X502"/>
      <c r="Y502"/>
      <c r="Z502"/>
      <c r="AA502"/>
    </row>
    <row r="503" spans="2:27" s="25" customFormat="1" ht="15.75" customHeight="1" x14ac:dyDescent="0.2">
      <c r="B503" s="89"/>
      <c r="C503"/>
      <c r="D503"/>
      <c r="E503" s="69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  <c r="AA503"/>
    </row>
    <row r="504" spans="2:27" s="25" customFormat="1" ht="15.75" customHeight="1" x14ac:dyDescent="0.2">
      <c r="B504" s="89"/>
      <c r="C504"/>
      <c r="D504"/>
      <c r="E504" s="69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  <c r="V504"/>
      <c r="W504"/>
      <c r="X504"/>
      <c r="Y504"/>
      <c r="Z504"/>
      <c r="AA504"/>
    </row>
    <row r="505" spans="2:27" s="25" customFormat="1" ht="15.75" customHeight="1" x14ac:dyDescent="0.2">
      <c r="B505" s="89"/>
      <c r="C505"/>
      <c r="D505"/>
      <c r="E505" s="69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  <c r="V505"/>
      <c r="W505"/>
      <c r="X505"/>
      <c r="Y505"/>
      <c r="Z505"/>
      <c r="AA505"/>
    </row>
    <row r="506" spans="2:27" s="25" customFormat="1" ht="15.75" customHeight="1" x14ac:dyDescent="0.2">
      <c r="B506" s="89"/>
      <c r="C506"/>
      <c r="D506"/>
      <c r="E506" s="69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  <c r="V506"/>
      <c r="W506"/>
      <c r="X506"/>
      <c r="Y506"/>
      <c r="Z506"/>
      <c r="AA506"/>
    </row>
    <row r="507" spans="2:27" s="25" customFormat="1" ht="15.75" customHeight="1" x14ac:dyDescent="0.2">
      <c r="B507" s="89"/>
      <c r="C507"/>
      <c r="D507"/>
      <c r="E507" s="69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  <c r="V507"/>
      <c r="W507"/>
      <c r="X507"/>
      <c r="Y507"/>
      <c r="Z507"/>
      <c r="AA507"/>
    </row>
    <row r="508" spans="2:27" s="25" customFormat="1" ht="15.75" customHeight="1" x14ac:dyDescent="0.2">
      <c r="B508" s="89"/>
      <c r="C508"/>
      <c r="D508"/>
      <c r="E508" s="69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  <c r="V508"/>
      <c r="W508"/>
      <c r="X508"/>
      <c r="Y508"/>
      <c r="Z508"/>
      <c r="AA508"/>
    </row>
    <row r="509" spans="2:27" s="25" customFormat="1" ht="15.75" customHeight="1" x14ac:dyDescent="0.2">
      <c r="B509" s="89"/>
      <c r="C509"/>
      <c r="D509"/>
      <c r="E509" s="6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  <c r="V509"/>
      <c r="W509"/>
      <c r="X509"/>
      <c r="Y509"/>
      <c r="Z509"/>
      <c r="AA509"/>
    </row>
    <row r="510" spans="2:27" s="25" customFormat="1" ht="15.75" customHeight="1" x14ac:dyDescent="0.2">
      <c r="B510" s="89"/>
      <c r="C510"/>
      <c r="D510"/>
      <c r="E510" s="69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  <c r="V510"/>
      <c r="W510"/>
      <c r="X510"/>
      <c r="Y510"/>
      <c r="Z510"/>
      <c r="AA510"/>
    </row>
    <row r="511" spans="2:27" s="25" customFormat="1" ht="15.75" customHeight="1" x14ac:dyDescent="0.2">
      <c r="B511" s="89"/>
      <c r="C511"/>
      <c r="D511"/>
      <c r="E511" s="69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  <c r="V511"/>
      <c r="W511"/>
      <c r="X511"/>
      <c r="Y511"/>
      <c r="Z511"/>
      <c r="AA511"/>
    </row>
    <row r="512" spans="2:27" s="25" customFormat="1" ht="15.75" customHeight="1" x14ac:dyDescent="0.2">
      <c r="B512" s="89"/>
      <c r="C512"/>
      <c r="D512"/>
      <c r="E512" s="69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  <c r="V512"/>
      <c r="W512"/>
      <c r="X512"/>
      <c r="Y512"/>
      <c r="Z512"/>
      <c r="AA512"/>
    </row>
    <row r="513" spans="2:27" s="25" customFormat="1" ht="15.75" customHeight="1" x14ac:dyDescent="0.2">
      <c r="B513" s="89"/>
      <c r="C513"/>
      <c r="D513"/>
      <c r="E513" s="69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  <c r="V513"/>
      <c r="W513"/>
      <c r="X513"/>
      <c r="Y513"/>
      <c r="Z513"/>
      <c r="AA513"/>
    </row>
    <row r="514" spans="2:27" s="25" customFormat="1" ht="15.75" customHeight="1" x14ac:dyDescent="0.2">
      <c r="B514" s="89"/>
      <c r="C514"/>
      <c r="D514"/>
      <c r="E514" s="69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  <c r="V514"/>
      <c r="W514"/>
      <c r="X514"/>
      <c r="Y514"/>
      <c r="Z514"/>
      <c r="AA514"/>
    </row>
    <row r="515" spans="2:27" s="25" customFormat="1" ht="15.75" customHeight="1" x14ac:dyDescent="0.2">
      <c r="B515" s="89"/>
      <c r="C515"/>
      <c r="D515"/>
      <c r="E515" s="69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  <c r="V515"/>
      <c r="W515"/>
      <c r="X515"/>
      <c r="Y515"/>
      <c r="Z515"/>
      <c r="AA515"/>
    </row>
    <row r="516" spans="2:27" s="25" customFormat="1" ht="15.75" customHeight="1" x14ac:dyDescent="0.2">
      <c r="B516" s="89"/>
      <c r="C516"/>
      <c r="D516"/>
      <c r="E516" s="69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  <c r="V516"/>
      <c r="W516"/>
      <c r="X516"/>
      <c r="Y516"/>
      <c r="Z516"/>
      <c r="AA516"/>
    </row>
    <row r="517" spans="2:27" s="25" customFormat="1" ht="15.75" customHeight="1" x14ac:dyDescent="0.2">
      <c r="B517" s="89"/>
      <c r="C517"/>
      <c r="D517"/>
      <c r="E517" s="69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  <c r="V517"/>
      <c r="W517"/>
      <c r="X517"/>
      <c r="Y517"/>
      <c r="Z517"/>
      <c r="AA517"/>
    </row>
    <row r="518" spans="2:27" s="25" customFormat="1" ht="15.75" customHeight="1" x14ac:dyDescent="0.2">
      <c r="B518" s="89"/>
      <c r="C518"/>
      <c r="D518"/>
      <c r="E518" s="69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  <c r="V518"/>
      <c r="W518"/>
      <c r="X518"/>
      <c r="Y518"/>
      <c r="Z518"/>
      <c r="AA518"/>
    </row>
    <row r="519" spans="2:27" s="25" customFormat="1" ht="15.75" customHeight="1" x14ac:dyDescent="0.2">
      <c r="B519" s="89"/>
      <c r="C519"/>
      <c r="D519"/>
      <c r="E519" s="6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  <c r="V519"/>
      <c r="W519"/>
      <c r="X519"/>
      <c r="Y519"/>
      <c r="Z519"/>
      <c r="AA519"/>
    </row>
    <row r="520" spans="2:27" s="25" customFormat="1" ht="15.75" customHeight="1" x14ac:dyDescent="0.2">
      <c r="B520" s="89"/>
      <c r="C520"/>
      <c r="D520"/>
      <c r="E520" s="69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  <c r="V520"/>
      <c r="W520"/>
      <c r="X520"/>
      <c r="Y520"/>
      <c r="Z520"/>
      <c r="AA520"/>
    </row>
    <row r="521" spans="2:27" s="25" customFormat="1" ht="15.75" customHeight="1" x14ac:dyDescent="0.2">
      <c r="B521" s="89"/>
      <c r="C521"/>
      <c r="D521"/>
      <c r="E521" s="69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  <c r="V521"/>
      <c r="W521"/>
      <c r="X521"/>
      <c r="Y521"/>
      <c r="Z521"/>
      <c r="AA521"/>
    </row>
    <row r="522" spans="2:27" s="25" customFormat="1" ht="15.75" customHeight="1" x14ac:dyDescent="0.2">
      <c r="B522" s="89"/>
      <c r="C522"/>
      <c r="D522"/>
      <c r="E522" s="69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  <c r="V522"/>
      <c r="W522"/>
      <c r="X522"/>
      <c r="Y522"/>
      <c r="Z522"/>
      <c r="AA522"/>
    </row>
    <row r="523" spans="2:27" s="25" customFormat="1" ht="15.75" customHeight="1" x14ac:dyDescent="0.2">
      <c r="B523" s="89"/>
      <c r="C523"/>
      <c r="D523"/>
      <c r="E523" s="69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  <c r="V523"/>
      <c r="W523"/>
      <c r="X523"/>
      <c r="Y523"/>
      <c r="Z523"/>
      <c r="AA523"/>
    </row>
    <row r="524" spans="2:27" s="25" customFormat="1" ht="15.75" customHeight="1" x14ac:dyDescent="0.2">
      <c r="B524" s="89"/>
      <c r="C524"/>
      <c r="D524"/>
      <c r="E524" s="69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  <c r="V524"/>
      <c r="W524"/>
      <c r="X524"/>
      <c r="Y524"/>
      <c r="Z524"/>
      <c r="AA524"/>
    </row>
    <row r="525" spans="2:27" s="25" customFormat="1" ht="15.75" customHeight="1" x14ac:dyDescent="0.2">
      <c r="B525" s="89"/>
      <c r="C525"/>
      <c r="D525"/>
      <c r="E525" s="69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  <c r="V525"/>
      <c r="W525"/>
      <c r="X525"/>
      <c r="Y525"/>
      <c r="Z525"/>
      <c r="AA525"/>
    </row>
    <row r="526" spans="2:27" s="25" customFormat="1" ht="15.75" customHeight="1" x14ac:dyDescent="0.2">
      <c r="B526" s="89"/>
      <c r="C526"/>
      <c r="D526"/>
      <c r="E526" s="69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  <c r="V526"/>
      <c r="W526"/>
      <c r="X526"/>
      <c r="Y526"/>
      <c r="Z526"/>
      <c r="AA526"/>
    </row>
    <row r="527" spans="2:27" s="25" customFormat="1" ht="15.75" customHeight="1" x14ac:dyDescent="0.2">
      <c r="B527" s="89"/>
      <c r="C527"/>
      <c r="D527"/>
      <c r="E527" s="69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  <c r="V527"/>
      <c r="W527"/>
      <c r="X527"/>
      <c r="Y527"/>
      <c r="Z527"/>
      <c r="AA527"/>
    </row>
    <row r="528" spans="2:27" s="25" customFormat="1" ht="15.75" customHeight="1" x14ac:dyDescent="0.2">
      <c r="B528" s="89"/>
      <c r="C528"/>
      <c r="D528"/>
      <c r="E528" s="69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  <c r="V528"/>
      <c r="W528"/>
      <c r="X528"/>
      <c r="Y528"/>
      <c r="Z528"/>
      <c r="AA528"/>
    </row>
    <row r="529" spans="2:27" s="25" customFormat="1" ht="15.75" customHeight="1" x14ac:dyDescent="0.2">
      <c r="B529" s="89"/>
      <c r="C529"/>
      <c r="D529"/>
      <c r="E529" s="6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  <c r="V529"/>
      <c r="W529"/>
      <c r="X529"/>
      <c r="Y529"/>
      <c r="Z529"/>
      <c r="AA529"/>
    </row>
    <row r="530" spans="2:27" s="25" customFormat="1" ht="15.75" customHeight="1" x14ac:dyDescent="0.2">
      <c r="B530" s="89"/>
      <c r="C530"/>
      <c r="D530"/>
      <c r="E530" s="69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  <c r="V530"/>
      <c r="W530"/>
      <c r="X530"/>
      <c r="Y530"/>
      <c r="Z530"/>
      <c r="AA530"/>
    </row>
    <row r="531" spans="2:27" s="25" customFormat="1" ht="15.75" customHeight="1" x14ac:dyDescent="0.2">
      <c r="B531" s="89"/>
      <c r="C531"/>
      <c r="D531"/>
      <c r="E531" s="69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  <c r="V531"/>
      <c r="W531"/>
      <c r="X531"/>
      <c r="Y531"/>
      <c r="Z531"/>
      <c r="AA531"/>
    </row>
    <row r="532" spans="2:27" s="25" customFormat="1" ht="15.75" customHeight="1" x14ac:dyDescent="0.2">
      <c r="B532" s="89"/>
      <c r="C532"/>
      <c r="D532"/>
      <c r="E532" s="69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  <c r="V532"/>
      <c r="W532"/>
      <c r="X532"/>
      <c r="Y532"/>
      <c r="Z532"/>
      <c r="AA532"/>
    </row>
    <row r="533" spans="2:27" s="25" customFormat="1" ht="15.75" customHeight="1" x14ac:dyDescent="0.2">
      <c r="B533" s="89"/>
      <c r="C533"/>
      <c r="D533"/>
      <c r="E533" s="69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  <c r="V533"/>
      <c r="W533"/>
      <c r="X533"/>
      <c r="Y533"/>
      <c r="Z533"/>
      <c r="AA533"/>
    </row>
    <row r="534" spans="2:27" s="25" customFormat="1" ht="15.75" customHeight="1" x14ac:dyDescent="0.2">
      <c r="B534" s="89"/>
      <c r="C534"/>
      <c r="D534"/>
      <c r="E534" s="69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  <c r="V534"/>
      <c r="W534"/>
      <c r="X534"/>
      <c r="Y534"/>
      <c r="Z534"/>
      <c r="AA534"/>
    </row>
    <row r="535" spans="2:27" s="25" customFormat="1" ht="15.75" customHeight="1" x14ac:dyDescent="0.2">
      <c r="B535" s="89"/>
      <c r="C535"/>
      <c r="D535"/>
      <c r="E535" s="69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  <c r="V535"/>
      <c r="W535"/>
      <c r="X535"/>
      <c r="Y535"/>
      <c r="Z535"/>
      <c r="AA535"/>
    </row>
    <row r="536" spans="2:27" s="25" customFormat="1" ht="15.75" customHeight="1" x14ac:dyDescent="0.2">
      <c r="B536" s="89"/>
      <c r="C536"/>
      <c r="D536"/>
      <c r="E536" s="69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  <c r="V536"/>
      <c r="W536"/>
      <c r="X536"/>
      <c r="Y536"/>
      <c r="Z536"/>
      <c r="AA536"/>
    </row>
    <row r="537" spans="2:27" s="25" customFormat="1" ht="15.75" customHeight="1" x14ac:dyDescent="0.2">
      <c r="B537" s="89"/>
      <c r="C537"/>
      <c r="D537"/>
      <c r="E537" s="69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  <c r="V537"/>
      <c r="W537"/>
      <c r="X537"/>
      <c r="Y537"/>
      <c r="Z537"/>
      <c r="AA537"/>
    </row>
    <row r="538" spans="2:27" s="25" customFormat="1" ht="15.75" customHeight="1" x14ac:dyDescent="0.2">
      <c r="B538" s="89"/>
      <c r="C538"/>
      <c r="D538"/>
      <c r="E538" s="69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  <c r="V538"/>
      <c r="W538"/>
      <c r="X538"/>
      <c r="Y538"/>
      <c r="Z538"/>
      <c r="AA538"/>
    </row>
    <row r="539" spans="2:27" s="25" customFormat="1" ht="15.75" customHeight="1" x14ac:dyDescent="0.2">
      <c r="B539" s="89"/>
      <c r="C539"/>
      <c r="D539"/>
      <c r="E539" s="6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  <c r="V539"/>
      <c r="W539"/>
      <c r="X539"/>
      <c r="Y539"/>
      <c r="Z539"/>
      <c r="AA539"/>
    </row>
    <row r="540" spans="2:27" s="25" customFormat="1" ht="15.75" customHeight="1" x14ac:dyDescent="0.2">
      <c r="B540" s="89"/>
      <c r="C540"/>
      <c r="D540"/>
      <c r="E540" s="69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  <c r="V540"/>
      <c r="W540"/>
      <c r="X540"/>
      <c r="Y540"/>
      <c r="Z540"/>
      <c r="AA540"/>
    </row>
    <row r="541" spans="2:27" s="25" customFormat="1" ht="15.75" customHeight="1" x14ac:dyDescent="0.2">
      <c r="B541" s="89"/>
      <c r="C541"/>
      <c r="D541"/>
      <c r="E541" s="69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  <c r="V541"/>
      <c r="W541"/>
      <c r="X541"/>
      <c r="Y541"/>
      <c r="Z541"/>
      <c r="AA541"/>
    </row>
    <row r="542" spans="2:27" s="25" customFormat="1" ht="15.75" customHeight="1" x14ac:dyDescent="0.2">
      <c r="B542" s="89"/>
      <c r="C542"/>
      <c r="D542"/>
      <c r="E542" s="69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  <c r="V542"/>
      <c r="W542"/>
      <c r="X542"/>
      <c r="Y542"/>
      <c r="Z542"/>
      <c r="AA542"/>
    </row>
    <row r="543" spans="2:27" s="25" customFormat="1" ht="15.75" customHeight="1" x14ac:dyDescent="0.2">
      <c r="B543" s="89"/>
      <c r="C543"/>
      <c r="D543"/>
      <c r="E543" s="69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  <c r="V543"/>
      <c r="W543"/>
      <c r="X543"/>
      <c r="Y543"/>
      <c r="Z543"/>
      <c r="AA543"/>
    </row>
    <row r="544" spans="2:27" s="25" customFormat="1" ht="15.75" customHeight="1" x14ac:dyDescent="0.2">
      <c r="B544" s="89"/>
      <c r="C544"/>
      <c r="D544"/>
      <c r="E544" s="69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  <c r="V544"/>
      <c r="W544"/>
      <c r="X544"/>
      <c r="Y544"/>
      <c r="Z544"/>
      <c r="AA544"/>
    </row>
    <row r="545" spans="2:27" s="25" customFormat="1" ht="15.75" customHeight="1" x14ac:dyDescent="0.2">
      <c r="B545" s="89"/>
      <c r="C545"/>
      <c r="D545"/>
      <c r="E545" s="69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  <c r="V545"/>
      <c r="W545"/>
      <c r="X545"/>
      <c r="Y545"/>
      <c r="Z545"/>
      <c r="AA545"/>
    </row>
    <row r="546" spans="2:27" s="25" customFormat="1" ht="15.75" customHeight="1" x14ac:dyDescent="0.2">
      <c r="B546" s="89"/>
      <c r="C546"/>
      <c r="D546"/>
      <c r="E546" s="69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  <c r="V546"/>
      <c r="W546"/>
      <c r="X546"/>
      <c r="Y546"/>
      <c r="Z546"/>
      <c r="AA546"/>
    </row>
    <row r="547" spans="2:27" s="25" customFormat="1" ht="15.75" customHeight="1" x14ac:dyDescent="0.2">
      <c r="B547" s="89"/>
      <c r="C547"/>
      <c r="D547"/>
      <c r="E547" s="69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  <c r="V547"/>
      <c r="W547"/>
      <c r="X547"/>
      <c r="Y547"/>
      <c r="Z547"/>
      <c r="AA547"/>
    </row>
    <row r="548" spans="2:27" s="25" customFormat="1" ht="15.75" customHeight="1" x14ac:dyDescent="0.2">
      <c r="B548" s="89"/>
      <c r="C548"/>
      <c r="D548"/>
      <c r="E548" s="69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  <c r="V548"/>
      <c r="W548"/>
      <c r="X548"/>
      <c r="Y548"/>
      <c r="Z548"/>
      <c r="AA548"/>
    </row>
    <row r="549" spans="2:27" s="25" customFormat="1" ht="15.75" customHeight="1" x14ac:dyDescent="0.2">
      <c r="B549" s="89"/>
      <c r="C549"/>
      <c r="D549"/>
      <c r="E549" s="6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  <c r="U549"/>
      <c r="V549"/>
      <c r="W549"/>
      <c r="X549"/>
      <c r="Y549"/>
      <c r="Z549"/>
      <c r="AA549"/>
    </row>
    <row r="550" spans="2:27" s="25" customFormat="1" ht="15.75" customHeight="1" x14ac:dyDescent="0.2">
      <c r="B550" s="89"/>
      <c r="C550"/>
      <c r="D550"/>
      <c r="E550" s="69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  <c r="V550"/>
      <c r="W550"/>
      <c r="X550"/>
      <c r="Y550"/>
      <c r="Z550"/>
      <c r="AA550"/>
    </row>
    <row r="551" spans="2:27" s="25" customFormat="1" ht="15.75" customHeight="1" x14ac:dyDescent="0.2">
      <c r="B551" s="89"/>
      <c r="C551"/>
      <c r="D551"/>
      <c r="E551" s="69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  <c r="V551"/>
      <c r="W551"/>
      <c r="X551"/>
      <c r="Y551"/>
      <c r="Z551"/>
      <c r="AA551"/>
    </row>
    <row r="552" spans="2:27" s="25" customFormat="1" ht="15.75" customHeight="1" x14ac:dyDescent="0.2">
      <c r="B552" s="89"/>
      <c r="C552"/>
      <c r="D552"/>
      <c r="E552" s="69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  <c r="V552"/>
      <c r="W552"/>
      <c r="X552"/>
      <c r="Y552"/>
      <c r="Z552"/>
      <c r="AA552"/>
    </row>
    <row r="553" spans="2:27" s="25" customFormat="1" ht="15.75" customHeight="1" x14ac:dyDescent="0.2">
      <c r="B553" s="89"/>
      <c r="C553"/>
      <c r="D553"/>
      <c r="E553" s="69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  <c r="V553"/>
      <c r="W553"/>
      <c r="X553"/>
      <c r="Y553"/>
      <c r="Z553"/>
      <c r="AA553"/>
    </row>
    <row r="554" spans="2:27" s="25" customFormat="1" ht="15.75" customHeight="1" x14ac:dyDescent="0.2">
      <c r="B554" s="89"/>
      <c r="C554"/>
      <c r="D554"/>
      <c r="E554" s="69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  <c r="V554"/>
      <c r="W554"/>
      <c r="X554"/>
      <c r="Y554"/>
      <c r="Z554"/>
      <c r="AA554"/>
    </row>
    <row r="555" spans="2:27" s="25" customFormat="1" ht="15.75" customHeight="1" x14ac:dyDescent="0.2">
      <c r="B555" s="89"/>
      <c r="C555"/>
      <c r="D555"/>
      <c r="E555" s="69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  <c r="V555"/>
      <c r="W555"/>
      <c r="X555"/>
      <c r="Y555"/>
      <c r="Z555"/>
      <c r="AA555"/>
    </row>
    <row r="556" spans="2:27" s="25" customFormat="1" ht="15.75" customHeight="1" x14ac:dyDescent="0.2">
      <c r="B556" s="89"/>
      <c r="C556"/>
      <c r="D556"/>
      <c r="E556" s="69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  <c r="V556"/>
      <c r="W556"/>
      <c r="X556"/>
      <c r="Y556"/>
      <c r="Z556"/>
      <c r="AA556"/>
    </row>
    <row r="557" spans="2:27" s="25" customFormat="1" ht="15.75" customHeight="1" x14ac:dyDescent="0.2">
      <c r="B557" s="89"/>
      <c r="C557"/>
      <c r="D557"/>
      <c r="E557" s="69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  <c r="V557"/>
      <c r="W557"/>
      <c r="X557"/>
      <c r="Y557"/>
      <c r="Z557"/>
      <c r="AA557"/>
    </row>
    <row r="558" spans="2:27" s="25" customFormat="1" ht="15.75" customHeight="1" x14ac:dyDescent="0.2">
      <c r="B558" s="89"/>
      <c r="C558"/>
      <c r="D558"/>
      <c r="E558" s="69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  <c r="V558"/>
      <c r="W558"/>
      <c r="X558"/>
      <c r="Y558"/>
      <c r="Z558"/>
      <c r="AA558"/>
    </row>
    <row r="559" spans="2:27" s="25" customFormat="1" ht="15.75" customHeight="1" x14ac:dyDescent="0.2">
      <c r="B559" s="89"/>
      <c r="C559"/>
      <c r="D559"/>
      <c r="E559" s="6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  <c r="V559"/>
      <c r="W559"/>
      <c r="X559"/>
      <c r="Y559"/>
      <c r="Z559"/>
      <c r="AA559"/>
    </row>
    <row r="560" spans="2:27" s="25" customFormat="1" ht="15.75" customHeight="1" x14ac:dyDescent="0.2">
      <c r="B560" s="89"/>
      <c r="C560"/>
      <c r="D560"/>
      <c r="E560" s="69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  <c r="V560"/>
      <c r="W560"/>
      <c r="X560"/>
      <c r="Y560"/>
      <c r="Z560"/>
      <c r="AA560"/>
    </row>
    <row r="561" spans="2:27" s="25" customFormat="1" ht="15.75" customHeight="1" x14ac:dyDescent="0.2">
      <c r="B561" s="89"/>
      <c r="C561"/>
      <c r="D561"/>
      <c r="E561" s="69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  <c r="V561"/>
      <c r="W561"/>
      <c r="X561"/>
      <c r="Y561"/>
      <c r="Z561"/>
      <c r="AA561"/>
    </row>
    <row r="562" spans="2:27" s="25" customFormat="1" ht="15.75" customHeight="1" x14ac:dyDescent="0.2">
      <c r="B562" s="89"/>
      <c r="C562"/>
      <c r="D562"/>
      <c r="E562" s="69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  <c r="V562"/>
      <c r="W562"/>
      <c r="X562"/>
      <c r="Y562"/>
      <c r="Z562"/>
      <c r="AA562"/>
    </row>
    <row r="563" spans="2:27" s="25" customFormat="1" ht="15.75" customHeight="1" x14ac:dyDescent="0.2">
      <c r="B563" s="89"/>
      <c r="C563"/>
      <c r="D563"/>
      <c r="E563" s="69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  <c r="V563"/>
      <c r="W563"/>
      <c r="X563"/>
      <c r="Y563"/>
      <c r="Z563"/>
      <c r="AA563"/>
    </row>
    <row r="564" spans="2:27" s="25" customFormat="1" ht="15.75" customHeight="1" x14ac:dyDescent="0.2">
      <c r="B564" s="89"/>
      <c r="C564"/>
      <c r="D564"/>
      <c r="E564" s="69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  <c r="V564"/>
      <c r="W564"/>
      <c r="X564"/>
      <c r="Y564"/>
      <c r="Z564"/>
      <c r="AA564"/>
    </row>
    <row r="565" spans="2:27" s="25" customFormat="1" ht="15.75" customHeight="1" x14ac:dyDescent="0.2">
      <c r="B565" s="89"/>
      <c r="C565"/>
      <c r="D565"/>
      <c r="E565" s="69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  <c r="V565"/>
      <c r="W565"/>
      <c r="X565"/>
      <c r="Y565"/>
      <c r="Z565"/>
      <c r="AA565"/>
    </row>
    <row r="566" spans="2:27" s="25" customFormat="1" ht="15.75" customHeight="1" x14ac:dyDescent="0.2">
      <c r="B566" s="89"/>
      <c r="C566"/>
      <c r="D566"/>
      <c r="E566" s="69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  <c r="V566"/>
      <c r="W566"/>
      <c r="X566"/>
      <c r="Y566"/>
      <c r="Z566"/>
      <c r="AA566"/>
    </row>
    <row r="567" spans="2:27" s="25" customFormat="1" ht="15.75" customHeight="1" x14ac:dyDescent="0.2">
      <c r="B567" s="89"/>
      <c r="C567"/>
      <c r="D567"/>
      <c r="E567" s="69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  <c r="V567"/>
      <c r="W567"/>
      <c r="X567"/>
      <c r="Y567"/>
      <c r="Z567"/>
      <c r="AA567"/>
    </row>
    <row r="568" spans="2:27" s="25" customFormat="1" ht="15.75" customHeight="1" x14ac:dyDescent="0.2">
      <c r="B568" s="89"/>
      <c r="C568"/>
      <c r="D568"/>
      <c r="E568" s="69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  <c r="V568"/>
      <c r="W568"/>
      <c r="X568"/>
      <c r="Y568"/>
      <c r="Z568"/>
      <c r="AA568"/>
    </row>
    <row r="569" spans="2:27" s="25" customFormat="1" ht="15.75" customHeight="1" x14ac:dyDescent="0.2">
      <c r="B569" s="89"/>
      <c r="C569"/>
      <c r="D569"/>
      <c r="E569" s="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  <c r="V569"/>
      <c r="W569"/>
      <c r="X569"/>
      <c r="Y569"/>
      <c r="Z569"/>
      <c r="AA569"/>
    </row>
    <row r="570" spans="2:27" s="25" customFormat="1" ht="15.75" customHeight="1" x14ac:dyDescent="0.2">
      <c r="B570" s="89"/>
      <c r="C570"/>
      <c r="D570"/>
      <c r="E570" s="69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  <c r="V570"/>
      <c r="W570"/>
      <c r="X570"/>
      <c r="Y570"/>
      <c r="Z570"/>
      <c r="AA570"/>
    </row>
    <row r="571" spans="2:27" s="25" customFormat="1" ht="15.75" customHeight="1" x14ac:dyDescent="0.2">
      <c r="B571" s="89"/>
      <c r="C571"/>
      <c r="D571"/>
      <c r="E571" s="69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  <c r="V571"/>
      <c r="W571"/>
      <c r="X571"/>
      <c r="Y571"/>
      <c r="Z571"/>
      <c r="AA571"/>
    </row>
    <row r="572" spans="2:27" s="25" customFormat="1" ht="15.75" customHeight="1" x14ac:dyDescent="0.2">
      <c r="B572" s="89"/>
      <c r="C572"/>
      <c r="D572"/>
      <c r="E572" s="69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  <c r="V572"/>
      <c r="W572"/>
      <c r="X572"/>
      <c r="Y572"/>
      <c r="Z572"/>
      <c r="AA572"/>
    </row>
    <row r="573" spans="2:27" s="25" customFormat="1" ht="15.75" customHeight="1" x14ac:dyDescent="0.2">
      <c r="B573" s="89"/>
      <c r="C573"/>
      <c r="D573"/>
      <c r="E573" s="69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  <c r="V573"/>
      <c r="W573"/>
      <c r="X573"/>
      <c r="Y573"/>
      <c r="Z573"/>
      <c r="AA573"/>
    </row>
    <row r="574" spans="2:27" s="25" customFormat="1" ht="15.75" customHeight="1" x14ac:dyDescent="0.2">
      <c r="B574" s="89"/>
      <c r="C574"/>
      <c r="D574"/>
      <c r="E574" s="69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  <c r="V574"/>
      <c r="W574"/>
      <c r="X574"/>
      <c r="Y574"/>
      <c r="Z574"/>
      <c r="AA574"/>
    </row>
    <row r="575" spans="2:27" s="25" customFormat="1" ht="15.75" customHeight="1" x14ac:dyDescent="0.2">
      <c r="B575" s="89"/>
      <c r="C575"/>
      <c r="D575"/>
      <c r="E575" s="69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  <c r="V575"/>
      <c r="W575"/>
      <c r="X575"/>
      <c r="Y575"/>
      <c r="Z575"/>
      <c r="AA575"/>
    </row>
    <row r="576" spans="2:27" s="25" customFormat="1" ht="15.75" customHeight="1" x14ac:dyDescent="0.2">
      <c r="B576" s="89"/>
      <c r="C576"/>
      <c r="D576"/>
      <c r="E576" s="69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  <c r="V576"/>
      <c r="W576"/>
      <c r="X576"/>
      <c r="Y576"/>
      <c r="Z576"/>
      <c r="AA576"/>
    </row>
    <row r="577" spans="2:27" s="25" customFormat="1" ht="15.75" customHeight="1" x14ac:dyDescent="0.2">
      <c r="B577" s="89"/>
      <c r="C577"/>
      <c r="D577"/>
      <c r="E577" s="69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  <c r="V577"/>
      <c r="W577"/>
      <c r="X577"/>
      <c r="Y577"/>
      <c r="Z577"/>
      <c r="AA577"/>
    </row>
    <row r="578" spans="2:27" s="25" customFormat="1" ht="15.75" customHeight="1" x14ac:dyDescent="0.2">
      <c r="B578" s="89"/>
      <c r="C578"/>
      <c r="D578"/>
      <c r="E578" s="69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  <c r="V578"/>
      <c r="W578"/>
      <c r="X578"/>
      <c r="Y578"/>
      <c r="Z578"/>
      <c r="AA578"/>
    </row>
    <row r="579" spans="2:27" s="25" customFormat="1" ht="15.75" customHeight="1" x14ac:dyDescent="0.2">
      <c r="B579" s="89"/>
      <c r="C579"/>
      <c r="D579"/>
      <c r="E579" s="6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  <c r="V579"/>
      <c r="W579"/>
      <c r="X579"/>
      <c r="Y579"/>
      <c r="Z579"/>
      <c r="AA579"/>
    </row>
    <row r="580" spans="2:27" s="25" customFormat="1" ht="15.75" customHeight="1" x14ac:dyDescent="0.2">
      <c r="B580" s="89"/>
      <c r="C580"/>
      <c r="D580"/>
      <c r="E580" s="69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  <c r="V580"/>
      <c r="W580"/>
      <c r="X580"/>
      <c r="Y580"/>
      <c r="Z580"/>
      <c r="AA580"/>
    </row>
    <row r="581" spans="2:27" s="25" customFormat="1" ht="15.75" customHeight="1" x14ac:dyDescent="0.2">
      <c r="B581" s="89"/>
      <c r="C581"/>
      <c r="D581"/>
      <c r="E581" s="69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  <c r="V581"/>
      <c r="W581"/>
      <c r="X581"/>
      <c r="Y581"/>
      <c r="Z581"/>
      <c r="AA581"/>
    </row>
    <row r="582" spans="2:27" s="25" customFormat="1" ht="15.75" customHeight="1" x14ac:dyDescent="0.2">
      <c r="B582" s="89"/>
      <c r="C582"/>
      <c r="D582"/>
      <c r="E582" s="69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  <c r="V582"/>
      <c r="W582"/>
      <c r="X582"/>
      <c r="Y582"/>
      <c r="Z582"/>
      <c r="AA582"/>
    </row>
    <row r="583" spans="2:27" s="25" customFormat="1" ht="15.75" customHeight="1" x14ac:dyDescent="0.2">
      <c r="B583" s="89"/>
      <c r="C583"/>
      <c r="D583"/>
      <c r="E583" s="69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  <c r="U583"/>
      <c r="V583"/>
      <c r="W583"/>
      <c r="X583"/>
      <c r="Y583"/>
      <c r="Z583"/>
      <c r="AA583"/>
    </row>
    <row r="584" spans="2:27" s="25" customFormat="1" ht="15.75" customHeight="1" x14ac:dyDescent="0.2">
      <c r="B584" s="89"/>
      <c r="C584"/>
      <c r="D584"/>
      <c r="E584" s="69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  <c r="V584"/>
      <c r="W584"/>
      <c r="X584"/>
      <c r="Y584"/>
      <c r="Z584"/>
      <c r="AA584"/>
    </row>
    <row r="585" spans="2:27" s="25" customFormat="1" ht="15.75" customHeight="1" x14ac:dyDescent="0.2">
      <c r="B585" s="89"/>
      <c r="C585"/>
      <c r="D585"/>
      <c r="E585" s="69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  <c r="V585"/>
      <c r="W585"/>
      <c r="X585"/>
      <c r="Y585"/>
      <c r="Z585"/>
      <c r="AA585"/>
    </row>
    <row r="586" spans="2:27" s="25" customFormat="1" ht="15.75" customHeight="1" x14ac:dyDescent="0.2">
      <c r="B586" s="89"/>
      <c r="C586"/>
      <c r="D586"/>
      <c r="E586" s="69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  <c r="V586"/>
      <c r="W586"/>
      <c r="X586"/>
      <c r="Y586"/>
      <c r="Z586"/>
      <c r="AA586"/>
    </row>
    <row r="587" spans="2:27" s="25" customFormat="1" ht="15.75" customHeight="1" x14ac:dyDescent="0.2">
      <c r="B587" s="89"/>
      <c r="C587"/>
      <c r="D587"/>
      <c r="E587" s="69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  <c r="V587"/>
      <c r="W587"/>
      <c r="X587"/>
      <c r="Y587"/>
      <c r="Z587"/>
      <c r="AA587"/>
    </row>
    <row r="588" spans="2:27" s="25" customFormat="1" ht="15.75" customHeight="1" x14ac:dyDescent="0.2">
      <c r="B588" s="89"/>
      <c r="C588"/>
      <c r="D588"/>
      <c r="E588" s="69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  <c r="V588"/>
      <c r="W588"/>
      <c r="X588"/>
      <c r="Y588"/>
      <c r="Z588"/>
      <c r="AA588"/>
    </row>
    <row r="589" spans="2:27" s="25" customFormat="1" ht="15.75" customHeight="1" x14ac:dyDescent="0.2">
      <c r="B589" s="89"/>
      <c r="C589"/>
      <c r="D589"/>
      <c r="E589" s="6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  <c r="V589"/>
      <c r="W589"/>
      <c r="X589"/>
      <c r="Y589"/>
      <c r="Z589"/>
      <c r="AA589"/>
    </row>
    <row r="590" spans="2:27" s="25" customFormat="1" ht="15.75" customHeight="1" x14ac:dyDescent="0.2">
      <c r="B590" s="89"/>
      <c r="C590"/>
      <c r="D590"/>
      <c r="E590" s="69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  <c r="V590"/>
      <c r="W590"/>
      <c r="X590"/>
      <c r="Y590"/>
      <c r="Z590"/>
      <c r="AA590"/>
    </row>
    <row r="591" spans="2:27" s="25" customFormat="1" ht="15.75" customHeight="1" x14ac:dyDescent="0.2">
      <c r="B591" s="89"/>
      <c r="C591"/>
      <c r="D591"/>
      <c r="E591" s="69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  <c r="U591"/>
      <c r="V591"/>
      <c r="W591"/>
      <c r="X591"/>
      <c r="Y591"/>
      <c r="Z591"/>
      <c r="AA591"/>
    </row>
    <row r="592" spans="2:27" s="25" customFormat="1" ht="15.75" customHeight="1" x14ac:dyDescent="0.2">
      <c r="B592" s="89"/>
      <c r="C592"/>
      <c r="D592"/>
      <c r="E592" s="69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  <c r="V592"/>
      <c r="W592"/>
      <c r="X592"/>
      <c r="Y592"/>
      <c r="Z592"/>
      <c r="AA592"/>
    </row>
    <row r="593" spans="2:27" s="25" customFormat="1" ht="15.75" customHeight="1" x14ac:dyDescent="0.2">
      <c r="B593" s="89"/>
      <c r="C593"/>
      <c r="D593"/>
      <c r="E593" s="69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  <c r="V593"/>
      <c r="W593"/>
      <c r="X593"/>
      <c r="Y593"/>
      <c r="Z593"/>
      <c r="AA593"/>
    </row>
    <row r="594" spans="2:27" s="25" customFormat="1" ht="15.75" customHeight="1" x14ac:dyDescent="0.2">
      <c r="B594" s="89"/>
      <c r="C594"/>
      <c r="D594"/>
      <c r="E594" s="69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  <c r="V594"/>
      <c r="W594"/>
      <c r="X594"/>
      <c r="Y594"/>
      <c r="Z594"/>
      <c r="AA594"/>
    </row>
    <row r="595" spans="2:27" s="25" customFormat="1" ht="15.75" customHeight="1" x14ac:dyDescent="0.2">
      <c r="B595" s="89"/>
      <c r="C595"/>
      <c r="D595"/>
      <c r="E595" s="69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  <c r="V595"/>
      <c r="W595"/>
      <c r="X595"/>
      <c r="Y595"/>
      <c r="Z595"/>
      <c r="AA595"/>
    </row>
    <row r="596" spans="2:27" s="25" customFormat="1" ht="15.75" customHeight="1" x14ac:dyDescent="0.2">
      <c r="B596" s="89"/>
      <c r="C596"/>
      <c r="D596"/>
      <c r="E596" s="69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  <c r="V596"/>
      <c r="W596"/>
      <c r="X596"/>
      <c r="Y596"/>
      <c r="Z596"/>
      <c r="AA596"/>
    </row>
    <row r="597" spans="2:27" s="25" customFormat="1" ht="15.75" customHeight="1" x14ac:dyDescent="0.2">
      <c r="B597" s="89"/>
      <c r="C597"/>
      <c r="D597"/>
      <c r="E597" s="69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  <c r="V597"/>
      <c r="W597"/>
      <c r="X597"/>
      <c r="Y597"/>
      <c r="Z597"/>
      <c r="AA597"/>
    </row>
    <row r="598" spans="2:27" s="25" customFormat="1" ht="15.75" customHeight="1" x14ac:dyDescent="0.2">
      <c r="B598" s="89"/>
      <c r="C598"/>
      <c r="D598"/>
      <c r="E598" s="69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  <c r="V598"/>
      <c r="W598"/>
      <c r="X598"/>
      <c r="Y598"/>
      <c r="Z598"/>
      <c r="AA598"/>
    </row>
    <row r="599" spans="2:27" s="25" customFormat="1" ht="15.75" customHeight="1" x14ac:dyDescent="0.2">
      <c r="B599" s="89"/>
      <c r="C599"/>
      <c r="D599"/>
      <c r="E599" s="6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  <c r="V599"/>
      <c r="W599"/>
      <c r="X599"/>
      <c r="Y599"/>
      <c r="Z599"/>
      <c r="AA599"/>
    </row>
    <row r="600" spans="2:27" s="25" customFormat="1" ht="15.75" customHeight="1" x14ac:dyDescent="0.2">
      <c r="B600" s="89"/>
      <c r="C600"/>
      <c r="D600"/>
      <c r="E600" s="69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  <c r="V600"/>
      <c r="W600"/>
      <c r="X600"/>
      <c r="Y600"/>
      <c r="Z600"/>
      <c r="AA600"/>
    </row>
    <row r="601" spans="2:27" s="25" customFormat="1" ht="15.75" customHeight="1" x14ac:dyDescent="0.2">
      <c r="B601" s="89"/>
      <c r="C601"/>
      <c r="D601"/>
      <c r="E601" s="69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  <c r="V601"/>
      <c r="W601"/>
      <c r="X601"/>
      <c r="Y601"/>
      <c r="Z601"/>
      <c r="AA601"/>
    </row>
    <row r="602" spans="2:27" s="25" customFormat="1" ht="15.75" customHeight="1" x14ac:dyDescent="0.2">
      <c r="B602" s="89"/>
      <c r="C602"/>
      <c r="D602"/>
      <c r="E602" s="69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  <c r="V602"/>
      <c r="W602"/>
      <c r="X602"/>
      <c r="Y602"/>
      <c r="Z602"/>
      <c r="AA602"/>
    </row>
    <row r="603" spans="2:27" s="25" customFormat="1" ht="15.75" customHeight="1" x14ac:dyDescent="0.2">
      <c r="B603" s="89"/>
      <c r="C603"/>
      <c r="D603"/>
      <c r="E603" s="69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  <c r="V603"/>
      <c r="W603"/>
      <c r="X603"/>
      <c r="Y603"/>
      <c r="Z603"/>
      <c r="AA603"/>
    </row>
    <row r="604" spans="2:27" s="25" customFormat="1" ht="15.75" customHeight="1" x14ac:dyDescent="0.2">
      <c r="B604" s="89"/>
      <c r="C604"/>
      <c r="D604"/>
      <c r="E604" s="69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  <c r="V604"/>
      <c r="W604"/>
      <c r="X604"/>
      <c r="Y604"/>
      <c r="Z604"/>
      <c r="AA604"/>
    </row>
    <row r="605" spans="2:27" s="25" customFormat="1" ht="15.75" customHeight="1" x14ac:dyDescent="0.2">
      <c r="B605" s="89"/>
      <c r="C605"/>
      <c r="D605"/>
      <c r="E605" s="69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  <c r="V605"/>
      <c r="W605"/>
      <c r="X605"/>
      <c r="Y605"/>
      <c r="Z605"/>
      <c r="AA605"/>
    </row>
    <row r="606" spans="2:27" s="25" customFormat="1" ht="15.75" customHeight="1" x14ac:dyDescent="0.2">
      <c r="B606" s="89"/>
      <c r="C606"/>
      <c r="D606"/>
      <c r="E606" s="69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  <c r="U606"/>
      <c r="V606"/>
      <c r="W606"/>
      <c r="X606"/>
      <c r="Y606"/>
      <c r="Z606"/>
      <c r="AA606"/>
    </row>
    <row r="607" spans="2:27" s="25" customFormat="1" ht="15.75" customHeight="1" x14ac:dyDescent="0.2">
      <c r="B607" s="89"/>
      <c r="C607"/>
      <c r="D607"/>
      <c r="E607" s="69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  <c r="U607"/>
      <c r="V607"/>
      <c r="W607"/>
      <c r="X607"/>
      <c r="Y607"/>
      <c r="Z607"/>
      <c r="AA607"/>
    </row>
    <row r="608" spans="2:27" s="25" customFormat="1" ht="15.75" customHeight="1" x14ac:dyDescent="0.2">
      <c r="B608" s="89"/>
      <c r="C608"/>
      <c r="D608"/>
      <c r="E608" s="69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  <c r="V608"/>
      <c r="W608"/>
      <c r="X608"/>
      <c r="Y608"/>
      <c r="Z608"/>
      <c r="AA608"/>
    </row>
    <row r="609" spans="2:27" s="25" customFormat="1" ht="15.75" customHeight="1" x14ac:dyDescent="0.2">
      <c r="B609" s="89"/>
      <c r="C609"/>
      <c r="D609"/>
      <c r="E609" s="6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  <c r="V609"/>
      <c r="W609"/>
      <c r="X609"/>
      <c r="Y609"/>
      <c r="Z609"/>
      <c r="AA609"/>
    </row>
    <row r="610" spans="2:27" s="25" customFormat="1" ht="15.75" customHeight="1" x14ac:dyDescent="0.2">
      <c r="B610" s="89"/>
      <c r="C610"/>
      <c r="D610"/>
      <c r="E610" s="69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  <c r="V610"/>
      <c r="W610"/>
      <c r="X610"/>
      <c r="Y610"/>
      <c r="Z610"/>
      <c r="AA610"/>
    </row>
    <row r="611" spans="2:27" s="25" customFormat="1" ht="15.75" customHeight="1" x14ac:dyDescent="0.2">
      <c r="B611" s="89"/>
      <c r="C611"/>
      <c r="D611"/>
      <c r="E611" s="69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  <c r="V611"/>
      <c r="W611"/>
      <c r="X611"/>
      <c r="Y611"/>
      <c r="Z611"/>
      <c r="AA611"/>
    </row>
    <row r="612" spans="2:27" s="25" customFormat="1" ht="15.75" customHeight="1" x14ac:dyDescent="0.2">
      <c r="B612" s="89"/>
      <c r="C612"/>
      <c r="D612"/>
      <c r="E612" s="69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  <c r="V612"/>
      <c r="W612"/>
      <c r="X612"/>
      <c r="Y612"/>
      <c r="Z612"/>
      <c r="AA612"/>
    </row>
    <row r="613" spans="2:27" s="25" customFormat="1" ht="15.75" customHeight="1" x14ac:dyDescent="0.2">
      <c r="B613" s="89"/>
      <c r="C613"/>
      <c r="D613"/>
      <c r="E613" s="69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  <c r="V613"/>
      <c r="W613"/>
      <c r="X613"/>
      <c r="Y613"/>
      <c r="Z613"/>
      <c r="AA613"/>
    </row>
    <row r="614" spans="2:27" s="25" customFormat="1" ht="15.75" customHeight="1" x14ac:dyDescent="0.2">
      <c r="B614" s="89"/>
      <c r="C614"/>
      <c r="D614"/>
      <c r="E614" s="69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  <c r="V614"/>
      <c r="W614"/>
      <c r="X614"/>
      <c r="Y614"/>
      <c r="Z614"/>
      <c r="AA614"/>
    </row>
    <row r="615" spans="2:27" s="25" customFormat="1" ht="15.75" customHeight="1" x14ac:dyDescent="0.2">
      <c r="B615" s="89"/>
      <c r="C615"/>
      <c r="D615"/>
      <c r="E615" s="69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  <c r="V615"/>
      <c r="W615"/>
      <c r="X615"/>
      <c r="Y615"/>
      <c r="Z615"/>
      <c r="AA615"/>
    </row>
    <row r="616" spans="2:27" s="25" customFormat="1" ht="15.75" customHeight="1" x14ac:dyDescent="0.2">
      <c r="B616" s="89"/>
      <c r="C616"/>
      <c r="D616"/>
      <c r="E616" s="69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  <c r="V616"/>
      <c r="W616"/>
      <c r="X616"/>
      <c r="Y616"/>
      <c r="Z616"/>
      <c r="AA616"/>
    </row>
    <row r="617" spans="2:27" s="25" customFormat="1" ht="15.75" customHeight="1" x14ac:dyDescent="0.2">
      <c r="B617" s="89"/>
      <c r="C617"/>
      <c r="D617"/>
      <c r="E617" s="69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  <c r="V617"/>
      <c r="W617"/>
      <c r="X617"/>
      <c r="Y617"/>
      <c r="Z617"/>
      <c r="AA617"/>
    </row>
    <row r="618" spans="2:27" s="25" customFormat="1" ht="15.75" customHeight="1" x14ac:dyDescent="0.2">
      <c r="B618" s="89"/>
      <c r="C618"/>
      <c r="D618"/>
      <c r="E618" s="69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  <c r="V618"/>
      <c r="W618"/>
      <c r="X618"/>
      <c r="Y618"/>
      <c r="Z618"/>
      <c r="AA618"/>
    </row>
    <row r="619" spans="2:27" s="25" customFormat="1" ht="15.75" customHeight="1" x14ac:dyDescent="0.2">
      <c r="B619" s="89"/>
      <c r="C619"/>
      <c r="D619"/>
      <c r="E619" s="6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  <c r="V619"/>
      <c r="W619"/>
      <c r="X619"/>
      <c r="Y619"/>
      <c r="Z619"/>
      <c r="AA619"/>
    </row>
    <row r="620" spans="2:27" s="25" customFormat="1" ht="15.75" customHeight="1" x14ac:dyDescent="0.2">
      <c r="B620" s="89"/>
      <c r="C620"/>
      <c r="D620"/>
      <c r="E620" s="69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  <c r="V620"/>
      <c r="W620"/>
      <c r="X620"/>
      <c r="Y620"/>
      <c r="Z620"/>
      <c r="AA620"/>
    </row>
    <row r="621" spans="2:27" s="25" customFormat="1" ht="15.75" customHeight="1" x14ac:dyDescent="0.2">
      <c r="B621" s="89"/>
      <c r="C621"/>
      <c r="D621"/>
      <c r="E621" s="69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  <c r="V621"/>
      <c r="W621"/>
      <c r="X621"/>
      <c r="Y621"/>
      <c r="Z621"/>
      <c r="AA621"/>
    </row>
    <row r="622" spans="2:27" s="25" customFormat="1" ht="15.75" customHeight="1" x14ac:dyDescent="0.2">
      <c r="B622" s="89"/>
      <c r="C622"/>
      <c r="D622"/>
      <c r="E622" s="69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  <c r="V622"/>
      <c r="W622"/>
      <c r="X622"/>
      <c r="Y622"/>
      <c r="Z622"/>
      <c r="AA622"/>
    </row>
    <row r="623" spans="2:27" s="25" customFormat="1" ht="15.75" customHeight="1" x14ac:dyDescent="0.2">
      <c r="B623" s="89"/>
      <c r="C623"/>
      <c r="D623"/>
      <c r="E623" s="69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  <c r="V623"/>
      <c r="W623"/>
      <c r="X623"/>
      <c r="Y623"/>
      <c r="Z623"/>
      <c r="AA623"/>
    </row>
    <row r="624" spans="2:27" s="25" customFormat="1" ht="15.75" customHeight="1" x14ac:dyDescent="0.2">
      <c r="B624" s="89"/>
      <c r="C624"/>
      <c r="D624"/>
      <c r="E624" s="69"/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  <c r="T624"/>
      <c r="U624"/>
      <c r="V624"/>
      <c r="W624"/>
      <c r="X624"/>
      <c r="Y624"/>
      <c r="Z624"/>
      <c r="AA624"/>
    </row>
    <row r="625" spans="2:27" s="25" customFormat="1" ht="15.75" customHeight="1" x14ac:dyDescent="0.2">
      <c r="B625" s="89"/>
      <c r="C625"/>
      <c r="D625"/>
      <c r="E625" s="69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  <c r="V625"/>
      <c r="W625"/>
      <c r="X625"/>
      <c r="Y625"/>
      <c r="Z625"/>
      <c r="AA625"/>
    </row>
    <row r="626" spans="2:27" s="25" customFormat="1" ht="15.75" customHeight="1" x14ac:dyDescent="0.2">
      <c r="B626" s="89"/>
      <c r="C626"/>
      <c r="D626"/>
      <c r="E626" s="69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  <c r="V626"/>
      <c r="W626"/>
      <c r="X626"/>
      <c r="Y626"/>
      <c r="Z626"/>
      <c r="AA626"/>
    </row>
    <row r="627" spans="2:27" s="25" customFormat="1" ht="15.75" customHeight="1" x14ac:dyDescent="0.2">
      <c r="B627" s="89"/>
      <c r="C627"/>
      <c r="D627"/>
      <c r="E627" s="69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  <c r="V627"/>
      <c r="W627"/>
      <c r="X627"/>
      <c r="Y627"/>
      <c r="Z627"/>
      <c r="AA627"/>
    </row>
    <row r="628" spans="2:27" s="25" customFormat="1" ht="15.75" customHeight="1" x14ac:dyDescent="0.2">
      <c r="B628" s="89"/>
      <c r="C628"/>
      <c r="D628"/>
      <c r="E628" s="69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  <c r="V628"/>
      <c r="W628"/>
      <c r="X628"/>
      <c r="Y628"/>
      <c r="Z628"/>
      <c r="AA628"/>
    </row>
    <row r="629" spans="2:27" s="25" customFormat="1" ht="15.75" customHeight="1" x14ac:dyDescent="0.2">
      <c r="B629" s="89"/>
      <c r="C629"/>
      <c r="D629"/>
      <c r="E629" s="6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  <c r="V629"/>
      <c r="W629"/>
      <c r="X629"/>
      <c r="Y629"/>
      <c r="Z629"/>
      <c r="AA629"/>
    </row>
    <row r="630" spans="2:27" s="25" customFormat="1" ht="15.75" customHeight="1" x14ac:dyDescent="0.2">
      <c r="B630" s="89"/>
      <c r="C630"/>
      <c r="D630"/>
      <c r="E630" s="69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  <c r="V630"/>
      <c r="W630"/>
      <c r="X630"/>
      <c r="Y630"/>
      <c r="Z630"/>
      <c r="AA630"/>
    </row>
    <row r="631" spans="2:27" s="25" customFormat="1" ht="15.75" customHeight="1" x14ac:dyDescent="0.2">
      <c r="B631" s="89"/>
      <c r="C631"/>
      <c r="D631"/>
      <c r="E631" s="69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  <c r="V631"/>
      <c r="W631"/>
      <c r="X631"/>
      <c r="Y631"/>
      <c r="Z631"/>
      <c r="AA631"/>
    </row>
    <row r="632" spans="2:27" s="25" customFormat="1" ht="15.75" customHeight="1" x14ac:dyDescent="0.2">
      <c r="B632" s="89"/>
      <c r="C632"/>
      <c r="D632"/>
      <c r="E632" s="69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  <c r="V632"/>
      <c r="W632"/>
      <c r="X632"/>
      <c r="Y632"/>
      <c r="Z632"/>
      <c r="AA632"/>
    </row>
    <row r="633" spans="2:27" s="25" customFormat="1" ht="15.75" customHeight="1" x14ac:dyDescent="0.2">
      <c r="B633" s="89"/>
      <c r="C633"/>
      <c r="D633"/>
      <c r="E633" s="69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  <c r="V633"/>
      <c r="W633"/>
      <c r="X633"/>
      <c r="Y633"/>
      <c r="Z633"/>
      <c r="AA633"/>
    </row>
    <row r="634" spans="2:27" s="25" customFormat="1" ht="15.75" customHeight="1" x14ac:dyDescent="0.2">
      <c r="B634" s="89"/>
      <c r="C634"/>
      <c r="D634"/>
      <c r="E634" s="69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  <c r="V634"/>
      <c r="W634"/>
      <c r="X634"/>
      <c r="Y634"/>
      <c r="Z634"/>
      <c r="AA634"/>
    </row>
    <row r="635" spans="2:27" s="25" customFormat="1" ht="15.75" customHeight="1" x14ac:dyDescent="0.2">
      <c r="B635" s="89"/>
      <c r="C635"/>
      <c r="D635"/>
      <c r="E635" s="69"/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  <c r="V635"/>
      <c r="W635"/>
      <c r="X635"/>
      <c r="Y635"/>
      <c r="Z635"/>
      <c r="AA635"/>
    </row>
    <row r="636" spans="2:27" s="25" customFormat="1" ht="15.75" customHeight="1" x14ac:dyDescent="0.2">
      <c r="B636" s="89"/>
      <c r="C636"/>
      <c r="D636"/>
      <c r="E636" s="69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  <c r="V636"/>
      <c r="W636"/>
      <c r="X636"/>
      <c r="Y636"/>
      <c r="Z636"/>
      <c r="AA636"/>
    </row>
    <row r="637" spans="2:27" s="25" customFormat="1" ht="15.75" customHeight="1" x14ac:dyDescent="0.2">
      <c r="B637" s="89"/>
      <c r="C637"/>
      <c r="D637"/>
      <c r="E637" s="69"/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  <c r="V637"/>
      <c r="W637"/>
      <c r="X637"/>
      <c r="Y637"/>
      <c r="Z637"/>
      <c r="AA637"/>
    </row>
    <row r="638" spans="2:27" s="25" customFormat="1" ht="15.75" customHeight="1" x14ac:dyDescent="0.2">
      <c r="B638" s="89"/>
      <c r="C638"/>
      <c r="D638"/>
      <c r="E638" s="69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  <c r="V638"/>
      <c r="W638"/>
      <c r="X638"/>
      <c r="Y638"/>
      <c r="Z638"/>
      <c r="AA638"/>
    </row>
    <row r="639" spans="2:27" s="25" customFormat="1" ht="15.75" customHeight="1" x14ac:dyDescent="0.2">
      <c r="B639" s="89"/>
      <c r="C639"/>
      <c r="D639"/>
      <c r="E639" s="69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  <c r="U639"/>
      <c r="V639"/>
      <c r="W639"/>
      <c r="X639"/>
      <c r="Y639"/>
      <c r="Z639"/>
      <c r="AA639"/>
    </row>
    <row r="640" spans="2:27" s="25" customFormat="1" ht="15.75" customHeight="1" x14ac:dyDescent="0.2">
      <c r="B640" s="89"/>
      <c r="C640"/>
      <c r="D640"/>
      <c r="E640" s="69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  <c r="V640"/>
      <c r="W640"/>
      <c r="X640"/>
      <c r="Y640"/>
      <c r="Z640"/>
      <c r="AA640"/>
    </row>
    <row r="641" spans="2:27" s="25" customFormat="1" ht="15.75" customHeight="1" x14ac:dyDescent="0.2">
      <c r="B641" s="89"/>
      <c r="C641"/>
      <c r="D641"/>
      <c r="E641" s="69"/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/>
      <c r="U641"/>
      <c r="V641"/>
      <c r="W641"/>
      <c r="X641"/>
      <c r="Y641"/>
      <c r="Z641"/>
      <c r="AA641"/>
    </row>
    <row r="642" spans="2:27" s="25" customFormat="1" ht="15.75" customHeight="1" x14ac:dyDescent="0.2">
      <c r="B642" s="89"/>
      <c r="C642"/>
      <c r="D642"/>
      <c r="E642" s="69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  <c r="V642"/>
      <c r="W642"/>
      <c r="X642"/>
      <c r="Y642"/>
      <c r="Z642"/>
      <c r="AA642"/>
    </row>
    <row r="643" spans="2:27" s="25" customFormat="1" ht="15.75" customHeight="1" x14ac:dyDescent="0.2">
      <c r="B643" s="89"/>
      <c r="C643"/>
      <c r="D643"/>
      <c r="E643" s="69"/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  <c r="T643"/>
      <c r="U643"/>
      <c r="V643"/>
      <c r="W643"/>
      <c r="X643"/>
      <c r="Y643"/>
      <c r="Z643"/>
      <c r="AA643"/>
    </row>
    <row r="644" spans="2:27" s="25" customFormat="1" ht="15.75" customHeight="1" x14ac:dyDescent="0.2">
      <c r="B644" s="89"/>
      <c r="C644"/>
      <c r="D644"/>
      <c r="E644" s="69"/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  <c r="U644"/>
      <c r="V644"/>
      <c r="W644"/>
      <c r="X644"/>
      <c r="Y644"/>
      <c r="Z644"/>
      <c r="AA644"/>
    </row>
    <row r="645" spans="2:27" s="25" customFormat="1" ht="15.75" customHeight="1" x14ac:dyDescent="0.2">
      <c r="B645" s="89"/>
      <c r="C645"/>
      <c r="D645"/>
      <c r="E645" s="69"/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  <c r="T645"/>
      <c r="U645"/>
      <c r="V645"/>
      <c r="W645"/>
      <c r="X645"/>
      <c r="Y645"/>
      <c r="Z645"/>
      <c r="AA645"/>
    </row>
    <row r="646" spans="2:27" s="25" customFormat="1" ht="15.75" customHeight="1" x14ac:dyDescent="0.2">
      <c r="B646" s="89"/>
      <c r="C646"/>
      <c r="D646"/>
      <c r="E646" s="69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  <c r="U646"/>
      <c r="V646"/>
      <c r="W646"/>
      <c r="X646"/>
      <c r="Y646"/>
      <c r="Z646"/>
      <c r="AA646"/>
    </row>
    <row r="647" spans="2:27" s="25" customFormat="1" ht="15.75" customHeight="1" x14ac:dyDescent="0.2">
      <c r="B647" s="89"/>
      <c r="C647"/>
      <c r="D647"/>
      <c r="E647" s="69"/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  <c r="V647"/>
      <c r="W647"/>
      <c r="X647"/>
      <c r="Y647"/>
      <c r="Z647"/>
      <c r="AA647"/>
    </row>
    <row r="648" spans="2:27" s="25" customFormat="1" ht="15.75" customHeight="1" x14ac:dyDescent="0.2">
      <c r="B648" s="89"/>
      <c r="C648"/>
      <c r="D648"/>
      <c r="E648" s="69"/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  <c r="U648"/>
      <c r="V648"/>
      <c r="W648"/>
      <c r="X648"/>
      <c r="Y648"/>
      <c r="Z648"/>
      <c r="AA648"/>
    </row>
    <row r="649" spans="2:27" s="25" customFormat="1" ht="15.75" customHeight="1" x14ac:dyDescent="0.2">
      <c r="B649" s="89"/>
      <c r="C649"/>
      <c r="D649"/>
      <c r="E649" s="69"/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  <c r="T649"/>
      <c r="U649"/>
      <c r="V649"/>
      <c r="W649"/>
      <c r="X649"/>
      <c r="Y649"/>
      <c r="Z649"/>
      <c r="AA649"/>
    </row>
    <row r="650" spans="2:27" s="25" customFormat="1" ht="15.75" customHeight="1" x14ac:dyDescent="0.2">
      <c r="B650" s="89"/>
      <c r="C650"/>
      <c r="D650"/>
      <c r="E650" s="69"/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  <c r="T650"/>
      <c r="U650"/>
      <c r="V650"/>
      <c r="W650"/>
      <c r="X650"/>
      <c r="Y650"/>
      <c r="Z650"/>
      <c r="AA650"/>
    </row>
    <row r="651" spans="2:27" s="25" customFormat="1" ht="15.75" customHeight="1" x14ac:dyDescent="0.2">
      <c r="B651" s="89"/>
      <c r="C651"/>
      <c r="D651"/>
      <c r="E651" s="69"/>
      <c r="F651"/>
      <c r="G651"/>
      <c r="H651"/>
      <c r="I651"/>
      <c r="J651"/>
      <c r="K651"/>
      <c r="L651"/>
      <c r="M651"/>
      <c r="N651"/>
      <c r="O651"/>
      <c r="P651"/>
      <c r="Q651"/>
      <c r="R651"/>
      <c r="S651"/>
      <c r="T651"/>
      <c r="U651"/>
      <c r="V651"/>
      <c r="W651"/>
      <c r="X651"/>
      <c r="Y651"/>
      <c r="Z651"/>
      <c r="AA651"/>
    </row>
    <row r="652" spans="2:27" s="25" customFormat="1" ht="15.75" customHeight="1" x14ac:dyDescent="0.2">
      <c r="B652" s="89"/>
      <c r="C652"/>
      <c r="D652"/>
      <c r="E652" s="69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  <c r="V652"/>
      <c r="W652"/>
      <c r="X652"/>
      <c r="Y652"/>
      <c r="Z652"/>
      <c r="AA652"/>
    </row>
    <row r="653" spans="2:27" s="25" customFormat="1" ht="15.75" customHeight="1" x14ac:dyDescent="0.2">
      <c r="B653" s="89"/>
      <c r="C653"/>
      <c r="D653"/>
      <c r="E653" s="69"/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  <c r="T653"/>
      <c r="U653"/>
      <c r="V653"/>
      <c r="W653"/>
      <c r="X653"/>
      <c r="Y653"/>
      <c r="Z653"/>
      <c r="AA653"/>
    </row>
    <row r="654" spans="2:27" s="25" customFormat="1" ht="15.75" customHeight="1" x14ac:dyDescent="0.2">
      <c r="B654" s="89"/>
      <c r="C654"/>
      <c r="D654"/>
      <c r="E654" s="69"/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  <c r="T654"/>
      <c r="U654"/>
      <c r="V654"/>
      <c r="W654"/>
      <c r="X654"/>
      <c r="Y654"/>
      <c r="Z654"/>
      <c r="AA654"/>
    </row>
    <row r="655" spans="2:27" s="25" customFormat="1" ht="15.75" customHeight="1" x14ac:dyDescent="0.2">
      <c r="B655" s="89"/>
      <c r="C655"/>
      <c r="D655"/>
      <c r="E655" s="69"/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  <c r="V655"/>
      <c r="W655"/>
      <c r="X655"/>
      <c r="Y655"/>
      <c r="Z655"/>
      <c r="AA655"/>
    </row>
    <row r="656" spans="2:27" s="25" customFormat="1" ht="15.75" customHeight="1" x14ac:dyDescent="0.2">
      <c r="B656" s="89"/>
      <c r="C656"/>
      <c r="D656"/>
      <c r="E656" s="69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/>
      <c r="U656"/>
      <c r="V656"/>
      <c r="W656"/>
      <c r="X656"/>
      <c r="Y656"/>
      <c r="Z656"/>
      <c r="AA656"/>
    </row>
    <row r="657" spans="2:27" s="25" customFormat="1" ht="15.75" customHeight="1" x14ac:dyDescent="0.2">
      <c r="B657" s="89"/>
      <c r="C657"/>
      <c r="D657"/>
      <c r="E657" s="69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  <c r="V657"/>
      <c r="W657"/>
      <c r="X657"/>
      <c r="Y657"/>
      <c r="Z657"/>
      <c r="AA657"/>
    </row>
    <row r="658" spans="2:27" s="25" customFormat="1" ht="15.75" customHeight="1" x14ac:dyDescent="0.2">
      <c r="B658" s="89"/>
      <c r="C658"/>
      <c r="D658"/>
      <c r="E658" s="69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  <c r="U658"/>
      <c r="V658"/>
      <c r="W658"/>
      <c r="X658"/>
      <c r="Y658"/>
      <c r="Z658"/>
      <c r="AA658"/>
    </row>
    <row r="659" spans="2:27" s="25" customFormat="1" ht="15.75" customHeight="1" x14ac:dyDescent="0.2">
      <c r="B659" s="89"/>
      <c r="C659"/>
      <c r="D659"/>
      <c r="E659" s="69"/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  <c r="V659"/>
      <c r="W659"/>
      <c r="X659"/>
      <c r="Y659"/>
      <c r="Z659"/>
      <c r="AA659"/>
    </row>
    <row r="660" spans="2:27" s="25" customFormat="1" ht="15.75" customHeight="1" x14ac:dyDescent="0.2">
      <c r="B660" s="89"/>
      <c r="C660"/>
      <c r="D660"/>
      <c r="E660" s="69"/>
      <c r="F660"/>
      <c r="G660"/>
      <c r="H660"/>
      <c r="I660"/>
      <c r="J660"/>
      <c r="K660"/>
      <c r="L660"/>
      <c r="M660"/>
      <c r="N660"/>
      <c r="O660"/>
      <c r="P660"/>
      <c r="Q660"/>
      <c r="R660"/>
      <c r="S660"/>
      <c r="T660"/>
      <c r="U660"/>
      <c r="V660"/>
      <c r="W660"/>
      <c r="X660"/>
      <c r="Y660"/>
      <c r="Z660"/>
      <c r="AA660"/>
    </row>
    <row r="661" spans="2:27" s="25" customFormat="1" ht="15.75" customHeight="1" x14ac:dyDescent="0.2">
      <c r="B661" s="89"/>
      <c r="C661"/>
      <c r="D661"/>
      <c r="E661" s="69"/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  <c r="V661"/>
      <c r="W661"/>
      <c r="X661"/>
      <c r="Y661"/>
      <c r="Z661"/>
      <c r="AA661"/>
    </row>
    <row r="662" spans="2:27" s="25" customFormat="1" ht="15.75" customHeight="1" x14ac:dyDescent="0.2">
      <c r="B662" s="89"/>
      <c r="C662"/>
      <c r="D662"/>
      <c r="E662" s="69"/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  <c r="T662"/>
      <c r="U662"/>
      <c r="V662"/>
      <c r="W662"/>
      <c r="X662"/>
      <c r="Y662"/>
      <c r="Z662"/>
      <c r="AA662"/>
    </row>
    <row r="663" spans="2:27" s="25" customFormat="1" ht="15.75" customHeight="1" x14ac:dyDescent="0.2">
      <c r="B663" s="89"/>
      <c r="C663"/>
      <c r="D663"/>
      <c r="E663" s="69"/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  <c r="T663"/>
      <c r="U663"/>
      <c r="V663"/>
      <c r="W663"/>
      <c r="X663"/>
      <c r="Y663"/>
      <c r="Z663"/>
      <c r="AA663"/>
    </row>
    <row r="664" spans="2:27" s="25" customFormat="1" ht="15.75" customHeight="1" x14ac:dyDescent="0.2">
      <c r="B664" s="89"/>
      <c r="C664"/>
      <c r="D664"/>
      <c r="E664" s="69"/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/>
      <c r="U664"/>
      <c r="V664"/>
      <c r="W664"/>
      <c r="X664"/>
      <c r="Y664"/>
      <c r="Z664"/>
      <c r="AA664"/>
    </row>
    <row r="665" spans="2:27" s="25" customFormat="1" ht="15.75" customHeight="1" x14ac:dyDescent="0.2">
      <c r="B665" s="89"/>
      <c r="C665"/>
      <c r="D665"/>
      <c r="E665" s="69"/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  <c r="T665"/>
      <c r="U665"/>
      <c r="V665"/>
      <c r="W665"/>
      <c r="X665"/>
      <c r="Y665"/>
      <c r="Z665"/>
      <c r="AA665"/>
    </row>
    <row r="666" spans="2:27" s="25" customFormat="1" ht="15.75" customHeight="1" x14ac:dyDescent="0.2">
      <c r="B666" s="89"/>
      <c r="C666"/>
      <c r="D666"/>
      <c r="E666" s="69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  <c r="V666"/>
      <c r="W666"/>
      <c r="X666"/>
      <c r="Y666"/>
      <c r="Z666"/>
      <c r="AA666"/>
    </row>
    <row r="667" spans="2:27" s="25" customFormat="1" ht="15.75" customHeight="1" x14ac:dyDescent="0.2">
      <c r="B667" s="89"/>
      <c r="C667"/>
      <c r="D667"/>
      <c r="E667" s="69"/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  <c r="T667"/>
      <c r="U667"/>
      <c r="V667"/>
      <c r="W667"/>
      <c r="X667"/>
      <c r="Y667"/>
      <c r="Z667"/>
      <c r="AA667"/>
    </row>
    <row r="668" spans="2:27" s="25" customFormat="1" ht="15.75" customHeight="1" x14ac:dyDescent="0.2">
      <c r="B668" s="89"/>
      <c r="C668"/>
      <c r="D668"/>
      <c r="E668" s="69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  <c r="V668"/>
      <c r="W668"/>
      <c r="X668"/>
      <c r="Y668"/>
      <c r="Z668"/>
      <c r="AA668"/>
    </row>
    <row r="669" spans="2:27" s="25" customFormat="1" ht="15.75" customHeight="1" x14ac:dyDescent="0.2">
      <c r="B669" s="89"/>
      <c r="C669"/>
      <c r="D669"/>
      <c r="E669" s="69"/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  <c r="V669"/>
      <c r="W669"/>
      <c r="X669"/>
      <c r="Y669"/>
      <c r="Z669"/>
      <c r="AA669"/>
    </row>
    <row r="670" spans="2:27" s="25" customFormat="1" ht="15.75" customHeight="1" x14ac:dyDescent="0.2">
      <c r="B670" s="89"/>
      <c r="C670"/>
      <c r="D670"/>
      <c r="E670" s="69"/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  <c r="U670"/>
      <c r="V670"/>
      <c r="W670"/>
      <c r="X670"/>
      <c r="Y670"/>
      <c r="Z670"/>
      <c r="AA670"/>
    </row>
    <row r="671" spans="2:27" s="25" customFormat="1" ht="15.75" customHeight="1" x14ac:dyDescent="0.2">
      <c r="B671" s="89"/>
      <c r="C671"/>
      <c r="D671"/>
      <c r="E671" s="69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  <c r="V671"/>
      <c r="W671"/>
      <c r="X671"/>
      <c r="Y671"/>
      <c r="Z671"/>
      <c r="AA671"/>
    </row>
    <row r="672" spans="2:27" s="25" customFormat="1" ht="15.75" customHeight="1" x14ac:dyDescent="0.2">
      <c r="B672" s="89"/>
      <c r="C672"/>
      <c r="D672"/>
      <c r="E672" s="69"/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  <c r="T672"/>
      <c r="U672"/>
      <c r="V672"/>
      <c r="W672"/>
      <c r="X672"/>
      <c r="Y672"/>
      <c r="Z672"/>
      <c r="AA672"/>
    </row>
    <row r="673" spans="2:27" s="25" customFormat="1" ht="15.75" customHeight="1" x14ac:dyDescent="0.2">
      <c r="B673" s="89"/>
      <c r="C673"/>
      <c r="D673"/>
      <c r="E673" s="69"/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  <c r="T673"/>
      <c r="U673"/>
      <c r="V673"/>
      <c r="W673"/>
      <c r="X673"/>
      <c r="Y673"/>
      <c r="Z673"/>
      <c r="AA673"/>
    </row>
    <row r="674" spans="2:27" s="25" customFormat="1" ht="15.75" customHeight="1" x14ac:dyDescent="0.2">
      <c r="B674" s="89"/>
      <c r="C674"/>
      <c r="D674"/>
      <c r="E674" s="69"/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  <c r="U674"/>
      <c r="V674"/>
      <c r="W674"/>
      <c r="X674"/>
      <c r="Y674"/>
      <c r="Z674"/>
      <c r="AA674"/>
    </row>
    <row r="675" spans="2:27" s="25" customFormat="1" ht="15.75" customHeight="1" x14ac:dyDescent="0.2">
      <c r="B675" s="89"/>
      <c r="C675"/>
      <c r="D675"/>
      <c r="E675" s="69"/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  <c r="U675"/>
      <c r="V675"/>
      <c r="W675"/>
      <c r="X675"/>
      <c r="Y675"/>
      <c r="Z675"/>
      <c r="AA675"/>
    </row>
    <row r="676" spans="2:27" s="25" customFormat="1" ht="15.75" customHeight="1" x14ac:dyDescent="0.2">
      <c r="B676" s="89"/>
      <c r="C676"/>
      <c r="D676"/>
      <c r="E676" s="69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  <c r="V676"/>
      <c r="W676"/>
      <c r="X676"/>
      <c r="Y676"/>
      <c r="Z676"/>
      <c r="AA676"/>
    </row>
    <row r="677" spans="2:27" s="25" customFormat="1" ht="15.75" customHeight="1" x14ac:dyDescent="0.2">
      <c r="B677" s="89"/>
      <c r="C677"/>
      <c r="D677"/>
      <c r="E677" s="69"/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  <c r="V677"/>
      <c r="W677"/>
      <c r="X677"/>
      <c r="Y677"/>
      <c r="Z677"/>
      <c r="AA677"/>
    </row>
    <row r="678" spans="2:27" s="25" customFormat="1" ht="15.75" customHeight="1" x14ac:dyDescent="0.2">
      <c r="B678" s="89"/>
      <c r="C678"/>
      <c r="D678"/>
      <c r="E678" s="69"/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  <c r="T678"/>
      <c r="U678"/>
      <c r="V678"/>
      <c r="W678"/>
      <c r="X678"/>
      <c r="Y678"/>
      <c r="Z678"/>
      <c r="AA678"/>
    </row>
    <row r="679" spans="2:27" s="25" customFormat="1" ht="15.75" customHeight="1" x14ac:dyDescent="0.2">
      <c r="B679" s="89"/>
      <c r="C679"/>
      <c r="D679"/>
      <c r="E679" s="69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  <c r="V679"/>
      <c r="W679"/>
      <c r="X679"/>
      <c r="Y679"/>
      <c r="Z679"/>
      <c r="AA679"/>
    </row>
    <row r="680" spans="2:27" s="25" customFormat="1" ht="15.75" customHeight="1" x14ac:dyDescent="0.2">
      <c r="B680" s="89"/>
      <c r="C680"/>
      <c r="D680"/>
      <c r="E680" s="69"/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  <c r="U680"/>
      <c r="V680"/>
      <c r="W680"/>
      <c r="X680"/>
      <c r="Y680"/>
      <c r="Z680"/>
      <c r="AA680"/>
    </row>
    <row r="681" spans="2:27" s="25" customFormat="1" ht="15.75" customHeight="1" x14ac:dyDescent="0.2">
      <c r="B681" s="89"/>
      <c r="C681"/>
      <c r="D681"/>
      <c r="E681" s="69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  <c r="U681"/>
      <c r="V681"/>
      <c r="W681"/>
      <c r="X681"/>
      <c r="Y681"/>
      <c r="Z681"/>
      <c r="AA681"/>
    </row>
    <row r="682" spans="2:27" s="25" customFormat="1" ht="15.75" customHeight="1" x14ac:dyDescent="0.2">
      <c r="B682" s="89"/>
      <c r="C682"/>
      <c r="D682"/>
      <c r="E682" s="69"/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  <c r="T682"/>
      <c r="U682"/>
      <c r="V682"/>
      <c r="W682"/>
      <c r="X682"/>
      <c r="Y682"/>
      <c r="Z682"/>
      <c r="AA682"/>
    </row>
    <row r="683" spans="2:27" s="25" customFormat="1" ht="15.75" customHeight="1" x14ac:dyDescent="0.2">
      <c r="B683" s="89"/>
      <c r="C683"/>
      <c r="D683"/>
      <c r="E683" s="69"/>
      <c r="F683"/>
      <c r="G683"/>
      <c r="H683"/>
      <c r="I683"/>
      <c r="J683"/>
      <c r="K683"/>
      <c r="L683"/>
      <c r="M683"/>
      <c r="N683"/>
      <c r="O683"/>
      <c r="P683"/>
      <c r="Q683"/>
      <c r="R683"/>
      <c r="S683"/>
      <c r="T683"/>
      <c r="U683"/>
      <c r="V683"/>
      <c r="W683"/>
      <c r="X683"/>
      <c r="Y683"/>
      <c r="Z683"/>
      <c r="AA683"/>
    </row>
    <row r="684" spans="2:27" s="25" customFormat="1" ht="15.75" customHeight="1" x14ac:dyDescent="0.2">
      <c r="B684" s="89"/>
      <c r="C684"/>
      <c r="D684"/>
      <c r="E684" s="69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  <c r="V684"/>
      <c r="W684"/>
      <c r="X684"/>
      <c r="Y684"/>
      <c r="Z684"/>
      <c r="AA684"/>
    </row>
    <row r="685" spans="2:27" s="25" customFormat="1" ht="15.75" customHeight="1" x14ac:dyDescent="0.2">
      <c r="B685" s="89"/>
      <c r="C685"/>
      <c r="D685"/>
      <c r="E685" s="69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  <c r="V685"/>
      <c r="W685"/>
      <c r="X685"/>
      <c r="Y685"/>
      <c r="Z685"/>
      <c r="AA685"/>
    </row>
    <row r="686" spans="2:27" s="25" customFormat="1" ht="15.75" customHeight="1" x14ac:dyDescent="0.2">
      <c r="B686" s="89"/>
      <c r="C686"/>
      <c r="D686"/>
      <c r="E686" s="69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  <c r="U686"/>
      <c r="V686"/>
      <c r="W686"/>
      <c r="X686"/>
      <c r="Y686"/>
      <c r="Z686"/>
      <c r="AA686"/>
    </row>
    <row r="687" spans="2:27" s="25" customFormat="1" ht="15.75" customHeight="1" x14ac:dyDescent="0.2">
      <c r="B687" s="89"/>
      <c r="C687"/>
      <c r="D687"/>
      <c r="E687" s="69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  <c r="V687"/>
      <c r="W687"/>
      <c r="X687"/>
      <c r="Y687"/>
      <c r="Z687"/>
      <c r="AA687"/>
    </row>
    <row r="688" spans="2:27" s="25" customFormat="1" ht="15.75" customHeight="1" x14ac:dyDescent="0.2">
      <c r="B688" s="89"/>
      <c r="C688"/>
      <c r="D688"/>
      <c r="E688" s="69"/>
      <c r="F688"/>
      <c r="G688"/>
      <c r="H688"/>
      <c r="I688"/>
      <c r="J688"/>
      <c r="K688"/>
      <c r="L688"/>
      <c r="M688"/>
      <c r="N688"/>
      <c r="O688"/>
      <c r="P688"/>
      <c r="Q688"/>
      <c r="R688"/>
      <c r="S688"/>
      <c r="T688"/>
      <c r="U688"/>
      <c r="V688"/>
      <c r="W688"/>
      <c r="X688"/>
      <c r="Y688"/>
      <c r="Z688"/>
      <c r="AA688"/>
    </row>
    <row r="689" spans="2:27" s="25" customFormat="1" ht="15.75" customHeight="1" x14ac:dyDescent="0.2">
      <c r="B689" s="89"/>
      <c r="C689"/>
      <c r="D689"/>
      <c r="E689" s="6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  <c r="V689"/>
      <c r="W689"/>
      <c r="X689"/>
      <c r="Y689"/>
      <c r="Z689"/>
      <c r="AA689"/>
    </row>
    <row r="690" spans="2:27" s="25" customFormat="1" ht="15.75" customHeight="1" x14ac:dyDescent="0.2">
      <c r="B690" s="89"/>
      <c r="C690"/>
      <c r="D690"/>
      <c r="E690" s="69"/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  <c r="T690"/>
      <c r="U690"/>
      <c r="V690"/>
      <c r="W690"/>
      <c r="X690"/>
      <c r="Y690"/>
      <c r="Z690"/>
      <c r="AA690"/>
    </row>
    <row r="691" spans="2:27" s="25" customFormat="1" ht="15.75" customHeight="1" x14ac:dyDescent="0.2">
      <c r="B691" s="89"/>
      <c r="C691"/>
      <c r="D691"/>
      <c r="E691" s="69"/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  <c r="U691"/>
      <c r="V691"/>
      <c r="W691"/>
      <c r="X691"/>
      <c r="Y691"/>
      <c r="Z691"/>
      <c r="AA691"/>
    </row>
    <row r="692" spans="2:27" s="25" customFormat="1" ht="15.75" customHeight="1" x14ac:dyDescent="0.2">
      <c r="B692" s="89"/>
      <c r="C692"/>
      <c r="D692"/>
      <c r="E692" s="69"/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  <c r="T692"/>
      <c r="U692"/>
      <c r="V692"/>
      <c r="W692"/>
      <c r="X692"/>
      <c r="Y692"/>
      <c r="Z692"/>
      <c r="AA692"/>
    </row>
    <row r="693" spans="2:27" s="25" customFormat="1" ht="15.75" customHeight="1" x14ac:dyDescent="0.2">
      <c r="B693" s="89"/>
      <c r="C693"/>
      <c r="D693"/>
      <c r="E693" s="69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  <c r="U693"/>
      <c r="V693"/>
      <c r="W693"/>
      <c r="X693"/>
      <c r="Y693"/>
      <c r="Z693"/>
      <c r="AA693"/>
    </row>
    <row r="694" spans="2:27" s="25" customFormat="1" ht="15.75" customHeight="1" x14ac:dyDescent="0.2">
      <c r="B694" s="89"/>
      <c r="C694"/>
      <c r="D694"/>
      <c r="E694" s="69"/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  <c r="V694"/>
      <c r="W694"/>
      <c r="X694"/>
      <c r="Y694"/>
      <c r="Z694"/>
      <c r="AA694"/>
    </row>
    <row r="695" spans="2:27" s="25" customFormat="1" ht="15.75" customHeight="1" x14ac:dyDescent="0.2">
      <c r="B695" s="89"/>
      <c r="C695"/>
      <c r="D695"/>
      <c r="E695" s="69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  <c r="V695"/>
      <c r="W695"/>
      <c r="X695"/>
      <c r="Y695"/>
      <c r="Z695"/>
      <c r="AA695"/>
    </row>
    <row r="696" spans="2:27" s="25" customFormat="1" ht="15.75" customHeight="1" x14ac:dyDescent="0.2">
      <c r="B696" s="89"/>
      <c r="C696"/>
      <c r="D696"/>
      <c r="E696" s="69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  <c r="U696"/>
      <c r="V696"/>
      <c r="W696"/>
      <c r="X696"/>
      <c r="Y696"/>
      <c r="Z696"/>
      <c r="AA696"/>
    </row>
    <row r="697" spans="2:27" s="25" customFormat="1" ht="15.75" customHeight="1" x14ac:dyDescent="0.2">
      <c r="B697" s="89"/>
      <c r="C697"/>
      <c r="D697"/>
      <c r="E697" s="69"/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  <c r="V697"/>
      <c r="W697"/>
      <c r="X697"/>
      <c r="Y697"/>
      <c r="Z697"/>
      <c r="AA697"/>
    </row>
    <row r="698" spans="2:27" s="25" customFormat="1" ht="15.75" customHeight="1" x14ac:dyDescent="0.2">
      <c r="B698" s="89"/>
      <c r="C698"/>
      <c r="D698"/>
      <c r="E698" s="69"/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  <c r="V698"/>
      <c r="W698"/>
      <c r="X698"/>
      <c r="Y698"/>
      <c r="Z698"/>
      <c r="AA698"/>
    </row>
    <row r="699" spans="2:27" s="25" customFormat="1" ht="15.75" customHeight="1" x14ac:dyDescent="0.2">
      <c r="B699" s="89"/>
      <c r="C699"/>
      <c r="D699"/>
      <c r="E699" s="69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  <c r="V699"/>
      <c r="W699"/>
      <c r="X699"/>
      <c r="Y699"/>
      <c r="Z699"/>
      <c r="AA699"/>
    </row>
    <row r="700" spans="2:27" s="25" customFormat="1" ht="15.75" customHeight="1" x14ac:dyDescent="0.2">
      <c r="B700" s="89"/>
      <c r="C700"/>
      <c r="D700"/>
      <c r="E700" s="69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  <c r="V700"/>
      <c r="W700"/>
      <c r="X700"/>
      <c r="Y700"/>
      <c r="Z700"/>
      <c r="AA700"/>
    </row>
    <row r="701" spans="2:27" s="25" customFormat="1" ht="15.75" customHeight="1" x14ac:dyDescent="0.2">
      <c r="B701" s="89"/>
      <c r="C701"/>
      <c r="D701"/>
      <c r="E701" s="69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  <c r="V701"/>
      <c r="W701"/>
      <c r="X701"/>
      <c r="Y701"/>
      <c r="Z701"/>
      <c r="AA701"/>
    </row>
    <row r="702" spans="2:27" s="25" customFormat="1" ht="15.75" customHeight="1" x14ac:dyDescent="0.2">
      <c r="B702" s="89"/>
      <c r="C702"/>
      <c r="D702"/>
      <c r="E702" s="69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  <c r="V702"/>
      <c r="W702"/>
      <c r="X702"/>
      <c r="Y702"/>
      <c r="Z702"/>
      <c r="AA702"/>
    </row>
    <row r="703" spans="2:27" s="25" customFormat="1" ht="15.75" customHeight="1" x14ac:dyDescent="0.2">
      <c r="B703" s="89"/>
      <c r="C703"/>
      <c r="D703"/>
      <c r="E703" s="69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  <c r="V703"/>
      <c r="W703"/>
      <c r="X703"/>
      <c r="Y703"/>
      <c r="Z703"/>
      <c r="AA703"/>
    </row>
    <row r="704" spans="2:27" s="25" customFormat="1" ht="15.75" customHeight="1" x14ac:dyDescent="0.2">
      <c r="B704" s="89"/>
      <c r="C704"/>
      <c r="D704"/>
      <c r="E704" s="69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  <c r="V704"/>
      <c r="W704"/>
      <c r="X704"/>
      <c r="Y704"/>
      <c r="Z704"/>
      <c r="AA704"/>
    </row>
    <row r="705" spans="2:27" s="25" customFormat="1" ht="15.75" customHeight="1" x14ac:dyDescent="0.2">
      <c r="B705" s="89"/>
      <c r="C705"/>
      <c r="D705"/>
      <c r="E705" s="69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  <c r="V705"/>
      <c r="W705"/>
      <c r="X705"/>
      <c r="Y705"/>
      <c r="Z705"/>
      <c r="AA705"/>
    </row>
    <row r="706" spans="2:27" s="25" customFormat="1" ht="15.75" customHeight="1" x14ac:dyDescent="0.2">
      <c r="B706" s="89"/>
      <c r="C706"/>
      <c r="D706"/>
      <c r="E706" s="69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  <c r="V706"/>
      <c r="W706"/>
      <c r="X706"/>
      <c r="Y706"/>
      <c r="Z706"/>
      <c r="AA706"/>
    </row>
    <row r="707" spans="2:27" s="25" customFormat="1" ht="15.75" customHeight="1" x14ac:dyDescent="0.2">
      <c r="B707" s="89"/>
      <c r="C707"/>
      <c r="D707"/>
      <c r="E707" s="69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  <c r="V707"/>
      <c r="W707"/>
      <c r="X707"/>
      <c r="Y707"/>
      <c r="Z707"/>
      <c r="AA707"/>
    </row>
    <row r="708" spans="2:27" s="25" customFormat="1" ht="15.75" customHeight="1" x14ac:dyDescent="0.2">
      <c r="B708" s="89"/>
      <c r="C708"/>
      <c r="D708"/>
      <c r="E708" s="69"/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  <c r="V708"/>
      <c r="W708"/>
      <c r="X708"/>
      <c r="Y708"/>
      <c r="Z708"/>
      <c r="AA708"/>
    </row>
    <row r="709" spans="2:27" s="25" customFormat="1" ht="15.75" customHeight="1" x14ac:dyDescent="0.2">
      <c r="B709" s="89"/>
      <c r="C709"/>
      <c r="D709"/>
      <c r="E709" s="69"/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  <c r="T709"/>
      <c r="U709"/>
      <c r="V709"/>
      <c r="W709"/>
      <c r="X709"/>
      <c r="Y709"/>
      <c r="Z709"/>
      <c r="AA709"/>
    </row>
    <row r="710" spans="2:27" s="25" customFormat="1" ht="15.75" customHeight="1" x14ac:dyDescent="0.2">
      <c r="B710" s="89"/>
      <c r="C710"/>
      <c r="D710"/>
      <c r="E710" s="69"/>
      <c r="F710"/>
      <c r="G710"/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  <c r="V710"/>
      <c r="W710"/>
      <c r="X710"/>
      <c r="Y710"/>
      <c r="Z710"/>
      <c r="AA710"/>
    </row>
    <row r="711" spans="2:27" s="25" customFormat="1" ht="15.75" customHeight="1" x14ac:dyDescent="0.2">
      <c r="B711" s="89"/>
      <c r="C711"/>
      <c r="D711"/>
      <c r="E711" s="69"/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  <c r="U711"/>
      <c r="V711"/>
      <c r="W711"/>
      <c r="X711"/>
      <c r="Y711"/>
      <c r="Z711"/>
      <c r="AA711"/>
    </row>
    <row r="712" spans="2:27" s="25" customFormat="1" ht="15.75" customHeight="1" x14ac:dyDescent="0.2">
      <c r="B712" s="89"/>
      <c r="C712"/>
      <c r="D712"/>
      <c r="E712" s="69"/>
      <c r="F712"/>
      <c r="G712"/>
      <c r="H712"/>
      <c r="I712"/>
      <c r="J712"/>
      <c r="K712"/>
      <c r="L712"/>
      <c r="M712"/>
      <c r="N712"/>
      <c r="O712"/>
      <c r="P712"/>
      <c r="Q712"/>
      <c r="R712"/>
      <c r="S712"/>
      <c r="T712"/>
      <c r="U712"/>
      <c r="V712"/>
      <c r="W712"/>
      <c r="X712"/>
      <c r="Y712"/>
      <c r="Z712"/>
      <c r="AA712"/>
    </row>
    <row r="713" spans="2:27" s="25" customFormat="1" ht="15.75" customHeight="1" x14ac:dyDescent="0.2">
      <c r="B713" s="89"/>
      <c r="C713"/>
      <c r="D713"/>
      <c r="E713" s="69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  <c r="V713"/>
      <c r="W713"/>
      <c r="X713"/>
      <c r="Y713"/>
      <c r="Z713"/>
      <c r="AA713"/>
    </row>
    <row r="714" spans="2:27" s="25" customFormat="1" ht="15.75" customHeight="1" x14ac:dyDescent="0.2">
      <c r="B714" s="89"/>
      <c r="C714"/>
      <c r="D714"/>
      <c r="E714" s="69"/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  <c r="U714"/>
      <c r="V714"/>
      <c r="W714"/>
      <c r="X714"/>
      <c r="Y714"/>
      <c r="Z714"/>
      <c r="AA714"/>
    </row>
    <row r="715" spans="2:27" s="25" customFormat="1" ht="15.75" customHeight="1" x14ac:dyDescent="0.2">
      <c r="B715" s="89"/>
      <c r="C715"/>
      <c r="D715"/>
      <c r="E715" s="69"/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  <c r="V715"/>
      <c r="W715"/>
      <c r="X715"/>
      <c r="Y715"/>
      <c r="Z715"/>
      <c r="AA715"/>
    </row>
    <row r="716" spans="2:27" s="25" customFormat="1" ht="15.75" customHeight="1" x14ac:dyDescent="0.2">
      <c r="B716" s="89"/>
      <c r="C716"/>
      <c r="D716"/>
      <c r="E716" s="69"/>
      <c r="F716"/>
      <c r="G716"/>
      <c r="H716"/>
      <c r="I716"/>
      <c r="J716"/>
      <c r="K716"/>
      <c r="L716"/>
      <c r="M716"/>
      <c r="N716"/>
      <c r="O716"/>
      <c r="P716"/>
      <c r="Q716"/>
      <c r="R716"/>
      <c r="S716"/>
      <c r="T716"/>
      <c r="U716"/>
      <c r="V716"/>
      <c r="W716"/>
      <c r="X716"/>
      <c r="Y716"/>
      <c r="Z716"/>
      <c r="AA716"/>
    </row>
    <row r="717" spans="2:27" s="25" customFormat="1" ht="15.75" customHeight="1" x14ac:dyDescent="0.2">
      <c r="B717" s="89"/>
      <c r="C717"/>
      <c r="D717"/>
      <c r="E717" s="69"/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  <c r="V717"/>
      <c r="W717"/>
      <c r="X717"/>
      <c r="Y717"/>
      <c r="Z717"/>
      <c r="AA717"/>
    </row>
    <row r="718" spans="2:27" s="25" customFormat="1" ht="15.75" customHeight="1" x14ac:dyDescent="0.2">
      <c r="B718" s="89"/>
      <c r="C718"/>
      <c r="D718"/>
      <c r="E718" s="69"/>
      <c r="F718"/>
      <c r="G718"/>
      <c r="H718"/>
      <c r="I718"/>
      <c r="J718"/>
      <c r="K718"/>
      <c r="L718"/>
      <c r="M718"/>
      <c r="N718"/>
      <c r="O718"/>
      <c r="P718"/>
      <c r="Q718"/>
      <c r="R718"/>
      <c r="S718"/>
      <c r="T718"/>
      <c r="U718"/>
      <c r="V718"/>
      <c r="W718"/>
      <c r="X718"/>
      <c r="Y718"/>
      <c r="Z718"/>
      <c r="AA718"/>
    </row>
    <row r="719" spans="2:27" s="25" customFormat="1" ht="15.75" customHeight="1" x14ac:dyDescent="0.2">
      <c r="B719" s="89"/>
      <c r="C719"/>
      <c r="D719"/>
      <c r="E719" s="69"/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  <c r="T719"/>
      <c r="U719"/>
      <c r="V719"/>
      <c r="W719"/>
      <c r="X719"/>
      <c r="Y719"/>
      <c r="Z719"/>
      <c r="AA719"/>
    </row>
    <row r="720" spans="2:27" s="25" customFormat="1" ht="15.75" customHeight="1" x14ac:dyDescent="0.2">
      <c r="B720" s="89"/>
      <c r="C720"/>
      <c r="D720"/>
      <c r="E720" s="69"/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  <c r="U720"/>
      <c r="V720"/>
      <c r="W720"/>
      <c r="X720"/>
      <c r="Y720"/>
      <c r="Z720"/>
      <c r="AA720"/>
    </row>
    <row r="721" spans="2:27" s="25" customFormat="1" ht="15.75" customHeight="1" x14ac:dyDescent="0.2">
      <c r="B721" s="89"/>
      <c r="C721"/>
      <c r="D721"/>
      <c r="E721" s="69"/>
      <c r="F721"/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  <c r="V721"/>
      <c r="W721"/>
      <c r="X721"/>
      <c r="Y721"/>
      <c r="Z721"/>
      <c r="AA721"/>
    </row>
    <row r="722" spans="2:27" s="25" customFormat="1" ht="15.75" customHeight="1" x14ac:dyDescent="0.2">
      <c r="B722" s="89"/>
      <c r="C722"/>
      <c r="D722"/>
      <c r="E722" s="69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  <c r="V722"/>
      <c r="W722"/>
      <c r="X722"/>
      <c r="Y722"/>
      <c r="Z722"/>
      <c r="AA722"/>
    </row>
    <row r="723" spans="2:27" s="25" customFormat="1" ht="15.75" customHeight="1" x14ac:dyDescent="0.2">
      <c r="B723" s="89"/>
      <c r="C723"/>
      <c r="D723"/>
      <c r="E723" s="69"/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  <c r="U723"/>
      <c r="V723"/>
      <c r="W723"/>
      <c r="X723"/>
      <c r="Y723"/>
      <c r="Z723"/>
      <c r="AA723"/>
    </row>
    <row r="724" spans="2:27" s="25" customFormat="1" ht="15.75" customHeight="1" x14ac:dyDescent="0.2">
      <c r="B724" s="89"/>
      <c r="C724"/>
      <c r="D724"/>
      <c r="E724" s="69"/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  <c r="U724"/>
      <c r="V724"/>
      <c r="W724"/>
      <c r="X724"/>
      <c r="Y724"/>
      <c r="Z724"/>
      <c r="AA724"/>
    </row>
    <row r="725" spans="2:27" s="25" customFormat="1" ht="15.75" customHeight="1" x14ac:dyDescent="0.2">
      <c r="B725" s="89"/>
      <c r="C725"/>
      <c r="D725"/>
      <c r="E725" s="69"/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/>
      <c r="U725"/>
      <c r="V725"/>
      <c r="W725"/>
      <c r="X725"/>
      <c r="Y725"/>
      <c r="Z725"/>
      <c r="AA725"/>
    </row>
    <row r="726" spans="2:27" s="25" customFormat="1" ht="15.75" customHeight="1" x14ac:dyDescent="0.2">
      <c r="B726" s="89"/>
      <c r="C726"/>
      <c r="D726"/>
      <c r="E726" s="69"/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  <c r="U726"/>
      <c r="V726"/>
      <c r="W726"/>
      <c r="X726"/>
      <c r="Y726"/>
      <c r="Z726"/>
      <c r="AA726"/>
    </row>
    <row r="727" spans="2:27" s="25" customFormat="1" ht="15.75" customHeight="1" x14ac:dyDescent="0.2">
      <c r="B727" s="89"/>
      <c r="C727"/>
      <c r="D727"/>
      <c r="E727" s="69"/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  <c r="V727"/>
      <c r="W727"/>
      <c r="X727"/>
      <c r="Y727"/>
      <c r="Z727"/>
      <c r="AA727"/>
    </row>
    <row r="728" spans="2:27" s="25" customFormat="1" ht="15.75" customHeight="1" x14ac:dyDescent="0.2">
      <c r="B728" s="89"/>
      <c r="C728"/>
      <c r="D728"/>
      <c r="E728" s="69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  <c r="V728"/>
      <c r="W728"/>
      <c r="X728"/>
      <c r="Y728"/>
      <c r="Z728"/>
      <c r="AA728"/>
    </row>
    <row r="729" spans="2:27" s="25" customFormat="1" ht="15.75" customHeight="1" x14ac:dyDescent="0.2">
      <c r="B729" s="89"/>
      <c r="C729"/>
      <c r="D729"/>
      <c r="E729" s="69"/>
      <c r="F729"/>
      <c r="G729"/>
      <c r="H729"/>
      <c r="I729"/>
      <c r="J729"/>
      <c r="K729"/>
      <c r="L729"/>
      <c r="M729"/>
      <c r="N729"/>
      <c r="O729"/>
      <c r="P729"/>
      <c r="Q729"/>
      <c r="R729"/>
      <c r="S729"/>
      <c r="T729"/>
      <c r="U729"/>
      <c r="V729"/>
      <c r="W729"/>
      <c r="X729"/>
      <c r="Y729"/>
      <c r="Z729"/>
      <c r="AA729"/>
    </row>
    <row r="730" spans="2:27" s="25" customFormat="1" ht="15.75" customHeight="1" x14ac:dyDescent="0.2">
      <c r="B730" s="89"/>
      <c r="C730"/>
      <c r="D730"/>
      <c r="E730" s="69"/>
      <c r="F730"/>
      <c r="G730"/>
      <c r="H730"/>
      <c r="I730"/>
      <c r="J730"/>
      <c r="K730"/>
      <c r="L730"/>
      <c r="M730"/>
      <c r="N730"/>
      <c r="O730"/>
      <c r="P730"/>
      <c r="Q730"/>
      <c r="R730"/>
      <c r="S730"/>
      <c r="T730"/>
      <c r="U730"/>
      <c r="V730"/>
      <c r="W730"/>
      <c r="X730"/>
      <c r="Y730"/>
      <c r="Z730"/>
      <c r="AA730"/>
    </row>
    <row r="731" spans="2:27" s="25" customFormat="1" ht="15.75" customHeight="1" x14ac:dyDescent="0.2">
      <c r="B731" s="89"/>
      <c r="C731"/>
      <c r="D731"/>
      <c r="E731" s="69"/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  <c r="V731"/>
      <c r="W731"/>
      <c r="X731"/>
      <c r="Y731"/>
      <c r="Z731"/>
      <c r="AA731"/>
    </row>
    <row r="732" spans="2:27" s="25" customFormat="1" ht="15.75" customHeight="1" x14ac:dyDescent="0.2">
      <c r="B732" s="89"/>
      <c r="C732"/>
      <c r="D732"/>
      <c r="E732" s="69"/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  <c r="U732"/>
      <c r="V732"/>
      <c r="W732"/>
      <c r="X732"/>
      <c r="Y732"/>
      <c r="Z732"/>
      <c r="AA732"/>
    </row>
    <row r="733" spans="2:27" s="25" customFormat="1" ht="15.75" customHeight="1" x14ac:dyDescent="0.2">
      <c r="B733" s="89"/>
      <c r="C733"/>
      <c r="D733"/>
      <c r="E733" s="69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  <c r="V733"/>
      <c r="W733"/>
      <c r="X733"/>
      <c r="Y733"/>
      <c r="Z733"/>
      <c r="AA733"/>
    </row>
    <row r="734" spans="2:27" s="25" customFormat="1" ht="15.75" customHeight="1" x14ac:dyDescent="0.2">
      <c r="B734" s="89"/>
      <c r="C734"/>
      <c r="D734"/>
      <c r="E734" s="69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  <c r="V734"/>
      <c r="W734"/>
      <c r="X734"/>
      <c r="Y734"/>
      <c r="Z734"/>
      <c r="AA734"/>
    </row>
    <row r="735" spans="2:27" s="25" customFormat="1" ht="15.75" customHeight="1" x14ac:dyDescent="0.2">
      <c r="B735" s="89"/>
      <c r="C735"/>
      <c r="D735"/>
      <c r="E735" s="69"/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  <c r="U735"/>
      <c r="V735"/>
      <c r="W735"/>
      <c r="X735"/>
      <c r="Y735"/>
      <c r="Z735"/>
      <c r="AA735"/>
    </row>
    <row r="736" spans="2:27" s="25" customFormat="1" ht="15.75" customHeight="1" x14ac:dyDescent="0.2">
      <c r="B736" s="89"/>
      <c r="C736"/>
      <c r="D736"/>
      <c r="E736" s="69"/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  <c r="U736"/>
      <c r="V736"/>
      <c r="W736"/>
      <c r="X736"/>
      <c r="Y736"/>
      <c r="Z736"/>
      <c r="AA736"/>
    </row>
    <row r="737" spans="2:27" s="25" customFormat="1" ht="15.75" customHeight="1" x14ac:dyDescent="0.2">
      <c r="B737" s="89"/>
      <c r="C737"/>
      <c r="D737"/>
      <c r="E737" s="69"/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  <c r="U737"/>
      <c r="V737"/>
      <c r="W737"/>
      <c r="X737"/>
      <c r="Y737"/>
      <c r="Z737"/>
      <c r="AA737"/>
    </row>
    <row r="738" spans="2:27" s="25" customFormat="1" ht="15.75" customHeight="1" x14ac:dyDescent="0.2">
      <c r="B738" s="89"/>
      <c r="C738"/>
      <c r="D738"/>
      <c r="E738" s="69"/>
      <c r="F738"/>
      <c r="G738"/>
      <c r="H738"/>
      <c r="I738"/>
      <c r="J738"/>
      <c r="K738"/>
      <c r="L738"/>
      <c r="M738"/>
      <c r="N738"/>
      <c r="O738"/>
      <c r="P738"/>
      <c r="Q738"/>
      <c r="R738"/>
      <c r="S738"/>
      <c r="T738"/>
      <c r="U738"/>
      <c r="V738"/>
      <c r="W738"/>
      <c r="X738"/>
      <c r="Y738"/>
      <c r="Z738"/>
      <c r="AA738"/>
    </row>
    <row r="739" spans="2:27" s="25" customFormat="1" ht="15.75" customHeight="1" x14ac:dyDescent="0.2">
      <c r="B739" s="89"/>
      <c r="C739"/>
      <c r="D739"/>
      <c r="E739" s="69"/>
      <c r="F739"/>
      <c r="G739"/>
      <c r="H739"/>
      <c r="I739"/>
      <c r="J739"/>
      <c r="K739"/>
      <c r="L739"/>
      <c r="M739"/>
      <c r="N739"/>
      <c r="O739"/>
      <c r="P739"/>
      <c r="Q739"/>
      <c r="R739"/>
      <c r="S739"/>
      <c r="T739"/>
      <c r="U739"/>
      <c r="V739"/>
      <c r="W739"/>
      <c r="X739"/>
      <c r="Y739"/>
      <c r="Z739"/>
      <c r="AA739"/>
    </row>
    <row r="740" spans="2:27" s="25" customFormat="1" ht="15.75" customHeight="1" x14ac:dyDescent="0.2">
      <c r="B740" s="89"/>
      <c r="C740"/>
      <c r="D740"/>
      <c r="E740" s="69"/>
      <c r="F740"/>
      <c r="G740"/>
      <c r="H740"/>
      <c r="I740"/>
      <c r="J740"/>
      <c r="K740"/>
      <c r="L740"/>
      <c r="M740"/>
      <c r="N740"/>
      <c r="O740"/>
      <c r="P740"/>
      <c r="Q740"/>
      <c r="R740"/>
      <c r="S740"/>
      <c r="T740"/>
      <c r="U740"/>
      <c r="V740"/>
      <c r="W740"/>
      <c r="X740"/>
      <c r="Y740"/>
      <c r="Z740"/>
      <c r="AA740"/>
    </row>
    <row r="741" spans="2:27" s="25" customFormat="1" ht="15.75" customHeight="1" x14ac:dyDescent="0.2">
      <c r="B741" s="89"/>
      <c r="C741"/>
      <c r="D741"/>
      <c r="E741" s="69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  <c r="V741"/>
      <c r="W741"/>
      <c r="X741"/>
      <c r="Y741"/>
      <c r="Z741"/>
      <c r="AA741"/>
    </row>
    <row r="742" spans="2:27" s="25" customFormat="1" ht="15.75" customHeight="1" x14ac:dyDescent="0.2">
      <c r="B742" s="89"/>
      <c r="C742"/>
      <c r="D742"/>
      <c r="E742" s="69"/>
      <c r="F742"/>
      <c r="G742"/>
      <c r="H742"/>
      <c r="I742"/>
      <c r="J742"/>
      <c r="K742"/>
      <c r="L742"/>
      <c r="M742"/>
      <c r="N742"/>
      <c r="O742"/>
      <c r="P742"/>
      <c r="Q742"/>
      <c r="R742"/>
      <c r="S742"/>
      <c r="T742"/>
      <c r="U742"/>
      <c r="V742"/>
      <c r="W742"/>
      <c r="X742"/>
      <c r="Y742"/>
      <c r="Z742"/>
      <c r="AA742"/>
    </row>
    <row r="743" spans="2:27" s="25" customFormat="1" ht="15.75" customHeight="1" x14ac:dyDescent="0.2">
      <c r="B743" s="89"/>
      <c r="C743"/>
      <c r="D743"/>
      <c r="E743" s="69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  <c r="V743"/>
      <c r="W743"/>
      <c r="X743"/>
      <c r="Y743"/>
      <c r="Z743"/>
      <c r="AA743"/>
    </row>
    <row r="744" spans="2:27" s="25" customFormat="1" ht="15.75" customHeight="1" x14ac:dyDescent="0.2">
      <c r="B744" s="89"/>
      <c r="C744"/>
      <c r="D744"/>
      <c r="E744" s="69"/>
      <c r="F744"/>
      <c r="G744"/>
      <c r="H744"/>
      <c r="I744"/>
      <c r="J744"/>
      <c r="K744"/>
      <c r="L744"/>
      <c r="M744"/>
      <c r="N744"/>
      <c r="O744"/>
      <c r="P744"/>
      <c r="Q744"/>
      <c r="R744"/>
      <c r="S744"/>
      <c r="T744"/>
      <c r="U744"/>
      <c r="V744"/>
      <c r="W744"/>
      <c r="X744"/>
      <c r="Y744"/>
      <c r="Z744"/>
      <c r="AA744"/>
    </row>
    <row r="745" spans="2:27" s="25" customFormat="1" ht="15.75" customHeight="1" x14ac:dyDescent="0.2">
      <c r="B745" s="89"/>
      <c r="C745"/>
      <c r="D745"/>
      <c r="E745" s="69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  <c r="V745"/>
      <c r="W745"/>
      <c r="X745"/>
      <c r="Y745"/>
      <c r="Z745"/>
      <c r="AA745"/>
    </row>
    <row r="746" spans="2:27" s="25" customFormat="1" ht="15.75" customHeight="1" x14ac:dyDescent="0.2">
      <c r="B746" s="89"/>
      <c r="C746"/>
      <c r="D746"/>
      <c r="E746" s="69"/>
      <c r="F746"/>
      <c r="G746"/>
      <c r="H746"/>
      <c r="I746"/>
      <c r="J746"/>
      <c r="K746"/>
      <c r="L746"/>
      <c r="M746"/>
      <c r="N746"/>
      <c r="O746"/>
      <c r="P746"/>
      <c r="Q746"/>
      <c r="R746"/>
      <c r="S746"/>
      <c r="T746"/>
      <c r="U746"/>
      <c r="V746"/>
      <c r="W746"/>
      <c r="X746"/>
      <c r="Y746"/>
      <c r="Z746"/>
      <c r="AA746"/>
    </row>
    <row r="747" spans="2:27" s="25" customFormat="1" ht="15.75" customHeight="1" x14ac:dyDescent="0.2">
      <c r="B747" s="89"/>
      <c r="C747"/>
      <c r="D747"/>
      <c r="E747" s="69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  <c r="U747"/>
      <c r="V747"/>
      <c r="W747"/>
      <c r="X747"/>
      <c r="Y747"/>
      <c r="Z747"/>
      <c r="AA747"/>
    </row>
    <row r="748" spans="2:27" s="25" customFormat="1" ht="15.75" customHeight="1" x14ac:dyDescent="0.2">
      <c r="B748" s="89"/>
      <c r="C748"/>
      <c r="D748"/>
      <c r="E748" s="69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  <c r="V748"/>
      <c r="W748"/>
      <c r="X748"/>
      <c r="Y748"/>
      <c r="Z748"/>
      <c r="AA748"/>
    </row>
    <row r="749" spans="2:27" s="25" customFormat="1" ht="15.75" customHeight="1" x14ac:dyDescent="0.2">
      <c r="B749" s="89"/>
      <c r="C749"/>
      <c r="D749"/>
      <c r="E749" s="69"/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  <c r="T749"/>
      <c r="U749"/>
      <c r="V749"/>
      <c r="W749"/>
      <c r="X749"/>
      <c r="Y749"/>
      <c r="Z749"/>
      <c r="AA749"/>
    </row>
    <row r="750" spans="2:27" s="25" customFormat="1" ht="15.75" customHeight="1" x14ac:dyDescent="0.2">
      <c r="B750" s="89"/>
      <c r="C750"/>
      <c r="D750"/>
      <c r="E750" s="69"/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  <c r="V750"/>
      <c r="W750"/>
      <c r="X750"/>
      <c r="Y750"/>
      <c r="Z750"/>
      <c r="AA750"/>
    </row>
    <row r="751" spans="2:27" s="25" customFormat="1" ht="15.75" customHeight="1" x14ac:dyDescent="0.2">
      <c r="B751" s="89"/>
      <c r="C751"/>
      <c r="D751"/>
      <c r="E751" s="69"/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  <c r="V751"/>
      <c r="W751"/>
      <c r="X751"/>
      <c r="Y751"/>
      <c r="Z751"/>
      <c r="AA751"/>
    </row>
    <row r="752" spans="2:27" s="25" customFormat="1" ht="15.75" customHeight="1" x14ac:dyDescent="0.2">
      <c r="B752" s="89"/>
      <c r="C752"/>
      <c r="D752"/>
      <c r="E752" s="69"/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  <c r="V752"/>
      <c r="W752"/>
      <c r="X752"/>
      <c r="Y752"/>
      <c r="Z752"/>
      <c r="AA752"/>
    </row>
    <row r="753" spans="2:27" s="25" customFormat="1" ht="15.75" customHeight="1" x14ac:dyDescent="0.2">
      <c r="B753" s="89"/>
      <c r="C753"/>
      <c r="D753"/>
      <c r="E753" s="69"/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  <c r="T753"/>
      <c r="U753"/>
      <c r="V753"/>
      <c r="W753"/>
      <c r="X753"/>
      <c r="Y753"/>
      <c r="Z753"/>
      <c r="AA753"/>
    </row>
    <row r="754" spans="2:27" s="25" customFormat="1" ht="15.75" customHeight="1" x14ac:dyDescent="0.2">
      <c r="B754" s="89"/>
      <c r="C754"/>
      <c r="D754"/>
      <c r="E754" s="69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  <c r="T754"/>
      <c r="U754"/>
      <c r="V754"/>
      <c r="W754"/>
      <c r="X754"/>
      <c r="Y754"/>
      <c r="Z754"/>
      <c r="AA754"/>
    </row>
    <row r="755" spans="2:27" s="25" customFormat="1" ht="15.75" customHeight="1" x14ac:dyDescent="0.2">
      <c r="B755" s="89"/>
      <c r="C755"/>
      <c r="D755"/>
      <c r="E755" s="69"/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  <c r="V755"/>
      <c r="W755"/>
      <c r="X755"/>
      <c r="Y755"/>
      <c r="Z755"/>
      <c r="AA755"/>
    </row>
    <row r="756" spans="2:27" s="25" customFormat="1" ht="15.75" customHeight="1" x14ac:dyDescent="0.2">
      <c r="B756" s="89"/>
      <c r="C756"/>
      <c r="D756"/>
      <c r="E756" s="69"/>
      <c r="F756"/>
      <c r="G756"/>
      <c r="H756"/>
      <c r="I756"/>
      <c r="J756"/>
      <c r="K756"/>
      <c r="L756"/>
      <c r="M756"/>
      <c r="N756"/>
      <c r="O756"/>
      <c r="P756"/>
      <c r="Q756"/>
      <c r="R756"/>
      <c r="S756"/>
      <c r="T756"/>
      <c r="U756"/>
      <c r="V756"/>
      <c r="W756"/>
      <c r="X756"/>
      <c r="Y756"/>
      <c r="Z756"/>
      <c r="AA756"/>
    </row>
    <row r="757" spans="2:27" s="25" customFormat="1" ht="15.75" customHeight="1" x14ac:dyDescent="0.2">
      <c r="B757" s="89"/>
      <c r="C757"/>
      <c r="D757"/>
      <c r="E757" s="69"/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  <c r="T757"/>
      <c r="U757"/>
      <c r="V757"/>
      <c r="W757"/>
      <c r="X757"/>
      <c r="Y757"/>
      <c r="Z757"/>
      <c r="AA757"/>
    </row>
    <row r="758" spans="2:27" s="25" customFormat="1" ht="15.75" customHeight="1" x14ac:dyDescent="0.2">
      <c r="B758" s="89"/>
      <c r="C758"/>
      <c r="D758"/>
      <c r="E758" s="69"/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  <c r="T758"/>
      <c r="U758"/>
      <c r="V758"/>
      <c r="W758"/>
      <c r="X758"/>
      <c r="Y758"/>
      <c r="Z758"/>
      <c r="AA758"/>
    </row>
    <row r="759" spans="2:27" s="25" customFormat="1" ht="15.75" customHeight="1" x14ac:dyDescent="0.2">
      <c r="B759" s="89"/>
      <c r="C759"/>
      <c r="D759"/>
      <c r="E759" s="69"/>
      <c r="F759"/>
      <c r="G759"/>
      <c r="H759"/>
      <c r="I759"/>
      <c r="J759"/>
      <c r="K759"/>
      <c r="L759"/>
      <c r="M759"/>
      <c r="N759"/>
      <c r="O759"/>
      <c r="P759"/>
      <c r="Q759"/>
      <c r="R759"/>
      <c r="S759"/>
      <c r="T759"/>
      <c r="U759"/>
      <c r="V759"/>
      <c r="W759"/>
      <c r="X759"/>
      <c r="Y759"/>
      <c r="Z759"/>
      <c r="AA759"/>
    </row>
    <row r="760" spans="2:27" s="25" customFormat="1" ht="15.75" customHeight="1" x14ac:dyDescent="0.2">
      <c r="B760" s="89"/>
      <c r="C760"/>
      <c r="D760"/>
      <c r="E760" s="69"/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  <c r="T760"/>
      <c r="U760"/>
      <c r="V760"/>
      <c r="W760"/>
      <c r="X760"/>
      <c r="Y760"/>
      <c r="Z760"/>
      <c r="AA760"/>
    </row>
    <row r="761" spans="2:27" s="25" customFormat="1" ht="15.75" customHeight="1" x14ac:dyDescent="0.2">
      <c r="B761" s="89"/>
      <c r="C761"/>
      <c r="D761"/>
      <c r="E761" s="69"/>
      <c r="F761"/>
      <c r="G761"/>
      <c r="H761"/>
      <c r="I761"/>
      <c r="J761"/>
      <c r="K761"/>
      <c r="L761"/>
      <c r="M761"/>
      <c r="N761"/>
      <c r="O761"/>
      <c r="P761"/>
      <c r="Q761"/>
      <c r="R761"/>
      <c r="S761"/>
      <c r="T761"/>
      <c r="U761"/>
      <c r="V761"/>
      <c r="W761"/>
      <c r="X761"/>
      <c r="Y761"/>
      <c r="Z761"/>
      <c r="AA761"/>
    </row>
    <row r="762" spans="2:27" s="25" customFormat="1" ht="15.75" customHeight="1" x14ac:dyDescent="0.2">
      <c r="B762" s="89"/>
      <c r="C762"/>
      <c r="D762"/>
      <c r="E762" s="69"/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  <c r="U762"/>
      <c r="V762"/>
      <c r="W762"/>
      <c r="X762"/>
      <c r="Y762"/>
      <c r="Z762"/>
      <c r="AA762"/>
    </row>
    <row r="763" spans="2:27" s="25" customFormat="1" ht="15.75" customHeight="1" x14ac:dyDescent="0.2">
      <c r="B763" s="89"/>
      <c r="C763"/>
      <c r="D763"/>
      <c r="E763" s="69"/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  <c r="V763"/>
      <c r="W763"/>
      <c r="X763"/>
      <c r="Y763"/>
      <c r="Z763"/>
      <c r="AA763"/>
    </row>
    <row r="764" spans="2:27" s="25" customFormat="1" ht="15.75" customHeight="1" x14ac:dyDescent="0.2">
      <c r="B764" s="89"/>
      <c r="C764"/>
      <c r="D764"/>
      <c r="E764" s="69"/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  <c r="V764"/>
      <c r="W764"/>
      <c r="X764"/>
      <c r="Y764"/>
      <c r="Z764"/>
      <c r="AA764"/>
    </row>
    <row r="765" spans="2:27" s="25" customFormat="1" ht="15.75" customHeight="1" x14ac:dyDescent="0.2">
      <c r="B765" s="89"/>
      <c r="C765"/>
      <c r="D765"/>
      <c r="E765" s="69"/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  <c r="U765"/>
      <c r="V765"/>
      <c r="W765"/>
      <c r="X765"/>
      <c r="Y765"/>
      <c r="Z765"/>
      <c r="AA765"/>
    </row>
    <row r="766" spans="2:27" s="25" customFormat="1" ht="15.75" customHeight="1" x14ac:dyDescent="0.2">
      <c r="B766" s="89"/>
      <c r="C766"/>
      <c r="D766"/>
      <c r="E766" s="69"/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  <c r="T766"/>
      <c r="U766"/>
      <c r="V766"/>
      <c r="W766"/>
      <c r="X766"/>
      <c r="Y766"/>
      <c r="Z766"/>
      <c r="AA766"/>
    </row>
    <row r="767" spans="2:27" s="25" customFormat="1" ht="15.75" customHeight="1" x14ac:dyDescent="0.2">
      <c r="B767" s="89"/>
      <c r="C767"/>
      <c r="D767"/>
      <c r="E767" s="69"/>
      <c r="F767"/>
      <c r="G767"/>
      <c r="H767"/>
      <c r="I767"/>
      <c r="J767"/>
      <c r="K767"/>
      <c r="L767"/>
      <c r="M767"/>
      <c r="N767"/>
      <c r="O767"/>
      <c r="P767"/>
      <c r="Q767"/>
      <c r="R767"/>
      <c r="S767"/>
      <c r="T767"/>
      <c r="U767"/>
      <c r="V767"/>
      <c r="W767"/>
      <c r="X767"/>
      <c r="Y767"/>
      <c r="Z767"/>
      <c r="AA767"/>
    </row>
    <row r="768" spans="2:27" s="25" customFormat="1" ht="15.75" customHeight="1" x14ac:dyDescent="0.2">
      <c r="B768" s="89"/>
      <c r="C768"/>
      <c r="D768"/>
      <c r="E768" s="69"/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  <c r="U768"/>
      <c r="V768"/>
      <c r="W768"/>
      <c r="X768"/>
      <c r="Y768"/>
      <c r="Z768"/>
      <c r="AA768"/>
    </row>
    <row r="769" spans="2:27" s="25" customFormat="1" ht="15.75" customHeight="1" x14ac:dyDescent="0.2">
      <c r="B769" s="89"/>
      <c r="C769"/>
      <c r="D769"/>
      <c r="E769" s="69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  <c r="V769"/>
      <c r="W769"/>
      <c r="X769"/>
      <c r="Y769"/>
      <c r="Z769"/>
      <c r="AA769"/>
    </row>
    <row r="770" spans="2:27" s="25" customFormat="1" ht="15.75" customHeight="1" x14ac:dyDescent="0.2">
      <c r="B770" s="89"/>
      <c r="C770"/>
      <c r="D770"/>
      <c r="E770" s="69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  <c r="V770"/>
      <c r="W770"/>
      <c r="X770"/>
      <c r="Y770"/>
      <c r="Z770"/>
      <c r="AA770"/>
    </row>
    <row r="771" spans="2:27" s="25" customFormat="1" ht="15.75" customHeight="1" x14ac:dyDescent="0.2">
      <c r="B771" s="89"/>
      <c r="C771"/>
      <c r="D771"/>
      <c r="E771" s="69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  <c r="V771"/>
      <c r="W771"/>
      <c r="X771"/>
      <c r="Y771"/>
      <c r="Z771"/>
      <c r="AA771"/>
    </row>
    <row r="772" spans="2:27" s="25" customFormat="1" ht="15.75" customHeight="1" x14ac:dyDescent="0.2">
      <c r="B772" s="89"/>
      <c r="C772"/>
      <c r="D772"/>
      <c r="E772" s="69"/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  <c r="V772"/>
      <c r="W772"/>
      <c r="X772"/>
      <c r="Y772"/>
      <c r="Z772"/>
      <c r="AA772"/>
    </row>
    <row r="773" spans="2:27" s="25" customFormat="1" ht="15.75" customHeight="1" x14ac:dyDescent="0.2">
      <c r="B773" s="89"/>
      <c r="C773"/>
      <c r="D773"/>
      <c r="E773" s="69"/>
      <c r="F773"/>
      <c r="G773"/>
      <c r="H773"/>
      <c r="I773"/>
      <c r="J773"/>
      <c r="K773"/>
      <c r="L773"/>
      <c r="M773"/>
      <c r="N773"/>
      <c r="O773"/>
      <c r="P773"/>
      <c r="Q773"/>
      <c r="R773"/>
      <c r="S773"/>
      <c r="T773"/>
      <c r="U773"/>
      <c r="V773"/>
      <c r="W773"/>
      <c r="X773"/>
      <c r="Y773"/>
      <c r="Z773"/>
      <c r="AA773"/>
    </row>
    <row r="774" spans="2:27" s="25" customFormat="1" ht="15.75" customHeight="1" x14ac:dyDescent="0.2">
      <c r="B774" s="89"/>
      <c r="C774"/>
      <c r="D774"/>
      <c r="E774" s="69"/>
      <c r="F774"/>
      <c r="G774"/>
      <c r="H774"/>
      <c r="I774"/>
      <c r="J774"/>
      <c r="K774"/>
      <c r="L774"/>
      <c r="M774"/>
      <c r="N774"/>
      <c r="O774"/>
      <c r="P774"/>
      <c r="Q774"/>
      <c r="R774"/>
      <c r="S774"/>
      <c r="T774"/>
      <c r="U774"/>
      <c r="V774"/>
      <c r="W774"/>
      <c r="X774"/>
      <c r="Y774"/>
      <c r="Z774"/>
      <c r="AA774"/>
    </row>
    <row r="775" spans="2:27" s="25" customFormat="1" ht="15.75" customHeight="1" x14ac:dyDescent="0.2">
      <c r="B775" s="89"/>
      <c r="C775"/>
      <c r="D775"/>
      <c r="E775" s="69"/>
      <c r="F775"/>
      <c r="G775"/>
      <c r="H775"/>
      <c r="I775"/>
      <c r="J775"/>
      <c r="K775"/>
      <c r="L775"/>
      <c r="M775"/>
      <c r="N775"/>
      <c r="O775"/>
      <c r="P775"/>
      <c r="Q775"/>
      <c r="R775"/>
      <c r="S775"/>
      <c r="T775"/>
      <c r="U775"/>
      <c r="V775"/>
      <c r="W775"/>
      <c r="X775"/>
      <c r="Y775"/>
      <c r="Z775"/>
      <c r="AA775"/>
    </row>
    <row r="776" spans="2:27" s="25" customFormat="1" ht="15.75" customHeight="1" x14ac:dyDescent="0.2">
      <c r="B776" s="89"/>
      <c r="C776"/>
      <c r="D776"/>
      <c r="E776" s="69"/>
      <c r="F776"/>
      <c r="G776"/>
      <c r="H776"/>
      <c r="I776"/>
      <c r="J776"/>
      <c r="K776"/>
      <c r="L776"/>
      <c r="M776"/>
      <c r="N776"/>
      <c r="O776"/>
      <c r="P776"/>
      <c r="Q776"/>
      <c r="R776"/>
      <c r="S776"/>
      <c r="T776"/>
      <c r="U776"/>
      <c r="V776"/>
      <c r="W776"/>
      <c r="X776"/>
      <c r="Y776"/>
      <c r="Z776"/>
      <c r="AA776"/>
    </row>
    <row r="777" spans="2:27" s="25" customFormat="1" ht="15.75" customHeight="1" x14ac:dyDescent="0.2">
      <c r="B777" s="89"/>
      <c r="C777"/>
      <c r="D777"/>
      <c r="E777" s="69"/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  <c r="V777"/>
      <c r="W777"/>
      <c r="X777"/>
      <c r="Y777"/>
      <c r="Z777"/>
      <c r="AA777"/>
    </row>
    <row r="778" spans="2:27" s="25" customFormat="1" ht="15.75" customHeight="1" x14ac:dyDescent="0.2">
      <c r="B778" s="89"/>
      <c r="C778"/>
      <c r="D778"/>
      <c r="E778" s="69"/>
      <c r="F778"/>
      <c r="G778"/>
      <c r="H778"/>
      <c r="I778"/>
      <c r="J778"/>
      <c r="K778"/>
      <c r="L778"/>
      <c r="M778"/>
      <c r="N778"/>
      <c r="O778"/>
      <c r="P778"/>
      <c r="Q778"/>
      <c r="R778"/>
      <c r="S778"/>
      <c r="T778"/>
      <c r="U778"/>
      <c r="V778"/>
      <c r="W778"/>
      <c r="X778"/>
      <c r="Y778"/>
      <c r="Z778"/>
      <c r="AA778"/>
    </row>
    <row r="779" spans="2:27" s="25" customFormat="1" ht="15.75" customHeight="1" x14ac:dyDescent="0.2">
      <c r="B779" s="89"/>
      <c r="C779"/>
      <c r="D779"/>
      <c r="E779" s="69"/>
      <c r="F779"/>
      <c r="G779"/>
      <c r="H779"/>
      <c r="I779"/>
      <c r="J779"/>
      <c r="K779"/>
      <c r="L779"/>
      <c r="M779"/>
      <c r="N779"/>
      <c r="O779"/>
      <c r="P779"/>
      <c r="Q779"/>
      <c r="R779"/>
      <c r="S779"/>
      <c r="T779"/>
      <c r="U779"/>
      <c r="V779"/>
      <c r="W779"/>
      <c r="X779"/>
      <c r="Y779"/>
      <c r="Z779"/>
      <c r="AA779"/>
    </row>
    <row r="780" spans="2:27" s="25" customFormat="1" ht="15.75" customHeight="1" x14ac:dyDescent="0.2">
      <c r="B780" s="89"/>
      <c r="C780"/>
      <c r="D780"/>
      <c r="E780" s="69"/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  <c r="T780"/>
      <c r="U780"/>
      <c r="V780"/>
      <c r="W780"/>
      <c r="X780"/>
      <c r="Y780"/>
      <c r="Z780"/>
      <c r="AA780"/>
    </row>
    <row r="781" spans="2:27" s="25" customFormat="1" ht="15.75" customHeight="1" x14ac:dyDescent="0.2">
      <c r="B781" s="89"/>
      <c r="C781"/>
      <c r="D781"/>
      <c r="E781" s="69"/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  <c r="V781"/>
      <c r="W781"/>
      <c r="X781"/>
      <c r="Y781"/>
      <c r="Z781"/>
      <c r="AA781"/>
    </row>
    <row r="782" spans="2:27" s="25" customFormat="1" ht="15.75" customHeight="1" x14ac:dyDescent="0.2">
      <c r="B782" s="89"/>
      <c r="C782"/>
      <c r="D782"/>
      <c r="E782" s="69"/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  <c r="V782"/>
      <c r="W782"/>
      <c r="X782"/>
      <c r="Y782"/>
      <c r="Z782"/>
      <c r="AA782"/>
    </row>
    <row r="783" spans="2:27" s="25" customFormat="1" ht="15.75" customHeight="1" x14ac:dyDescent="0.2">
      <c r="B783" s="89"/>
      <c r="C783"/>
      <c r="D783"/>
      <c r="E783" s="69"/>
      <c r="F783"/>
      <c r="G783"/>
      <c r="H783"/>
      <c r="I783"/>
      <c r="J783"/>
      <c r="K783"/>
      <c r="L783"/>
      <c r="M783"/>
      <c r="N783"/>
      <c r="O783"/>
      <c r="P783"/>
      <c r="Q783"/>
      <c r="R783"/>
      <c r="S783"/>
      <c r="T783"/>
      <c r="U783"/>
      <c r="V783"/>
      <c r="W783"/>
      <c r="X783"/>
      <c r="Y783"/>
      <c r="Z783"/>
      <c r="AA783"/>
    </row>
    <row r="784" spans="2:27" s="25" customFormat="1" ht="15.75" customHeight="1" x14ac:dyDescent="0.2">
      <c r="B784" s="89"/>
      <c r="C784"/>
      <c r="D784"/>
      <c r="E784" s="69"/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  <c r="T784"/>
      <c r="U784"/>
      <c r="V784"/>
      <c r="W784"/>
      <c r="X784"/>
      <c r="Y784"/>
      <c r="Z784"/>
      <c r="AA784"/>
    </row>
    <row r="785" spans="2:27" s="25" customFormat="1" ht="15.75" customHeight="1" x14ac:dyDescent="0.2">
      <c r="B785" s="89"/>
      <c r="C785"/>
      <c r="D785"/>
      <c r="E785" s="69"/>
      <c r="F785"/>
      <c r="G785"/>
      <c r="H785"/>
      <c r="I785"/>
      <c r="J785"/>
      <c r="K785"/>
      <c r="L785"/>
      <c r="M785"/>
      <c r="N785"/>
      <c r="O785"/>
      <c r="P785"/>
      <c r="Q785"/>
      <c r="R785"/>
      <c r="S785"/>
      <c r="T785"/>
      <c r="U785"/>
      <c r="V785"/>
      <c r="W785"/>
      <c r="X785"/>
      <c r="Y785"/>
      <c r="Z785"/>
      <c r="AA785"/>
    </row>
    <row r="786" spans="2:27" s="25" customFormat="1" ht="15.75" customHeight="1" x14ac:dyDescent="0.2">
      <c r="B786" s="89"/>
      <c r="C786"/>
      <c r="D786"/>
      <c r="E786" s="69"/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  <c r="U786"/>
      <c r="V786"/>
      <c r="W786"/>
      <c r="X786"/>
      <c r="Y786"/>
      <c r="Z786"/>
      <c r="AA786"/>
    </row>
    <row r="787" spans="2:27" s="25" customFormat="1" ht="15.75" customHeight="1" x14ac:dyDescent="0.2">
      <c r="B787" s="89"/>
      <c r="C787"/>
      <c r="D787"/>
      <c r="E787" s="69"/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  <c r="V787"/>
      <c r="W787"/>
      <c r="X787"/>
      <c r="Y787"/>
      <c r="Z787"/>
      <c r="AA787"/>
    </row>
    <row r="788" spans="2:27" s="25" customFormat="1" ht="15.75" customHeight="1" x14ac:dyDescent="0.2">
      <c r="B788" s="89"/>
      <c r="C788"/>
      <c r="D788"/>
      <c r="E788" s="69"/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  <c r="V788"/>
      <c r="W788"/>
      <c r="X788"/>
      <c r="Y788"/>
      <c r="Z788"/>
      <c r="AA788"/>
    </row>
    <row r="789" spans="2:27" s="25" customFormat="1" ht="15.75" customHeight="1" x14ac:dyDescent="0.2">
      <c r="B789" s="89"/>
      <c r="C789"/>
      <c r="D789"/>
      <c r="E789" s="69"/>
      <c r="F789"/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  <c r="V789"/>
      <c r="W789"/>
      <c r="X789"/>
      <c r="Y789"/>
      <c r="Z789"/>
      <c r="AA789"/>
    </row>
    <row r="790" spans="2:27" s="25" customFormat="1" ht="15.75" customHeight="1" x14ac:dyDescent="0.2">
      <c r="B790" s="89"/>
      <c r="C790"/>
      <c r="D790"/>
      <c r="E790" s="69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  <c r="V790"/>
      <c r="W790"/>
      <c r="X790"/>
      <c r="Y790"/>
      <c r="Z790"/>
      <c r="AA790"/>
    </row>
    <row r="791" spans="2:27" s="25" customFormat="1" ht="15.75" customHeight="1" x14ac:dyDescent="0.2">
      <c r="B791" s="89"/>
      <c r="C791"/>
      <c r="D791"/>
      <c r="E791" s="69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  <c r="V791"/>
      <c r="W791"/>
      <c r="X791"/>
      <c r="Y791"/>
      <c r="Z791"/>
      <c r="AA791"/>
    </row>
    <row r="792" spans="2:27" s="25" customFormat="1" ht="15.75" customHeight="1" x14ac:dyDescent="0.2">
      <c r="B792" s="89"/>
      <c r="C792"/>
      <c r="D792"/>
      <c r="E792" s="69"/>
      <c r="F792"/>
      <c r="G792"/>
      <c r="H792"/>
      <c r="I792"/>
      <c r="J792"/>
      <c r="K792"/>
      <c r="L792"/>
      <c r="M792"/>
      <c r="N792"/>
      <c r="O792"/>
      <c r="P792"/>
      <c r="Q792"/>
      <c r="R792"/>
      <c r="S792"/>
      <c r="T792"/>
      <c r="U792"/>
      <c r="V792"/>
      <c r="W792"/>
      <c r="X792"/>
      <c r="Y792"/>
      <c r="Z792"/>
      <c r="AA792"/>
    </row>
    <row r="793" spans="2:27" s="25" customFormat="1" ht="15.75" customHeight="1" x14ac:dyDescent="0.2">
      <c r="B793" s="89"/>
      <c r="C793"/>
      <c r="D793"/>
      <c r="E793" s="69"/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  <c r="V793"/>
      <c r="W793"/>
      <c r="X793"/>
      <c r="Y793"/>
      <c r="Z793"/>
      <c r="AA793"/>
    </row>
    <row r="794" spans="2:27" s="25" customFormat="1" ht="15.75" customHeight="1" x14ac:dyDescent="0.2">
      <c r="B794" s="89"/>
      <c r="C794"/>
      <c r="D794"/>
      <c r="E794" s="69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  <c r="V794"/>
      <c r="W794"/>
      <c r="X794"/>
      <c r="Y794"/>
      <c r="Z794"/>
      <c r="AA794"/>
    </row>
    <row r="795" spans="2:27" s="25" customFormat="1" ht="15.75" customHeight="1" x14ac:dyDescent="0.2">
      <c r="B795" s="89"/>
      <c r="C795"/>
      <c r="D795"/>
      <c r="E795" s="69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  <c r="V795"/>
      <c r="W795"/>
      <c r="X795"/>
      <c r="Y795"/>
      <c r="Z795"/>
      <c r="AA795"/>
    </row>
    <row r="796" spans="2:27" s="25" customFormat="1" ht="15.75" customHeight="1" x14ac:dyDescent="0.2">
      <c r="B796" s="89"/>
      <c r="C796"/>
      <c r="D796"/>
      <c r="E796" s="69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  <c r="V796"/>
      <c r="W796"/>
      <c r="X796"/>
      <c r="Y796"/>
      <c r="Z796"/>
      <c r="AA796"/>
    </row>
    <row r="797" spans="2:27" s="25" customFormat="1" ht="15.75" customHeight="1" x14ac:dyDescent="0.2">
      <c r="B797" s="89"/>
      <c r="C797"/>
      <c r="D797"/>
      <c r="E797" s="69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  <c r="V797"/>
      <c r="W797"/>
      <c r="X797"/>
      <c r="Y797"/>
      <c r="Z797"/>
      <c r="AA797"/>
    </row>
    <row r="798" spans="2:27" s="25" customFormat="1" ht="15.75" customHeight="1" x14ac:dyDescent="0.2">
      <c r="B798" s="89"/>
      <c r="C798"/>
      <c r="D798"/>
      <c r="E798" s="69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  <c r="V798"/>
      <c r="W798"/>
      <c r="X798"/>
      <c r="Y798"/>
      <c r="Z798"/>
      <c r="AA798"/>
    </row>
    <row r="799" spans="2:27" s="25" customFormat="1" ht="15.75" customHeight="1" x14ac:dyDescent="0.2">
      <c r="B799" s="89"/>
      <c r="C799"/>
      <c r="D799"/>
      <c r="E799" s="6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  <c r="V799"/>
      <c r="W799"/>
      <c r="X799"/>
      <c r="Y799"/>
      <c r="Z799"/>
      <c r="AA799"/>
    </row>
    <row r="800" spans="2:27" s="25" customFormat="1" ht="15.75" customHeight="1" x14ac:dyDescent="0.2">
      <c r="B800" s="89"/>
      <c r="C800"/>
      <c r="D800"/>
      <c r="E800" s="69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  <c r="V800"/>
      <c r="W800"/>
      <c r="X800"/>
      <c r="Y800"/>
      <c r="Z800"/>
      <c r="AA800"/>
    </row>
    <row r="801" spans="2:27" s="25" customFormat="1" ht="15.75" customHeight="1" x14ac:dyDescent="0.2">
      <c r="B801" s="89"/>
      <c r="C801"/>
      <c r="D801"/>
      <c r="E801" s="69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  <c r="V801"/>
      <c r="W801"/>
      <c r="X801"/>
      <c r="Y801"/>
      <c r="Z801"/>
      <c r="AA801"/>
    </row>
    <row r="802" spans="2:27" s="25" customFormat="1" ht="15.75" customHeight="1" x14ac:dyDescent="0.2">
      <c r="B802" s="89"/>
      <c r="C802"/>
      <c r="D802"/>
      <c r="E802" s="69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  <c r="V802"/>
      <c r="W802"/>
      <c r="X802"/>
      <c r="Y802"/>
      <c r="Z802"/>
      <c r="AA802"/>
    </row>
    <row r="803" spans="2:27" s="25" customFormat="1" ht="15.75" customHeight="1" x14ac:dyDescent="0.2">
      <c r="B803" s="89"/>
      <c r="C803"/>
      <c r="D803"/>
      <c r="E803" s="69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  <c r="V803"/>
      <c r="W803"/>
      <c r="X803"/>
      <c r="Y803"/>
      <c r="Z803"/>
      <c r="AA803"/>
    </row>
    <row r="804" spans="2:27" s="25" customFormat="1" ht="15.75" customHeight="1" x14ac:dyDescent="0.2">
      <c r="B804" s="89"/>
      <c r="C804"/>
      <c r="D804"/>
      <c r="E804" s="69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  <c r="V804"/>
      <c r="W804"/>
      <c r="X804"/>
      <c r="Y804"/>
      <c r="Z804"/>
      <c r="AA804"/>
    </row>
    <row r="805" spans="2:27" s="25" customFormat="1" ht="15.75" customHeight="1" x14ac:dyDescent="0.2">
      <c r="B805" s="89"/>
      <c r="C805"/>
      <c r="D805"/>
      <c r="E805" s="69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  <c r="V805"/>
      <c r="W805"/>
      <c r="X805"/>
      <c r="Y805"/>
      <c r="Z805"/>
      <c r="AA805"/>
    </row>
    <row r="806" spans="2:27" s="25" customFormat="1" ht="15.75" customHeight="1" x14ac:dyDescent="0.2">
      <c r="B806" s="89"/>
      <c r="C806"/>
      <c r="D806"/>
      <c r="E806" s="69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  <c r="V806"/>
      <c r="W806"/>
      <c r="X806"/>
      <c r="Y806"/>
      <c r="Z806"/>
      <c r="AA806"/>
    </row>
    <row r="807" spans="2:27" s="25" customFormat="1" ht="15.75" customHeight="1" x14ac:dyDescent="0.2">
      <c r="B807" s="89"/>
      <c r="C807"/>
      <c r="D807"/>
      <c r="E807" s="69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  <c r="V807"/>
      <c r="W807"/>
      <c r="X807"/>
      <c r="Y807"/>
      <c r="Z807"/>
      <c r="AA807"/>
    </row>
    <row r="808" spans="2:27" s="25" customFormat="1" ht="15.75" customHeight="1" x14ac:dyDescent="0.2">
      <c r="B808" s="89"/>
      <c r="C808"/>
      <c r="D808"/>
      <c r="E808" s="69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  <c r="V808"/>
      <c r="W808"/>
      <c r="X808"/>
      <c r="Y808"/>
      <c r="Z808"/>
      <c r="AA808"/>
    </row>
    <row r="809" spans="2:27" s="25" customFormat="1" ht="15.75" customHeight="1" x14ac:dyDescent="0.2">
      <c r="B809" s="89"/>
      <c r="C809"/>
      <c r="D809"/>
      <c r="E809" s="6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  <c r="V809"/>
      <c r="W809"/>
      <c r="X809"/>
      <c r="Y809"/>
      <c r="Z809"/>
      <c r="AA809"/>
    </row>
    <row r="810" spans="2:27" s="25" customFormat="1" ht="15.75" customHeight="1" x14ac:dyDescent="0.2">
      <c r="B810" s="89"/>
      <c r="C810"/>
      <c r="D810"/>
      <c r="E810" s="69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  <c r="V810"/>
      <c r="W810"/>
      <c r="X810"/>
      <c r="Y810"/>
      <c r="Z810"/>
      <c r="AA810"/>
    </row>
    <row r="811" spans="2:27" s="25" customFormat="1" ht="15.75" customHeight="1" x14ac:dyDescent="0.2">
      <c r="B811" s="89"/>
      <c r="C811"/>
      <c r="D811"/>
      <c r="E811" s="69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  <c r="V811"/>
      <c r="W811"/>
      <c r="X811"/>
      <c r="Y811"/>
      <c r="Z811"/>
      <c r="AA811"/>
    </row>
    <row r="812" spans="2:27" s="25" customFormat="1" ht="15.75" customHeight="1" x14ac:dyDescent="0.2">
      <c r="B812" s="89"/>
      <c r="C812"/>
      <c r="D812"/>
      <c r="E812" s="69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  <c r="V812"/>
      <c r="W812"/>
      <c r="X812"/>
      <c r="Y812"/>
      <c r="Z812"/>
      <c r="AA812"/>
    </row>
    <row r="813" spans="2:27" s="25" customFormat="1" ht="15.75" customHeight="1" x14ac:dyDescent="0.2">
      <c r="B813" s="89"/>
      <c r="C813"/>
      <c r="D813"/>
      <c r="E813" s="69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  <c r="V813"/>
      <c r="W813"/>
      <c r="X813"/>
      <c r="Y813"/>
      <c r="Z813"/>
      <c r="AA813"/>
    </row>
    <row r="814" spans="2:27" s="25" customFormat="1" ht="15.75" customHeight="1" x14ac:dyDescent="0.2">
      <c r="B814" s="89"/>
      <c r="C814"/>
      <c r="D814"/>
      <c r="E814" s="69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  <c r="V814"/>
      <c r="W814"/>
      <c r="X814"/>
      <c r="Y814"/>
      <c r="Z814"/>
      <c r="AA814"/>
    </row>
    <row r="815" spans="2:27" s="25" customFormat="1" ht="15.75" customHeight="1" x14ac:dyDescent="0.2">
      <c r="B815" s="89"/>
      <c r="C815"/>
      <c r="D815"/>
      <c r="E815" s="69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  <c r="V815"/>
      <c r="W815"/>
      <c r="X815"/>
      <c r="Y815"/>
      <c r="Z815"/>
      <c r="AA815"/>
    </row>
    <row r="816" spans="2:27" s="25" customFormat="1" ht="15.75" customHeight="1" x14ac:dyDescent="0.2">
      <c r="B816" s="89"/>
      <c r="C816"/>
      <c r="D816"/>
      <c r="E816" s="69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  <c r="V816"/>
      <c r="W816"/>
      <c r="X816"/>
      <c r="Y816"/>
      <c r="Z816"/>
      <c r="AA816"/>
    </row>
    <row r="817" spans="2:27" s="25" customFormat="1" ht="15.75" customHeight="1" x14ac:dyDescent="0.2">
      <c r="B817" s="89"/>
      <c r="C817"/>
      <c r="D817"/>
      <c r="E817" s="69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  <c r="V817"/>
      <c r="W817"/>
      <c r="X817"/>
      <c r="Y817"/>
      <c r="Z817"/>
      <c r="AA817"/>
    </row>
    <row r="818" spans="2:27" s="25" customFormat="1" ht="15.75" customHeight="1" x14ac:dyDescent="0.2">
      <c r="B818" s="89"/>
      <c r="C818"/>
      <c r="D818"/>
      <c r="E818" s="69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  <c r="U818"/>
      <c r="V818"/>
      <c r="W818"/>
      <c r="X818"/>
      <c r="Y818"/>
      <c r="Z818"/>
      <c r="AA818"/>
    </row>
    <row r="819" spans="2:27" s="25" customFormat="1" ht="15.75" customHeight="1" x14ac:dyDescent="0.2">
      <c r="B819" s="89"/>
      <c r="C819"/>
      <c r="D819"/>
      <c r="E819" s="6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/>
      <c r="U819"/>
      <c r="V819"/>
      <c r="W819"/>
      <c r="X819"/>
      <c r="Y819"/>
      <c r="Z819"/>
      <c r="AA819"/>
    </row>
    <row r="820" spans="2:27" s="25" customFormat="1" ht="15.75" customHeight="1" x14ac:dyDescent="0.2">
      <c r="B820" s="89"/>
      <c r="C820"/>
      <c r="D820"/>
      <c r="E820" s="69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  <c r="U820"/>
      <c r="V820"/>
      <c r="W820"/>
      <c r="X820"/>
      <c r="Y820"/>
      <c r="Z820"/>
      <c r="AA820"/>
    </row>
    <row r="821" spans="2:27" s="25" customFormat="1" ht="15.75" customHeight="1" x14ac:dyDescent="0.2">
      <c r="B821" s="89"/>
      <c r="C821"/>
      <c r="D821"/>
      <c r="E821" s="69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  <c r="V821"/>
      <c r="W821"/>
      <c r="X821"/>
      <c r="Y821"/>
      <c r="Z821"/>
      <c r="AA821"/>
    </row>
    <row r="822" spans="2:27" s="25" customFormat="1" ht="15.75" customHeight="1" x14ac:dyDescent="0.2">
      <c r="B822" s="89"/>
      <c r="C822"/>
      <c r="D822"/>
      <c r="E822" s="69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  <c r="V822"/>
      <c r="W822"/>
      <c r="X822"/>
      <c r="Y822"/>
      <c r="Z822"/>
      <c r="AA822"/>
    </row>
    <row r="823" spans="2:27" s="25" customFormat="1" ht="15.75" customHeight="1" x14ac:dyDescent="0.2">
      <c r="B823" s="89"/>
      <c r="C823"/>
      <c r="D823"/>
      <c r="E823" s="69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  <c r="V823"/>
      <c r="W823"/>
      <c r="X823"/>
      <c r="Y823"/>
      <c r="Z823"/>
      <c r="AA823"/>
    </row>
    <row r="824" spans="2:27" s="25" customFormat="1" ht="15.75" customHeight="1" x14ac:dyDescent="0.2">
      <c r="B824" s="89"/>
      <c r="C824"/>
      <c r="D824"/>
      <c r="E824" s="69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  <c r="U824"/>
      <c r="V824"/>
      <c r="W824"/>
      <c r="X824"/>
      <c r="Y824"/>
      <c r="Z824"/>
      <c r="AA824"/>
    </row>
    <row r="825" spans="2:27" s="25" customFormat="1" ht="15.75" customHeight="1" x14ac:dyDescent="0.2">
      <c r="B825" s="89"/>
      <c r="C825"/>
      <c r="D825"/>
      <c r="E825" s="69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  <c r="V825"/>
      <c r="W825"/>
      <c r="X825"/>
      <c r="Y825"/>
      <c r="Z825"/>
      <c r="AA825"/>
    </row>
    <row r="826" spans="2:27" s="25" customFormat="1" ht="15.75" customHeight="1" x14ac:dyDescent="0.2">
      <c r="B826" s="89"/>
      <c r="C826"/>
      <c r="D826"/>
      <c r="E826" s="69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  <c r="U826"/>
      <c r="V826"/>
      <c r="W826"/>
      <c r="X826"/>
      <c r="Y826"/>
      <c r="Z826"/>
      <c r="AA826"/>
    </row>
    <row r="827" spans="2:27" s="25" customFormat="1" ht="15.75" customHeight="1" x14ac:dyDescent="0.2">
      <c r="B827" s="89"/>
      <c r="C827"/>
      <c r="D827"/>
      <c r="E827" s="69"/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  <c r="U827"/>
      <c r="V827"/>
      <c r="W827"/>
      <c r="X827"/>
      <c r="Y827"/>
      <c r="Z827"/>
      <c r="AA827"/>
    </row>
    <row r="828" spans="2:27" s="25" customFormat="1" ht="15.75" customHeight="1" x14ac:dyDescent="0.2">
      <c r="B828" s="89"/>
      <c r="C828"/>
      <c r="D828"/>
      <c r="E828" s="69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  <c r="V828"/>
      <c r="W828"/>
      <c r="X828"/>
      <c r="Y828"/>
      <c r="Z828"/>
      <c r="AA828"/>
    </row>
    <row r="829" spans="2:27" s="25" customFormat="1" ht="15.75" customHeight="1" x14ac:dyDescent="0.2">
      <c r="B829" s="89"/>
      <c r="C829"/>
      <c r="D829"/>
      <c r="E829" s="6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  <c r="V829"/>
      <c r="W829"/>
      <c r="X829"/>
      <c r="Y829"/>
      <c r="Z829"/>
      <c r="AA829"/>
    </row>
    <row r="830" spans="2:27" s="25" customFormat="1" ht="15.75" customHeight="1" x14ac:dyDescent="0.2">
      <c r="B830" s="89"/>
      <c r="C830"/>
      <c r="D830"/>
      <c r="E830" s="69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  <c r="V830"/>
      <c r="W830"/>
      <c r="X830"/>
      <c r="Y830"/>
      <c r="Z830"/>
      <c r="AA830"/>
    </row>
    <row r="831" spans="2:27" s="25" customFormat="1" ht="15.75" customHeight="1" x14ac:dyDescent="0.2">
      <c r="B831" s="89"/>
      <c r="C831"/>
      <c r="D831"/>
      <c r="E831" s="69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  <c r="V831"/>
      <c r="W831"/>
      <c r="X831"/>
      <c r="Y831"/>
      <c r="Z831"/>
      <c r="AA831"/>
    </row>
    <row r="832" spans="2:27" s="25" customFormat="1" ht="15.75" customHeight="1" x14ac:dyDescent="0.2">
      <c r="B832" s="89"/>
      <c r="C832"/>
      <c r="D832"/>
      <c r="E832" s="69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  <c r="V832"/>
      <c r="W832"/>
      <c r="X832"/>
      <c r="Y832"/>
      <c r="Z832"/>
      <c r="AA832"/>
    </row>
    <row r="833" spans="2:27" s="25" customFormat="1" ht="15.75" customHeight="1" x14ac:dyDescent="0.2">
      <c r="B833" s="89"/>
      <c r="C833"/>
      <c r="D833"/>
      <c r="E833" s="69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  <c r="V833"/>
      <c r="W833"/>
      <c r="X833"/>
      <c r="Y833"/>
      <c r="Z833"/>
      <c r="AA833"/>
    </row>
    <row r="834" spans="2:27" s="25" customFormat="1" ht="15.75" customHeight="1" x14ac:dyDescent="0.2">
      <c r="B834" s="89"/>
      <c r="C834"/>
      <c r="D834"/>
      <c r="E834" s="69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  <c r="V834"/>
      <c r="W834"/>
      <c r="X834"/>
      <c r="Y834"/>
      <c r="Z834"/>
      <c r="AA834"/>
    </row>
    <row r="835" spans="2:27" s="25" customFormat="1" ht="15.75" customHeight="1" x14ac:dyDescent="0.2">
      <c r="B835" s="89"/>
      <c r="C835"/>
      <c r="D835"/>
      <c r="E835" s="69"/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  <c r="U835"/>
      <c r="V835"/>
      <c r="W835"/>
      <c r="X835"/>
      <c r="Y835"/>
      <c r="Z835"/>
      <c r="AA835"/>
    </row>
    <row r="836" spans="2:27" s="25" customFormat="1" ht="15.75" customHeight="1" x14ac:dyDescent="0.2">
      <c r="B836" s="89"/>
      <c r="C836"/>
      <c r="D836"/>
      <c r="E836" s="69"/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  <c r="U836"/>
      <c r="V836"/>
      <c r="W836"/>
      <c r="X836"/>
      <c r="Y836"/>
      <c r="Z836"/>
      <c r="AA836"/>
    </row>
    <row r="837" spans="2:27" s="25" customFormat="1" ht="15.75" customHeight="1" x14ac:dyDescent="0.2">
      <c r="B837" s="89"/>
      <c r="C837"/>
      <c r="D837"/>
      <c r="E837" s="69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  <c r="U837"/>
      <c r="V837"/>
      <c r="W837"/>
      <c r="X837"/>
      <c r="Y837"/>
      <c r="Z837"/>
      <c r="AA837"/>
    </row>
    <row r="838" spans="2:27" s="25" customFormat="1" ht="15.75" customHeight="1" x14ac:dyDescent="0.2">
      <c r="B838" s="89"/>
      <c r="C838"/>
      <c r="D838"/>
      <c r="E838" s="69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  <c r="V838"/>
      <c r="W838"/>
      <c r="X838"/>
      <c r="Y838"/>
      <c r="Z838"/>
      <c r="AA838"/>
    </row>
    <row r="839" spans="2:27" s="25" customFormat="1" ht="15.75" customHeight="1" x14ac:dyDescent="0.2">
      <c r="B839" s="89"/>
      <c r="C839"/>
      <c r="D839"/>
      <c r="E839" s="6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  <c r="V839"/>
      <c r="W839"/>
      <c r="X839"/>
      <c r="Y839"/>
      <c r="Z839"/>
      <c r="AA839"/>
    </row>
    <row r="840" spans="2:27" s="25" customFormat="1" ht="15.75" customHeight="1" x14ac:dyDescent="0.2">
      <c r="B840" s="89"/>
      <c r="C840"/>
      <c r="D840"/>
      <c r="E840" s="69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  <c r="V840"/>
      <c r="W840"/>
      <c r="X840"/>
      <c r="Y840"/>
      <c r="Z840"/>
      <c r="AA840"/>
    </row>
    <row r="841" spans="2:27" s="25" customFormat="1" ht="15.75" customHeight="1" x14ac:dyDescent="0.2">
      <c r="B841" s="89"/>
      <c r="C841"/>
      <c r="D841"/>
      <c r="E841" s="69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  <c r="V841"/>
      <c r="W841"/>
      <c r="X841"/>
      <c r="Y841"/>
      <c r="Z841"/>
      <c r="AA841"/>
    </row>
    <row r="842" spans="2:27" s="25" customFormat="1" ht="15.75" customHeight="1" x14ac:dyDescent="0.2">
      <c r="B842" s="89"/>
      <c r="C842"/>
      <c r="D842"/>
      <c r="E842" s="69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  <c r="U842"/>
      <c r="V842"/>
      <c r="W842"/>
      <c r="X842"/>
      <c r="Y842"/>
      <c r="Z842"/>
      <c r="AA842"/>
    </row>
    <row r="843" spans="2:27" s="25" customFormat="1" ht="15.75" customHeight="1" x14ac:dyDescent="0.2">
      <c r="B843" s="89"/>
      <c r="C843"/>
      <c r="D843"/>
      <c r="E843" s="69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  <c r="V843"/>
      <c r="W843"/>
      <c r="X843"/>
      <c r="Y843"/>
      <c r="Z843"/>
      <c r="AA843"/>
    </row>
    <row r="844" spans="2:27" s="25" customFormat="1" ht="15.75" customHeight="1" x14ac:dyDescent="0.2">
      <c r="B844" s="89"/>
      <c r="C844"/>
      <c r="D844"/>
      <c r="E844" s="69"/>
      <c r="F844"/>
      <c r="G844"/>
      <c r="H844"/>
      <c r="I844"/>
      <c r="J844"/>
      <c r="K844"/>
      <c r="L844"/>
      <c r="M844"/>
      <c r="N844"/>
      <c r="O844"/>
      <c r="P844"/>
      <c r="Q844"/>
      <c r="R844"/>
      <c r="S844"/>
      <c r="T844"/>
      <c r="U844"/>
      <c r="V844"/>
      <c r="W844"/>
      <c r="X844"/>
      <c r="Y844"/>
      <c r="Z844"/>
      <c r="AA844"/>
    </row>
    <row r="845" spans="2:27" s="25" customFormat="1" ht="15.75" customHeight="1" x14ac:dyDescent="0.2">
      <c r="B845" s="89"/>
      <c r="C845"/>
      <c r="D845"/>
      <c r="E845" s="69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  <c r="U845"/>
      <c r="V845"/>
      <c r="W845"/>
      <c r="X845"/>
      <c r="Y845"/>
      <c r="Z845"/>
      <c r="AA845"/>
    </row>
    <row r="846" spans="2:27" s="25" customFormat="1" ht="15.75" customHeight="1" x14ac:dyDescent="0.2">
      <c r="B846" s="89"/>
      <c r="C846"/>
      <c r="D846"/>
      <c r="E846" s="69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  <c r="V846"/>
      <c r="W846"/>
      <c r="X846"/>
      <c r="Y846"/>
      <c r="Z846"/>
      <c r="AA846"/>
    </row>
    <row r="847" spans="2:27" s="25" customFormat="1" ht="15.75" customHeight="1" x14ac:dyDescent="0.2">
      <c r="B847" s="89"/>
      <c r="C847"/>
      <c r="D847"/>
      <c r="E847" s="69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  <c r="U847"/>
      <c r="V847"/>
      <c r="W847"/>
      <c r="X847"/>
      <c r="Y847"/>
      <c r="Z847"/>
      <c r="AA847"/>
    </row>
    <row r="848" spans="2:27" s="25" customFormat="1" ht="15.75" customHeight="1" x14ac:dyDescent="0.2">
      <c r="B848" s="89"/>
      <c r="C848"/>
      <c r="D848"/>
      <c r="E848" s="69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/>
      <c r="U848"/>
      <c r="V848"/>
      <c r="W848"/>
      <c r="X848"/>
      <c r="Y848"/>
      <c r="Z848"/>
      <c r="AA848"/>
    </row>
    <row r="849" spans="2:27" s="25" customFormat="1" ht="15.75" customHeight="1" x14ac:dyDescent="0.2">
      <c r="B849" s="89"/>
      <c r="C849"/>
      <c r="D849"/>
      <c r="E849" s="6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  <c r="V849"/>
      <c r="W849"/>
      <c r="X849"/>
      <c r="Y849"/>
      <c r="Z849"/>
      <c r="AA849"/>
    </row>
    <row r="850" spans="2:27" s="25" customFormat="1" ht="15.75" customHeight="1" x14ac:dyDescent="0.2">
      <c r="B850" s="89"/>
      <c r="C850"/>
      <c r="D850"/>
      <c r="E850" s="69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  <c r="V850"/>
      <c r="W850"/>
      <c r="X850"/>
      <c r="Y850"/>
      <c r="Z850"/>
      <c r="AA850"/>
    </row>
    <row r="851" spans="2:27" s="25" customFormat="1" ht="15.75" customHeight="1" x14ac:dyDescent="0.2">
      <c r="B851" s="89"/>
      <c r="C851"/>
      <c r="D851"/>
      <c r="E851" s="69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  <c r="U851"/>
      <c r="V851"/>
      <c r="W851"/>
      <c r="X851"/>
      <c r="Y851"/>
      <c r="Z851"/>
      <c r="AA851"/>
    </row>
    <row r="852" spans="2:27" s="25" customFormat="1" ht="15.75" customHeight="1" x14ac:dyDescent="0.2">
      <c r="B852" s="89"/>
      <c r="C852"/>
      <c r="D852"/>
      <c r="E852" s="69"/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  <c r="U852"/>
      <c r="V852"/>
      <c r="W852"/>
      <c r="X852"/>
      <c r="Y852"/>
      <c r="Z852"/>
      <c r="AA852"/>
    </row>
    <row r="853" spans="2:27" s="25" customFormat="1" ht="15.75" customHeight="1" x14ac:dyDescent="0.2">
      <c r="B853" s="89"/>
      <c r="C853"/>
      <c r="D853"/>
      <c r="E853" s="69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  <c r="V853"/>
      <c r="W853"/>
      <c r="X853"/>
      <c r="Y853"/>
      <c r="Z853"/>
      <c r="AA853"/>
    </row>
    <row r="854" spans="2:27" s="25" customFormat="1" ht="15.75" customHeight="1" x14ac:dyDescent="0.2">
      <c r="B854" s="89"/>
      <c r="C854"/>
      <c r="D854"/>
      <c r="E854" s="69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  <c r="V854"/>
      <c r="W854"/>
      <c r="X854"/>
      <c r="Y854"/>
      <c r="Z854"/>
      <c r="AA854"/>
    </row>
    <row r="855" spans="2:27" s="25" customFormat="1" ht="15.75" customHeight="1" x14ac:dyDescent="0.2">
      <c r="B855" s="89"/>
      <c r="C855"/>
      <c r="D855"/>
      <c r="E855" s="69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  <c r="U855"/>
      <c r="V855"/>
      <c r="W855"/>
      <c r="X855"/>
      <c r="Y855"/>
      <c r="Z855"/>
      <c r="AA855"/>
    </row>
    <row r="856" spans="2:27" s="25" customFormat="1" ht="15.75" customHeight="1" x14ac:dyDescent="0.2">
      <c r="B856" s="89"/>
      <c r="C856"/>
      <c r="D856"/>
      <c r="E856" s="69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  <c r="U856"/>
      <c r="V856"/>
      <c r="W856"/>
      <c r="X856"/>
      <c r="Y856"/>
      <c r="Z856"/>
      <c r="AA856"/>
    </row>
    <row r="857" spans="2:27" s="25" customFormat="1" ht="15.75" customHeight="1" x14ac:dyDescent="0.2">
      <c r="B857" s="89"/>
      <c r="C857"/>
      <c r="D857"/>
      <c r="E857" s="69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  <c r="U857"/>
      <c r="V857"/>
      <c r="W857"/>
      <c r="X857"/>
      <c r="Y857"/>
      <c r="Z857"/>
      <c r="AA857"/>
    </row>
    <row r="858" spans="2:27" s="25" customFormat="1" ht="15.75" customHeight="1" x14ac:dyDescent="0.2">
      <c r="B858" s="89"/>
      <c r="C858"/>
      <c r="D858"/>
      <c r="E858" s="69"/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  <c r="U858"/>
      <c r="V858"/>
      <c r="W858"/>
      <c r="X858"/>
      <c r="Y858"/>
      <c r="Z858"/>
      <c r="AA858"/>
    </row>
    <row r="859" spans="2:27" s="25" customFormat="1" ht="15.75" customHeight="1" x14ac:dyDescent="0.2">
      <c r="B859" s="89"/>
      <c r="C859"/>
      <c r="D859"/>
      <c r="E859" s="69"/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  <c r="U859"/>
      <c r="V859"/>
      <c r="W859"/>
      <c r="X859"/>
      <c r="Y859"/>
      <c r="Z859"/>
      <c r="AA859"/>
    </row>
    <row r="860" spans="2:27" s="25" customFormat="1" ht="15.75" customHeight="1" x14ac:dyDescent="0.2">
      <c r="B860" s="89"/>
      <c r="C860"/>
      <c r="D860"/>
      <c r="E860" s="69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  <c r="U860"/>
      <c r="V860"/>
      <c r="W860"/>
      <c r="X860"/>
      <c r="Y860"/>
      <c r="Z860"/>
      <c r="AA860"/>
    </row>
    <row r="861" spans="2:27" s="25" customFormat="1" ht="15.75" customHeight="1" x14ac:dyDescent="0.2">
      <c r="B861" s="89"/>
      <c r="C861"/>
      <c r="D861"/>
      <c r="E861" s="69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  <c r="V861"/>
      <c r="W861"/>
      <c r="X861"/>
      <c r="Y861"/>
      <c r="Z861"/>
      <c r="AA861"/>
    </row>
    <row r="862" spans="2:27" s="25" customFormat="1" ht="15.75" customHeight="1" x14ac:dyDescent="0.2">
      <c r="B862" s="89"/>
      <c r="C862"/>
      <c r="D862"/>
      <c r="E862" s="69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  <c r="V862"/>
      <c r="W862"/>
      <c r="X862"/>
      <c r="Y862"/>
      <c r="Z862"/>
      <c r="AA862"/>
    </row>
    <row r="863" spans="2:27" s="25" customFormat="1" ht="15.75" customHeight="1" x14ac:dyDescent="0.2">
      <c r="B863" s="89"/>
      <c r="C863"/>
      <c r="D863"/>
      <c r="E863" s="69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  <c r="V863"/>
      <c r="W863"/>
      <c r="X863"/>
      <c r="Y863"/>
      <c r="Z863"/>
      <c r="AA863"/>
    </row>
    <row r="864" spans="2:27" s="25" customFormat="1" ht="15.75" customHeight="1" x14ac:dyDescent="0.2">
      <c r="B864" s="89"/>
      <c r="C864"/>
      <c r="D864"/>
      <c r="E864" s="69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/>
      <c r="U864"/>
      <c r="V864"/>
      <c r="W864"/>
      <c r="X864"/>
      <c r="Y864"/>
      <c r="Z864"/>
      <c r="AA864"/>
    </row>
    <row r="865" spans="2:27" s="25" customFormat="1" ht="15.75" customHeight="1" x14ac:dyDescent="0.2">
      <c r="B865" s="89"/>
      <c r="C865"/>
      <c r="D865"/>
      <c r="E865" s="69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  <c r="V865"/>
      <c r="W865"/>
      <c r="X865"/>
      <c r="Y865"/>
      <c r="Z865"/>
      <c r="AA865"/>
    </row>
    <row r="866" spans="2:27" s="25" customFormat="1" ht="15.75" customHeight="1" x14ac:dyDescent="0.2">
      <c r="B866" s="89"/>
      <c r="C866"/>
      <c r="D866"/>
      <c r="E866" s="69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  <c r="U866"/>
      <c r="V866"/>
      <c r="W866"/>
      <c r="X866"/>
      <c r="Y866"/>
      <c r="Z866"/>
      <c r="AA866"/>
    </row>
    <row r="867" spans="2:27" s="25" customFormat="1" ht="15.75" customHeight="1" x14ac:dyDescent="0.2">
      <c r="B867" s="89"/>
      <c r="C867"/>
      <c r="D867"/>
      <c r="E867" s="69"/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  <c r="T867"/>
      <c r="U867"/>
      <c r="V867"/>
      <c r="W867"/>
      <c r="X867"/>
      <c r="Y867"/>
      <c r="Z867"/>
      <c r="AA867"/>
    </row>
    <row r="868" spans="2:27" s="25" customFormat="1" ht="15.75" customHeight="1" x14ac:dyDescent="0.2">
      <c r="B868" s="89"/>
      <c r="C868"/>
      <c r="D868"/>
      <c r="E868" s="69"/>
      <c r="F868"/>
      <c r="G868"/>
      <c r="H868"/>
      <c r="I868"/>
      <c r="J868"/>
      <c r="K868"/>
      <c r="L868"/>
      <c r="M868"/>
      <c r="N868"/>
      <c r="O868"/>
      <c r="P868"/>
      <c r="Q868"/>
      <c r="R868"/>
      <c r="S868"/>
      <c r="T868"/>
      <c r="U868"/>
      <c r="V868"/>
      <c r="W868"/>
      <c r="X868"/>
      <c r="Y868"/>
      <c r="Z868"/>
      <c r="AA868"/>
    </row>
    <row r="869" spans="2:27" s="25" customFormat="1" ht="15.75" customHeight="1" x14ac:dyDescent="0.2">
      <c r="B869" s="89"/>
      <c r="C869"/>
      <c r="D869"/>
      <c r="E869" s="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  <c r="V869"/>
      <c r="W869"/>
      <c r="X869"/>
      <c r="Y869"/>
      <c r="Z869"/>
      <c r="AA869"/>
    </row>
    <row r="870" spans="2:27" s="25" customFormat="1" ht="15.75" customHeight="1" x14ac:dyDescent="0.2">
      <c r="B870" s="89"/>
      <c r="C870"/>
      <c r="D870"/>
      <c r="E870" s="69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  <c r="V870"/>
      <c r="W870"/>
      <c r="X870"/>
      <c r="Y870"/>
      <c r="Z870"/>
      <c r="AA870"/>
    </row>
    <row r="871" spans="2:27" s="25" customFormat="1" ht="15.75" customHeight="1" x14ac:dyDescent="0.2">
      <c r="B871" s="89"/>
      <c r="C871"/>
      <c r="D871"/>
      <c r="E871" s="69"/>
      <c r="F871"/>
      <c r="G871"/>
      <c r="H871"/>
      <c r="I871"/>
      <c r="J871"/>
      <c r="K871"/>
      <c r="L871"/>
      <c r="M871"/>
      <c r="N871"/>
      <c r="O871"/>
      <c r="P871"/>
      <c r="Q871"/>
      <c r="R871"/>
      <c r="S871"/>
      <c r="T871"/>
      <c r="U871"/>
      <c r="V871"/>
      <c r="W871"/>
      <c r="X871"/>
      <c r="Y871"/>
      <c r="Z871"/>
      <c r="AA871"/>
    </row>
    <row r="872" spans="2:27" s="25" customFormat="1" ht="15.75" customHeight="1" x14ac:dyDescent="0.2">
      <c r="B872" s="89"/>
      <c r="C872"/>
      <c r="D872"/>
      <c r="E872" s="69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  <c r="U872"/>
      <c r="V872"/>
      <c r="W872"/>
      <c r="X872"/>
      <c r="Y872"/>
      <c r="Z872"/>
      <c r="AA872"/>
    </row>
    <row r="873" spans="2:27" s="25" customFormat="1" ht="15.75" customHeight="1" x14ac:dyDescent="0.2">
      <c r="B873" s="89"/>
      <c r="C873"/>
      <c r="D873"/>
      <c r="E873" s="69"/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  <c r="T873"/>
      <c r="U873"/>
      <c r="V873"/>
      <c r="W873"/>
      <c r="X873"/>
      <c r="Y873"/>
      <c r="Z873"/>
      <c r="AA873"/>
    </row>
    <row r="874" spans="2:27" s="25" customFormat="1" ht="15.75" customHeight="1" x14ac:dyDescent="0.2">
      <c r="B874" s="89"/>
      <c r="C874"/>
      <c r="D874"/>
      <c r="E874" s="69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  <c r="V874"/>
      <c r="W874"/>
      <c r="X874"/>
      <c r="Y874"/>
      <c r="Z874"/>
      <c r="AA874"/>
    </row>
    <row r="875" spans="2:27" s="25" customFormat="1" ht="15.75" customHeight="1" x14ac:dyDescent="0.2">
      <c r="B875" s="89"/>
      <c r="C875"/>
      <c r="D875"/>
      <c r="E875" s="69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  <c r="V875"/>
      <c r="W875"/>
      <c r="X875"/>
      <c r="Y875"/>
      <c r="Z875"/>
      <c r="AA875"/>
    </row>
    <row r="876" spans="2:27" s="25" customFormat="1" ht="15.75" customHeight="1" x14ac:dyDescent="0.2">
      <c r="B876" s="89"/>
      <c r="C876"/>
      <c r="D876"/>
      <c r="E876" s="69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  <c r="V876"/>
      <c r="W876"/>
      <c r="X876"/>
      <c r="Y876"/>
      <c r="Z876"/>
      <c r="AA876"/>
    </row>
    <row r="877" spans="2:27" s="25" customFormat="1" ht="15.75" customHeight="1" x14ac:dyDescent="0.2">
      <c r="B877" s="89"/>
      <c r="C877"/>
      <c r="D877"/>
      <c r="E877" s="69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  <c r="U877"/>
      <c r="V877"/>
      <c r="W877"/>
      <c r="X877"/>
      <c r="Y877"/>
      <c r="Z877"/>
      <c r="AA877"/>
    </row>
    <row r="878" spans="2:27" s="25" customFormat="1" ht="15.75" customHeight="1" x14ac:dyDescent="0.2">
      <c r="B878" s="89"/>
      <c r="C878"/>
      <c r="D878"/>
      <c r="E878" s="69"/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  <c r="T878"/>
      <c r="U878"/>
      <c r="V878"/>
      <c r="W878"/>
      <c r="X878"/>
      <c r="Y878"/>
      <c r="Z878"/>
      <c r="AA878"/>
    </row>
    <row r="879" spans="2:27" s="25" customFormat="1" ht="15.75" customHeight="1" x14ac:dyDescent="0.2">
      <c r="B879" s="89"/>
      <c r="C879"/>
      <c r="D879"/>
      <c r="E879" s="6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  <c r="U879"/>
      <c r="V879"/>
      <c r="W879"/>
      <c r="X879"/>
      <c r="Y879"/>
      <c r="Z879"/>
      <c r="AA879"/>
    </row>
    <row r="880" spans="2:27" s="25" customFormat="1" ht="15.75" customHeight="1" x14ac:dyDescent="0.2">
      <c r="B880" s="89"/>
      <c r="C880"/>
      <c r="D880"/>
      <c r="E880" s="69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  <c r="U880"/>
      <c r="V880"/>
      <c r="W880"/>
      <c r="X880"/>
      <c r="Y880"/>
      <c r="Z880"/>
      <c r="AA880"/>
    </row>
    <row r="881" spans="2:27" s="25" customFormat="1" ht="15.75" customHeight="1" x14ac:dyDescent="0.2">
      <c r="B881" s="89"/>
      <c r="C881"/>
      <c r="D881"/>
      <c r="E881" s="69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  <c r="U881"/>
      <c r="V881"/>
      <c r="W881"/>
      <c r="X881"/>
      <c r="Y881"/>
      <c r="Z881"/>
      <c r="AA881"/>
    </row>
    <row r="882" spans="2:27" s="25" customFormat="1" ht="15.75" customHeight="1" x14ac:dyDescent="0.2">
      <c r="B882" s="89"/>
      <c r="C882"/>
      <c r="D882"/>
      <c r="E882" s="69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  <c r="U882"/>
      <c r="V882"/>
      <c r="W882"/>
      <c r="X882"/>
      <c r="Y882"/>
      <c r="Z882"/>
      <c r="AA882"/>
    </row>
    <row r="883" spans="2:27" s="25" customFormat="1" ht="15.75" customHeight="1" x14ac:dyDescent="0.2">
      <c r="B883" s="89"/>
      <c r="C883"/>
      <c r="D883"/>
      <c r="E883" s="69"/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  <c r="T883"/>
      <c r="U883"/>
      <c r="V883"/>
      <c r="W883"/>
      <c r="X883"/>
      <c r="Y883"/>
      <c r="Z883"/>
      <c r="AA883"/>
    </row>
    <row r="884" spans="2:27" s="25" customFormat="1" ht="15.75" customHeight="1" x14ac:dyDescent="0.2">
      <c r="B884" s="89"/>
      <c r="C884"/>
      <c r="D884"/>
      <c r="E884" s="69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  <c r="V884"/>
      <c r="W884"/>
      <c r="X884"/>
      <c r="Y884"/>
      <c r="Z884"/>
      <c r="AA884"/>
    </row>
    <row r="885" spans="2:27" s="25" customFormat="1" ht="15.75" customHeight="1" x14ac:dyDescent="0.2">
      <c r="B885" s="89"/>
      <c r="C885"/>
      <c r="D885"/>
      <c r="E885" s="69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  <c r="V885"/>
      <c r="W885"/>
      <c r="X885"/>
      <c r="Y885"/>
      <c r="Z885"/>
      <c r="AA885"/>
    </row>
    <row r="886" spans="2:27" s="25" customFormat="1" ht="15.75" customHeight="1" x14ac:dyDescent="0.2">
      <c r="B886" s="89"/>
      <c r="C886"/>
      <c r="D886"/>
      <c r="E886" s="69"/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  <c r="T886"/>
      <c r="U886"/>
      <c r="V886"/>
      <c r="W886"/>
      <c r="X886"/>
      <c r="Y886"/>
      <c r="Z886"/>
      <c r="AA886"/>
    </row>
    <row r="887" spans="2:27" s="25" customFormat="1" ht="15.75" customHeight="1" x14ac:dyDescent="0.2">
      <c r="B887" s="89"/>
      <c r="C887"/>
      <c r="D887"/>
      <c r="E887" s="69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  <c r="V887"/>
      <c r="W887"/>
      <c r="X887"/>
      <c r="Y887"/>
      <c r="Z887"/>
      <c r="AA887"/>
    </row>
    <row r="888" spans="2:27" s="25" customFormat="1" ht="15.75" customHeight="1" x14ac:dyDescent="0.2">
      <c r="B888" s="89"/>
      <c r="C888"/>
      <c r="D888"/>
      <c r="E888" s="69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  <c r="U888"/>
      <c r="V888"/>
      <c r="W888"/>
      <c r="X888"/>
      <c r="Y888"/>
      <c r="Z888"/>
      <c r="AA888"/>
    </row>
    <row r="889" spans="2:27" s="25" customFormat="1" ht="15.75" customHeight="1" x14ac:dyDescent="0.2">
      <c r="B889" s="89"/>
      <c r="C889"/>
      <c r="D889"/>
      <c r="E889" s="6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  <c r="V889"/>
      <c r="W889"/>
      <c r="X889"/>
      <c r="Y889"/>
      <c r="Z889"/>
      <c r="AA889"/>
    </row>
    <row r="890" spans="2:27" s="25" customFormat="1" ht="15.75" customHeight="1" x14ac:dyDescent="0.2">
      <c r="B890" s="89"/>
      <c r="C890"/>
      <c r="D890"/>
      <c r="E890" s="69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  <c r="V890"/>
      <c r="W890"/>
      <c r="X890"/>
      <c r="Y890"/>
      <c r="Z890"/>
      <c r="AA890"/>
    </row>
    <row r="891" spans="2:27" s="25" customFormat="1" ht="15.75" customHeight="1" x14ac:dyDescent="0.2">
      <c r="B891" s="89"/>
      <c r="C891"/>
      <c r="D891"/>
      <c r="E891" s="69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  <c r="V891"/>
      <c r="W891"/>
      <c r="X891"/>
      <c r="Y891"/>
      <c r="Z891"/>
      <c r="AA891"/>
    </row>
    <row r="892" spans="2:27" s="25" customFormat="1" ht="15.75" customHeight="1" x14ac:dyDescent="0.2">
      <c r="B892" s="89"/>
      <c r="C892"/>
      <c r="D892"/>
      <c r="E892" s="69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  <c r="V892"/>
      <c r="W892"/>
      <c r="X892"/>
      <c r="Y892"/>
      <c r="Z892"/>
      <c r="AA892"/>
    </row>
    <row r="893" spans="2:27" s="25" customFormat="1" ht="15.75" customHeight="1" x14ac:dyDescent="0.2">
      <c r="B893" s="89"/>
      <c r="C893"/>
      <c r="D893"/>
      <c r="E893" s="69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  <c r="U893"/>
      <c r="V893"/>
      <c r="W893"/>
      <c r="X893"/>
      <c r="Y893"/>
      <c r="Z893"/>
      <c r="AA893"/>
    </row>
    <row r="894" spans="2:27" s="25" customFormat="1" ht="15.75" customHeight="1" x14ac:dyDescent="0.2">
      <c r="B894" s="89"/>
      <c r="C894"/>
      <c r="D894"/>
      <c r="E894" s="69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  <c r="V894"/>
      <c r="W894"/>
      <c r="X894"/>
      <c r="Y894"/>
      <c r="Z894"/>
      <c r="AA894"/>
    </row>
    <row r="895" spans="2:27" s="25" customFormat="1" ht="15.75" customHeight="1" x14ac:dyDescent="0.2">
      <c r="B895" s="89"/>
      <c r="C895"/>
      <c r="D895"/>
      <c r="E895" s="69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  <c r="V895"/>
      <c r="W895"/>
      <c r="X895"/>
      <c r="Y895"/>
      <c r="Z895"/>
      <c r="AA895"/>
    </row>
    <row r="896" spans="2:27" s="25" customFormat="1" ht="15.75" customHeight="1" x14ac:dyDescent="0.2">
      <c r="B896" s="89"/>
      <c r="C896"/>
      <c r="D896"/>
      <c r="E896" s="69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  <c r="V896"/>
      <c r="W896"/>
      <c r="X896"/>
      <c r="Y896"/>
      <c r="Z896"/>
      <c r="AA896"/>
    </row>
    <row r="897" spans="2:27" s="25" customFormat="1" ht="15.75" customHeight="1" x14ac:dyDescent="0.2">
      <c r="B897" s="89"/>
      <c r="C897"/>
      <c r="D897"/>
      <c r="E897" s="69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  <c r="V897"/>
      <c r="W897"/>
      <c r="X897"/>
      <c r="Y897"/>
      <c r="Z897"/>
      <c r="AA897"/>
    </row>
    <row r="898" spans="2:27" s="25" customFormat="1" ht="15.75" customHeight="1" x14ac:dyDescent="0.2">
      <c r="B898" s="89"/>
      <c r="C898"/>
      <c r="D898"/>
      <c r="E898" s="69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  <c r="V898"/>
      <c r="W898"/>
      <c r="X898"/>
      <c r="Y898"/>
      <c r="Z898"/>
      <c r="AA898"/>
    </row>
    <row r="899" spans="2:27" s="25" customFormat="1" ht="15.75" customHeight="1" x14ac:dyDescent="0.2">
      <c r="B899" s="89"/>
      <c r="C899"/>
      <c r="D899"/>
      <c r="E899" s="6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  <c r="V899"/>
      <c r="W899"/>
      <c r="X899"/>
      <c r="Y899"/>
      <c r="Z899"/>
      <c r="AA899"/>
    </row>
    <row r="900" spans="2:27" s="25" customFormat="1" ht="15.75" customHeight="1" x14ac:dyDescent="0.2">
      <c r="B900" s="89"/>
      <c r="C900"/>
      <c r="D900"/>
      <c r="E900" s="69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  <c r="V900"/>
      <c r="W900"/>
      <c r="X900"/>
      <c r="Y900"/>
      <c r="Z900"/>
      <c r="AA900"/>
    </row>
    <row r="901" spans="2:27" s="25" customFormat="1" ht="15.75" customHeight="1" x14ac:dyDescent="0.2">
      <c r="B901" s="89"/>
      <c r="C901"/>
      <c r="D901"/>
      <c r="E901" s="69"/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/>
      <c r="U901"/>
      <c r="V901"/>
      <c r="W901"/>
      <c r="X901"/>
      <c r="Y901"/>
      <c r="Z901"/>
      <c r="AA901"/>
    </row>
    <row r="902" spans="2:27" s="25" customFormat="1" ht="15.75" customHeight="1" x14ac:dyDescent="0.2">
      <c r="B902" s="89"/>
      <c r="C902"/>
      <c r="D902"/>
      <c r="E902" s="69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  <c r="V902"/>
      <c r="W902"/>
      <c r="X902"/>
      <c r="Y902"/>
      <c r="Z902"/>
      <c r="AA902"/>
    </row>
    <row r="903" spans="2:27" s="25" customFormat="1" ht="15.75" customHeight="1" x14ac:dyDescent="0.2">
      <c r="B903" s="89"/>
      <c r="C903"/>
      <c r="D903"/>
      <c r="E903" s="69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  <c r="V903"/>
      <c r="W903"/>
      <c r="X903"/>
      <c r="Y903"/>
      <c r="Z903"/>
      <c r="AA903"/>
    </row>
    <row r="904" spans="2:27" s="25" customFormat="1" ht="15.75" customHeight="1" x14ac:dyDescent="0.2">
      <c r="B904" s="89"/>
      <c r="C904"/>
      <c r="D904"/>
      <c r="E904" s="69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  <c r="V904"/>
      <c r="W904"/>
      <c r="X904"/>
      <c r="Y904"/>
      <c r="Z904"/>
      <c r="AA904"/>
    </row>
    <row r="905" spans="2:27" s="25" customFormat="1" ht="15.75" customHeight="1" x14ac:dyDescent="0.2">
      <c r="B905" s="89"/>
      <c r="C905"/>
      <c r="D905"/>
      <c r="E905" s="69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  <c r="V905"/>
      <c r="W905"/>
      <c r="X905"/>
      <c r="Y905"/>
      <c r="Z905"/>
      <c r="AA905"/>
    </row>
    <row r="906" spans="2:27" s="25" customFormat="1" ht="15.75" customHeight="1" x14ac:dyDescent="0.2">
      <c r="B906" s="89"/>
      <c r="C906"/>
      <c r="D906"/>
      <c r="E906" s="69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  <c r="V906"/>
      <c r="W906"/>
      <c r="X906"/>
      <c r="Y906"/>
      <c r="Z906"/>
      <c r="AA906"/>
    </row>
    <row r="907" spans="2:27" s="25" customFormat="1" ht="15.75" customHeight="1" x14ac:dyDescent="0.2">
      <c r="B907" s="89"/>
      <c r="C907"/>
      <c r="D907"/>
      <c r="E907" s="69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  <c r="V907"/>
      <c r="W907"/>
      <c r="X907"/>
      <c r="Y907"/>
      <c r="Z907"/>
      <c r="AA907"/>
    </row>
    <row r="908" spans="2:27" s="25" customFormat="1" ht="15.75" customHeight="1" x14ac:dyDescent="0.2">
      <c r="B908" s="89"/>
      <c r="C908"/>
      <c r="D908"/>
      <c r="E908" s="69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  <c r="V908"/>
      <c r="W908"/>
      <c r="X908"/>
      <c r="Y908"/>
      <c r="Z908"/>
      <c r="AA908"/>
    </row>
    <row r="909" spans="2:27" s="25" customFormat="1" ht="15.75" customHeight="1" x14ac:dyDescent="0.2">
      <c r="B909" s="89"/>
      <c r="C909"/>
      <c r="D909"/>
      <c r="E909" s="6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  <c r="V909"/>
      <c r="W909"/>
      <c r="X909"/>
      <c r="Y909"/>
      <c r="Z909"/>
      <c r="AA909"/>
    </row>
    <row r="910" spans="2:27" s="25" customFormat="1" ht="15.75" customHeight="1" x14ac:dyDescent="0.2">
      <c r="B910" s="89"/>
      <c r="C910"/>
      <c r="D910"/>
      <c r="E910" s="69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  <c r="V910"/>
      <c r="W910"/>
      <c r="X910"/>
      <c r="Y910"/>
      <c r="Z910"/>
      <c r="AA910"/>
    </row>
    <row r="911" spans="2:27" s="25" customFormat="1" ht="15.75" customHeight="1" x14ac:dyDescent="0.2">
      <c r="B911" s="89"/>
      <c r="C911"/>
      <c r="D911"/>
      <c r="E911" s="69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  <c r="V911"/>
      <c r="W911"/>
      <c r="X911"/>
      <c r="Y911"/>
      <c r="Z911"/>
      <c r="AA911"/>
    </row>
    <row r="912" spans="2:27" s="25" customFormat="1" ht="15.75" customHeight="1" x14ac:dyDescent="0.2">
      <c r="B912" s="89"/>
      <c r="C912"/>
      <c r="D912"/>
      <c r="E912" s="69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  <c r="V912"/>
      <c r="W912"/>
      <c r="X912"/>
      <c r="Y912"/>
      <c r="Z912"/>
      <c r="AA912"/>
    </row>
    <row r="913" spans="2:27" s="25" customFormat="1" ht="15.75" customHeight="1" x14ac:dyDescent="0.2">
      <c r="B913" s="89"/>
      <c r="C913"/>
      <c r="D913"/>
      <c r="E913" s="69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  <c r="V913"/>
      <c r="W913"/>
      <c r="X913"/>
      <c r="Y913"/>
      <c r="Z913"/>
      <c r="AA913"/>
    </row>
    <row r="914" spans="2:27" s="25" customFormat="1" ht="15.75" customHeight="1" x14ac:dyDescent="0.2">
      <c r="B914" s="89"/>
      <c r="C914"/>
      <c r="D914"/>
      <c r="E914" s="69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  <c r="V914"/>
      <c r="W914"/>
      <c r="X914"/>
      <c r="Y914"/>
      <c r="Z914"/>
      <c r="AA914"/>
    </row>
    <row r="915" spans="2:27" s="25" customFormat="1" ht="15.75" customHeight="1" x14ac:dyDescent="0.2">
      <c r="B915" s="89"/>
      <c r="C915"/>
      <c r="D915"/>
      <c r="E915" s="69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  <c r="V915"/>
      <c r="W915"/>
      <c r="X915"/>
      <c r="Y915"/>
      <c r="Z915"/>
      <c r="AA915"/>
    </row>
    <row r="916" spans="2:27" s="25" customFormat="1" ht="15.75" customHeight="1" x14ac:dyDescent="0.2">
      <c r="B916" s="89"/>
      <c r="C916"/>
      <c r="D916"/>
      <c r="E916" s="69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  <c r="V916"/>
      <c r="W916"/>
      <c r="X916"/>
      <c r="Y916"/>
      <c r="Z916"/>
      <c r="AA916"/>
    </row>
    <row r="917" spans="2:27" s="25" customFormat="1" ht="15.75" customHeight="1" x14ac:dyDescent="0.2">
      <c r="B917" s="89"/>
      <c r="C917"/>
      <c r="D917"/>
      <c r="E917" s="69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  <c r="V917"/>
      <c r="W917"/>
      <c r="X917"/>
      <c r="Y917"/>
      <c r="Z917"/>
      <c r="AA917"/>
    </row>
    <row r="918" spans="2:27" s="25" customFormat="1" ht="15.75" customHeight="1" x14ac:dyDescent="0.2">
      <c r="B918" s="89"/>
      <c r="C918"/>
      <c r="D918"/>
      <c r="E918" s="69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  <c r="V918"/>
      <c r="W918"/>
      <c r="X918"/>
      <c r="Y918"/>
      <c r="Z918"/>
      <c r="AA918"/>
    </row>
    <row r="919" spans="2:27" s="25" customFormat="1" ht="15.75" customHeight="1" x14ac:dyDescent="0.2">
      <c r="B919" s="89"/>
      <c r="C919"/>
      <c r="D919"/>
      <c r="E919" s="6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  <c r="V919"/>
      <c r="W919"/>
      <c r="X919"/>
      <c r="Y919"/>
      <c r="Z919"/>
      <c r="AA919"/>
    </row>
    <row r="920" spans="2:27" s="25" customFormat="1" ht="15.75" customHeight="1" x14ac:dyDescent="0.2">
      <c r="B920" s="89"/>
      <c r="C920"/>
      <c r="D920"/>
      <c r="E920" s="69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  <c r="V920"/>
      <c r="W920"/>
      <c r="X920"/>
      <c r="Y920"/>
      <c r="Z920"/>
      <c r="AA920"/>
    </row>
    <row r="921" spans="2:27" s="25" customFormat="1" ht="15.75" customHeight="1" x14ac:dyDescent="0.2">
      <c r="B921" s="89"/>
      <c r="C921"/>
      <c r="D921"/>
      <c r="E921" s="69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  <c r="V921"/>
      <c r="W921"/>
      <c r="X921"/>
      <c r="Y921"/>
      <c r="Z921"/>
      <c r="AA921"/>
    </row>
    <row r="922" spans="2:27" s="25" customFormat="1" ht="15.75" customHeight="1" x14ac:dyDescent="0.2">
      <c r="B922" s="89"/>
      <c r="C922"/>
      <c r="D922"/>
      <c r="E922" s="69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  <c r="V922"/>
      <c r="W922"/>
      <c r="X922"/>
      <c r="Y922"/>
      <c r="Z922"/>
      <c r="AA922"/>
    </row>
    <row r="923" spans="2:27" s="25" customFormat="1" ht="15.75" customHeight="1" x14ac:dyDescent="0.2">
      <c r="B923" s="89"/>
      <c r="C923"/>
      <c r="D923"/>
      <c r="E923" s="69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  <c r="V923"/>
      <c r="W923"/>
      <c r="X923"/>
      <c r="Y923"/>
      <c r="Z923"/>
      <c r="AA923"/>
    </row>
    <row r="924" spans="2:27" s="25" customFormat="1" ht="15.75" customHeight="1" x14ac:dyDescent="0.2">
      <c r="B924" s="89"/>
      <c r="C924"/>
      <c r="D924"/>
      <c r="E924" s="69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  <c r="V924"/>
      <c r="W924"/>
      <c r="X924"/>
      <c r="Y924"/>
      <c r="Z924"/>
      <c r="AA924"/>
    </row>
    <row r="925" spans="2:27" s="25" customFormat="1" ht="15.75" customHeight="1" x14ac:dyDescent="0.2">
      <c r="B925" s="89"/>
      <c r="C925"/>
      <c r="D925"/>
      <c r="E925" s="69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  <c r="V925"/>
      <c r="W925"/>
      <c r="X925"/>
      <c r="Y925"/>
      <c r="Z925"/>
      <c r="AA925"/>
    </row>
    <row r="926" spans="2:27" s="25" customFormat="1" ht="15.75" customHeight="1" x14ac:dyDescent="0.2">
      <c r="B926" s="89"/>
      <c r="C926"/>
      <c r="D926"/>
      <c r="E926" s="69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  <c r="V926"/>
      <c r="W926"/>
      <c r="X926"/>
      <c r="Y926"/>
      <c r="Z926"/>
      <c r="AA926"/>
    </row>
    <row r="927" spans="2:27" s="25" customFormat="1" ht="15.75" customHeight="1" x14ac:dyDescent="0.2">
      <c r="B927" s="89"/>
      <c r="C927"/>
      <c r="D927"/>
      <c r="E927" s="69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  <c r="V927"/>
      <c r="W927"/>
      <c r="X927"/>
      <c r="Y927"/>
      <c r="Z927"/>
      <c r="AA927"/>
    </row>
    <row r="928" spans="2:27" s="25" customFormat="1" ht="15.75" customHeight="1" x14ac:dyDescent="0.2">
      <c r="B928" s="89"/>
      <c r="C928"/>
      <c r="D928"/>
      <c r="E928" s="69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  <c r="V928"/>
      <c r="W928"/>
      <c r="X928"/>
      <c r="Y928"/>
      <c r="Z928"/>
      <c r="AA928"/>
    </row>
    <row r="929" spans="2:27" s="25" customFormat="1" ht="15.75" customHeight="1" x14ac:dyDescent="0.2">
      <c r="B929" s="89"/>
      <c r="C929"/>
      <c r="D929"/>
      <c r="E929" s="6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  <c r="V929"/>
      <c r="W929"/>
      <c r="X929"/>
      <c r="Y929"/>
      <c r="Z929"/>
      <c r="AA929"/>
    </row>
    <row r="930" spans="2:27" s="25" customFormat="1" ht="15.75" customHeight="1" x14ac:dyDescent="0.2">
      <c r="B930" s="89"/>
      <c r="C930"/>
      <c r="D930"/>
      <c r="E930" s="69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  <c r="V930"/>
      <c r="W930"/>
      <c r="X930"/>
      <c r="Y930"/>
      <c r="Z930"/>
      <c r="AA930"/>
    </row>
    <row r="931" spans="2:27" s="25" customFormat="1" ht="15.75" customHeight="1" x14ac:dyDescent="0.2">
      <c r="B931" s="89"/>
      <c r="C931"/>
      <c r="D931"/>
      <c r="E931" s="69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  <c r="V931"/>
      <c r="W931"/>
      <c r="X931"/>
      <c r="Y931"/>
      <c r="Z931"/>
      <c r="AA931"/>
    </row>
    <row r="932" spans="2:27" s="25" customFormat="1" ht="15.75" customHeight="1" x14ac:dyDescent="0.2">
      <c r="B932" s="89"/>
      <c r="C932"/>
      <c r="D932"/>
      <c r="E932" s="69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  <c r="V932"/>
      <c r="W932"/>
      <c r="X932"/>
      <c r="Y932"/>
      <c r="Z932"/>
      <c r="AA932"/>
    </row>
    <row r="933" spans="2:27" s="25" customFormat="1" ht="15.75" customHeight="1" x14ac:dyDescent="0.2">
      <c r="B933" s="89"/>
      <c r="C933"/>
      <c r="D933"/>
      <c r="E933" s="69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  <c r="V933"/>
      <c r="W933"/>
      <c r="X933"/>
      <c r="Y933"/>
      <c r="Z933"/>
      <c r="AA933"/>
    </row>
    <row r="934" spans="2:27" s="25" customFormat="1" ht="15.75" customHeight="1" x14ac:dyDescent="0.2">
      <c r="B934" s="89"/>
      <c r="C934"/>
      <c r="D934"/>
      <c r="E934" s="69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  <c r="V934"/>
      <c r="W934"/>
      <c r="X934"/>
      <c r="Y934"/>
      <c r="Z934"/>
      <c r="AA934"/>
    </row>
    <row r="935" spans="2:27" s="25" customFormat="1" ht="15.75" customHeight="1" x14ac:dyDescent="0.2">
      <c r="B935" s="89"/>
      <c r="C935"/>
      <c r="D935"/>
      <c r="E935" s="69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  <c r="V935"/>
      <c r="W935"/>
      <c r="X935"/>
      <c r="Y935"/>
      <c r="Z935"/>
      <c r="AA935"/>
    </row>
    <row r="936" spans="2:27" s="25" customFormat="1" ht="15.75" customHeight="1" x14ac:dyDescent="0.2">
      <c r="B936" s="89"/>
      <c r="C936"/>
      <c r="D936"/>
      <c r="E936" s="69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  <c r="V936"/>
      <c r="W936"/>
      <c r="X936"/>
      <c r="Y936"/>
      <c r="Z936"/>
      <c r="AA936"/>
    </row>
    <row r="937" spans="2:27" s="25" customFormat="1" ht="15.75" customHeight="1" x14ac:dyDescent="0.2">
      <c r="B937" s="89"/>
      <c r="C937"/>
      <c r="D937"/>
      <c r="E937" s="69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  <c r="V937"/>
      <c r="W937"/>
      <c r="X937"/>
      <c r="Y937"/>
      <c r="Z937"/>
      <c r="AA937"/>
    </row>
    <row r="938" spans="2:27" s="25" customFormat="1" ht="15.75" customHeight="1" x14ac:dyDescent="0.2">
      <c r="B938" s="89"/>
      <c r="C938"/>
      <c r="D938"/>
      <c r="E938" s="69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  <c r="V938"/>
      <c r="W938"/>
      <c r="X938"/>
      <c r="Y938"/>
      <c r="Z938"/>
      <c r="AA938"/>
    </row>
    <row r="939" spans="2:27" s="25" customFormat="1" ht="15.75" customHeight="1" x14ac:dyDescent="0.2">
      <c r="B939" s="89"/>
      <c r="C939"/>
      <c r="D939"/>
      <c r="E939" s="6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  <c r="V939"/>
      <c r="W939"/>
      <c r="X939"/>
      <c r="Y939"/>
      <c r="Z939"/>
      <c r="AA939"/>
    </row>
    <row r="940" spans="2:27" s="25" customFormat="1" ht="15.75" customHeight="1" x14ac:dyDescent="0.2">
      <c r="B940" s="89"/>
      <c r="C940"/>
      <c r="D940"/>
      <c r="E940" s="69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  <c r="V940"/>
      <c r="W940"/>
      <c r="X940"/>
      <c r="Y940"/>
      <c r="Z940"/>
      <c r="AA940"/>
    </row>
    <row r="941" spans="2:27" s="25" customFormat="1" ht="15.75" customHeight="1" x14ac:dyDescent="0.2">
      <c r="B941" s="89"/>
      <c r="C941"/>
      <c r="D941"/>
      <c r="E941" s="69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  <c r="V941"/>
      <c r="W941"/>
      <c r="X941"/>
      <c r="Y941"/>
      <c r="Z941"/>
      <c r="AA941"/>
    </row>
    <row r="942" spans="2:27" s="25" customFormat="1" ht="15.75" customHeight="1" x14ac:dyDescent="0.2">
      <c r="B942" s="89"/>
      <c r="C942"/>
      <c r="D942"/>
      <c r="E942" s="69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  <c r="V942"/>
      <c r="W942"/>
      <c r="X942"/>
      <c r="Y942"/>
      <c r="Z942"/>
      <c r="AA942"/>
    </row>
    <row r="943" spans="2:27" s="25" customFormat="1" ht="15.75" customHeight="1" x14ac:dyDescent="0.2">
      <c r="B943" s="89"/>
      <c r="C943"/>
      <c r="D943"/>
      <c r="E943" s="69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  <c r="V943"/>
      <c r="W943"/>
      <c r="X943"/>
      <c r="Y943"/>
      <c r="Z943"/>
      <c r="AA943"/>
    </row>
    <row r="944" spans="2:27" s="25" customFormat="1" ht="15.75" customHeight="1" x14ac:dyDescent="0.2">
      <c r="B944" s="89"/>
      <c r="C944"/>
      <c r="D944"/>
      <c r="E944" s="69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  <c r="V944"/>
      <c r="W944"/>
      <c r="X944"/>
      <c r="Y944"/>
      <c r="Z944"/>
      <c r="AA944"/>
    </row>
    <row r="945" spans="2:27" s="25" customFormat="1" ht="15.75" customHeight="1" x14ac:dyDescent="0.2">
      <c r="B945" s="89"/>
      <c r="C945"/>
      <c r="D945"/>
      <c r="E945" s="69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  <c r="U945"/>
      <c r="V945"/>
      <c r="W945"/>
      <c r="X945"/>
      <c r="Y945"/>
      <c r="Z945"/>
      <c r="AA945"/>
    </row>
    <row r="946" spans="2:27" s="25" customFormat="1" ht="15.75" customHeight="1" x14ac:dyDescent="0.2">
      <c r="B946" s="89"/>
      <c r="C946"/>
      <c r="D946"/>
      <c r="E946" s="69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  <c r="V946"/>
      <c r="W946"/>
      <c r="X946"/>
      <c r="Y946"/>
      <c r="Z946"/>
      <c r="AA946"/>
    </row>
    <row r="947" spans="2:27" s="25" customFormat="1" ht="15.75" customHeight="1" x14ac:dyDescent="0.2">
      <c r="B947" s="89"/>
      <c r="C947"/>
      <c r="D947"/>
      <c r="E947" s="69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  <c r="U947"/>
      <c r="V947"/>
      <c r="W947"/>
      <c r="X947"/>
      <c r="Y947"/>
      <c r="Z947"/>
      <c r="AA947"/>
    </row>
    <row r="948" spans="2:27" s="25" customFormat="1" ht="15.75" customHeight="1" x14ac:dyDescent="0.2">
      <c r="B948" s="89"/>
      <c r="C948"/>
      <c r="D948"/>
      <c r="E948" s="69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  <c r="U948"/>
      <c r="V948"/>
      <c r="W948"/>
      <c r="X948"/>
      <c r="Y948"/>
      <c r="Z948"/>
      <c r="AA948"/>
    </row>
    <row r="949" spans="2:27" s="25" customFormat="1" ht="15.75" customHeight="1" x14ac:dyDescent="0.2">
      <c r="B949" s="89"/>
      <c r="C949"/>
      <c r="D949"/>
      <c r="E949" s="6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  <c r="V949"/>
      <c r="W949"/>
      <c r="X949"/>
      <c r="Y949"/>
      <c r="Z949"/>
      <c r="AA949"/>
    </row>
    <row r="950" spans="2:27" s="25" customFormat="1" ht="15.75" customHeight="1" x14ac:dyDescent="0.2">
      <c r="B950" s="89"/>
      <c r="C950"/>
      <c r="D950"/>
      <c r="E950" s="69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  <c r="U950"/>
      <c r="V950"/>
      <c r="W950"/>
      <c r="X950"/>
      <c r="Y950"/>
      <c r="Z950"/>
      <c r="AA950"/>
    </row>
    <row r="951" spans="2:27" s="25" customFormat="1" ht="15.75" customHeight="1" x14ac:dyDescent="0.2">
      <c r="B951" s="89"/>
      <c r="C951"/>
      <c r="D951"/>
      <c r="E951" s="69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  <c r="V951"/>
      <c r="W951"/>
      <c r="X951"/>
      <c r="Y951"/>
      <c r="Z951"/>
      <c r="AA951"/>
    </row>
    <row r="952" spans="2:27" s="25" customFormat="1" ht="15.75" customHeight="1" x14ac:dyDescent="0.2">
      <c r="B952" s="89"/>
      <c r="C952"/>
      <c r="D952"/>
      <c r="E952" s="69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  <c r="U952"/>
      <c r="V952"/>
      <c r="W952"/>
      <c r="X952"/>
      <c r="Y952"/>
      <c r="Z952"/>
      <c r="AA952"/>
    </row>
    <row r="953" spans="2:27" s="25" customFormat="1" ht="15.75" customHeight="1" x14ac:dyDescent="0.2">
      <c r="B953" s="89"/>
      <c r="C953"/>
      <c r="D953"/>
      <c r="E953" s="69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  <c r="U953"/>
      <c r="V953"/>
      <c r="W953"/>
      <c r="X953"/>
      <c r="Y953"/>
      <c r="Z953"/>
      <c r="AA953"/>
    </row>
    <row r="954" spans="2:27" s="25" customFormat="1" ht="15.75" customHeight="1" x14ac:dyDescent="0.2">
      <c r="B954" s="89"/>
      <c r="C954"/>
      <c r="D954"/>
      <c r="E954" s="69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  <c r="V954"/>
      <c r="W954"/>
      <c r="X954"/>
      <c r="Y954"/>
      <c r="Z954"/>
      <c r="AA954"/>
    </row>
    <row r="955" spans="2:27" s="25" customFormat="1" ht="15.75" customHeight="1" x14ac:dyDescent="0.2">
      <c r="B955" s="89"/>
      <c r="C955"/>
      <c r="D955"/>
      <c r="E955" s="69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  <c r="V955"/>
      <c r="W955"/>
      <c r="X955"/>
      <c r="Y955"/>
      <c r="Z955"/>
      <c r="AA955"/>
    </row>
    <row r="956" spans="2:27" s="25" customFormat="1" ht="15.75" customHeight="1" x14ac:dyDescent="0.2">
      <c r="B956" s="89"/>
      <c r="C956"/>
      <c r="D956"/>
      <c r="E956" s="69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  <c r="U956"/>
      <c r="V956"/>
      <c r="W956"/>
      <c r="X956"/>
      <c r="Y956"/>
      <c r="Z956"/>
      <c r="AA956"/>
    </row>
    <row r="957" spans="2:27" s="25" customFormat="1" ht="15.75" customHeight="1" x14ac:dyDescent="0.2">
      <c r="B957" s="89"/>
      <c r="C957"/>
      <c r="D957"/>
      <c r="E957" s="69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  <c r="V957"/>
      <c r="W957"/>
      <c r="X957"/>
      <c r="Y957"/>
      <c r="Z957"/>
      <c r="AA957"/>
    </row>
    <row r="958" spans="2:27" s="25" customFormat="1" ht="15.75" customHeight="1" x14ac:dyDescent="0.2">
      <c r="B958" s="89"/>
      <c r="C958"/>
      <c r="D958"/>
      <c r="E958" s="69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  <c r="V958"/>
      <c r="W958"/>
      <c r="X958"/>
      <c r="Y958"/>
      <c r="Z958"/>
      <c r="AA958"/>
    </row>
    <row r="959" spans="2:27" s="25" customFormat="1" ht="15.75" customHeight="1" x14ac:dyDescent="0.2">
      <c r="B959" s="89"/>
      <c r="C959"/>
      <c r="D959"/>
      <c r="E959" s="6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  <c r="V959"/>
      <c r="W959"/>
      <c r="X959"/>
      <c r="Y959"/>
      <c r="Z959"/>
      <c r="AA959"/>
    </row>
    <row r="960" spans="2:27" s="25" customFormat="1" ht="15.75" customHeight="1" x14ac:dyDescent="0.2">
      <c r="B960" s="89"/>
      <c r="C960"/>
      <c r="D960"/>
      <c r="E960" s="69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  <c r="U960"/>
      <c r="V960"/>
      <c r="W960"/>
      <c r="X960"/>
      <c r="Y960"/>
      <c r="Z960"/>
      <c r="AA960"/>
    </row>
    <row r="961" spans="2:27" s="25" customFormat="1" ht="15.75" customHeight="1" x14ac:dyDescent="0.2">
      <c r="B961" s="89"/>
      <c r="C961"/>
      <c r="D961"/>
      <c r="E961" s="69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  <c r="V961"/>
      <c r="W961"/>
      <c r="X961"/>
      <c r="Y961"/>
      <c r="Z961"/>
      <c r="AA961"/>
    </row>
    <row r="962" spans="2:27" s="25" customFormat="1" ht="15.75" customHeight="1" x14ac:dyDescent="0.2">
      <c r="B962" s="89"/>
      <c r="C962"/>
      <c r="D962"/>
      <c r="E962" s="69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  <c r="V962"/>
      <c r="W962"/>
      <c r="X962"/>
      <c r="Y962"/>
      <c r="Z962"/>
      <c r="AA962"/>
    </row>
    <row r="963" spans="2:27" s="25" customFormat="1" ht="15.75" customHeight="1" x14ac:dyDescent="0.2">
      <c r="B963" s="89"/>
      <c r="C963"/>
      <c r="D963"/>
      <c r="E963" s="69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  <c r="V963"/>
      <c r="W963"/>
      <c r="X963"/>
      <c r="Y963"/>
      <c r="Z963"/>
      <c r="AA963"/>
    </row>
    <row r="964" spans="2:27" s="25" customFormat="1" ht="15.75" customHeight="1" x14ac:dyDescent="0.2">
      <c r="B964" s="89"/>
      <c r="C964"/>
      <c r="D964"/>
      <c r="E964" s="69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  <c r="V964"/>
      <c r="W964"/>
      <c r="X964"/>
      <c r="Y964"/>
      <c r="Z964"/>
      <c r="AA964"/>
    </row>
    <row r="965" spans="2:27" s="25" customFormat="1" ht="15.75" customHeight="1" x14ac:dyDescent="0.2">
      <c r="B965" s="89"/>
      <c r="C965"/>
      <c r="D965"/>
      <c r="E965" s="69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  <c r="T965"/>
      <c r="U965"/>
      <c r="V965"/>
      <c r="W965"/>
      <c r="X965"/>
      <c r="Y965"/>
      <c r="Z965"/>
      <c r="AA965"/>
    </row>
    <row r="966" spans="2:27" s="25" customFormat="1" ht="15.75" customHeight="1" x14ac:dyDescent="0.2">
      <c r="B966" s="89"/>
      <c r="C966"/>
      <c r="D966"/>
      <c r="E966" s="69"/>
      <c r="F966"/>
      <c r="G966"/>
      <c r="H966"/>
      <c r="I966"/>
      <c r="J966"/>
      <c r="K966"/>
      <c r="L966"/>
      <c r="M966"/>
      <c r="N966"/>
      <c r="O966"/>
      <c r="P966"/>
      <c r="Q966"/>
      <c r="R966"/>
      <c r="S966"/>
      <c r="T966"/>
      <c r="U966"/>
      <c r="V966"/>
      <c r="W966"/>
      <c r="X966"/>
      <c r="Y966"/>
      <c r="Z966"/>
      <c r="AA966"/>
    </row>
    <row r="967" spans="2:27" s="25" customFormat="1" ht="15.75" customHeight="1" x14ac:dyDescent="0.2">
      <c r="B967" s="89"/>
      <c r="C967"/>
      <c r="D967"/>
      <c r="E967" s="69"/>
      <c r="F967"/>
      <c r="G967"/>
      <c r="H967"/>
      <c r="I967"/>
      <c r="J967"/>
      <c r="K967"/>
      <c r="L967"/>
      <c r="M967"/>
      <c r="N967"/>
      <c r="O967"/>
      <c r="P967"/>
      <c r="Q967"/>
      <c r="R967"/>
      <c r="S967"/>
      <c r="T967"/>
      <c r="U967"/>
      <c r="V967"/>
      <c r="W967"/>
      <c r="X967"/>
      <c r="Y967"/>
      <c r="Z967"/>
      <c r="AA967"/>
    </row>
    <row r="968" spans="2:27" s="25" customFormat="1" ht="15.75" customHeight="1" x14ac:dyDescent="0.2">
      <c r="B968" s="89"/>
      <c r="C968"/>
      <c r="D968"/>
      <c r="E968" s="69"/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  <c r="U968"/>
      <c r="V968"/>
      <c r="W968"/>
      <c r="X968"/>
      <c r="Y968"/>
      <c r="Z968"/>
      <c r="AA968"/>
    </row>
    <row r="969" spans="2:27" s="25" customFormat="1" ht="15.75" customHeight="1" x14ac:dyDescent="0.2">
      <c r="B969" s="89"/>
      <c r="C969"/>
      <c r="D969"/>
      <c r="E969" s="69"/>
      <c r="F969"/>
      <c r="G969"/>
      <c r="H969"/>
      <c r="I969"/>
      <c r="J969"/>
      <c r="K969"/>
      <c r="L969"/>
      <c r="M969"/>
      <c r="N969"/>
      <c r="O969"/>
      <c r="P969"/>
      <c r="Q969"/>
      <c r="R969"/>
      <c r="S969"/>
      <c r="T969"/>
      <c r="U969"/>
      <c r="V969"/>
      <c r="W969"/>
      <c r="X969"/>
      <c r="Y969"/>
      <c r="Z969"/>
      <c r="AA969"/>
    </row>
    <row r="970" spans="2:27" s="25" customFormat="1" ht="15.75" customHeight="1" x14ac:dyDescent="0.2">
      <c r="B970" s="89"/>
      <c r="C970"/>
      <c r="D970"/>
      <c r="E970" s="69"/>
      <c r="F970"/>
      <c r="G970"/>
      <c r="H970"/>
      <c r="I970"/>
      <c r="J970"/>
      <c r="K970"/>
      <c r="L970"/>
      <c r="M970"/>
      <c r="N970"/>
      <c r="O970"/>
      <c r="P970"/>
      <c r="Q970"/>
      <c r="R970"/>
      <c r="S970"/>
      <c r="T970"/>
      <c r="U970"/>
      <c r="V970"/>
      <c r="W970"/>
      <c r="X970"/>
      <c r="Y970"/>
      <c r="Z970"/>
      <c r="AA970"/>
    </row>
    <row r="971" spans="2:27" s="25" customFormat="1" ht="15.75" customHeight="1" x14ac:dyDescent="0.2">
      <c r="B971" s="89"/>
      <c r="C971"/>
      <c r="D971"/>
      <c r="E971" s="69"/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  <c r="T971"/>
      <c r="U971"/>
      <c r="V971"/>
      <c r="W971"/>
      <c r="X971"/>
      <c r="Y971"/>
      <c r="Z971"/>
      <c r="AA971"/>
    </row>
    <row r="972" spans="2:27" s="25" customFormat="1" ht="15.75" customHeight="1" x14ac:dyDescent="0.2">
      <c r="B972" s="89"/>
      <c r="C972"/>
      <c r="D972"/>
      <c r="E972" s="69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  <c r="U972"/>
      <c r="V972"/>
      <c r="W972"/>
      <c r="X972"/>
      <c r="Y972"/>
      <c r="Z972"/>
      <c r="AA972"/>
    </row>
    <row r="973" spans="2:27" s="25" customFormat="1" ht="15.75" customHeight="1" x14ac:dyDescent="0.2">
      <c r="B973" s="89"/>
      <c r="C973"/>
      <c r="D973"/>
      <c r="E973" s="69"/>
      <c r="F973"/>
      <c r="G973"/>
      <c r="H973"/>
      <c r="I973"/>
      <c r="J973"/>
      <c r="K973"/>
      <c r="L973"/>
      <c r="M973"/>
      <c r="N973"/>
      <c r="O973"/>
      <c r="P973"/>
      <c r="Q973"/>
      <c r="R973"/>
      <c r="S973"/>
      <c r="T973"/>
      <c r="U973"/>
      <c r="V973"/>
      <c r="W973"/>
      <c r="X973"/>
      <c r="Y973"/>
      <c r="Z973"/>
      <c r="AA973"/>
    </row>
    <row r="974" spans="2:27" s="25" customFormat="1" ht="15.75" customHeight="1" x14ac:dyDescent="0.2">
      <c r="B974" s="89"/>
      <c r="C974"/>
      <c r="D974"/>
      <c r="E974" s="69"/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  <c r="T974"/>
      <c r="U974"/>
      <c r="V974"/>
      <c r="W974"/>
      <c r="X974"/>
      <c r="Y974"/>
      <c r="Z974"/>
      <c r="AA974"/>
    </row>
    <row r="975" spans="2:27" s="25" customFormat="1" ht="15.75" customHeight="1" x14ac:dyDescent="0.2">
      <c r="B975" s="89"/>
      <c r="C975"/>
      <c r="D975"/>
      <c r="E975" s="69"/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  <c r="U975"/>
      <c r="V975"/>
      <c r="W975"/>
      <c r="X975"/>
      <c r="Y975"/>
      <c r="Z975"/>
      <c r="AA975"/>
    </row>
    <row r="976" spans="2:27" s="25" customFormat="1" ht="15.75" customHeight="1" x14ac:dyDescent="0.2">
      <c r="B976" s="89"/>
      <c r="C976"/>
      <c r="D976"/>
      <c r="E976" s="69"/>
      <c r="F976"/>
      <c r="G976"/>
      <c r="H976"/>
      <c r="I976"/>
      <c r="J976"/>
      <c r="K976"/>
      <c r="L976"/>
      <c r="M976"/>
      <c r="N976"/>
      <c r="O976"/>
      <c r="P976"/>
      <c r="Q976"/>
      <c r="R976"/>
      <c r="S976"/>
      <c r="T976"/>
      <c r="U976"/>
      <c r="V976"/>
      <c r="W976"/>
      <c r="X976"/>
      <c r="Y976"/>
      <c r="Z976"/>
      <c r="AA976"/>
    </row>
    <row r="977" spans="2:27" s="25" customFormat="1" ht="15.75" customHeight="1" x14ac:dyDescent="0.2">
      <c r="B977" s="89"/>
      <c r="C977"/>
      <c r="D977"/>
      <c r="E977" s="69"/>
      <c r="F977"/>
      <c r="G977"/>
      <c r="H977"/>
      <c r="I977"/>
      <c r="J977"/>
      <c r="K977"/>
      <c r="L977"/>
      <c r="M977"/>
      <c r="N977"/>
      <c r="O977"/>
      <c r="P977"/>
      <c r="Q977"/>
      <c r="R977"/>
      <c r="S977"/>
      <c r="T977"/>
      <c r="U977"/>
      <c r="V977"/>
      <c r="W977"/>
      <c r="X977"/>
      <c r="Y977"/>
      <c r="Z977"/>
      <c r="AA977"/>
    </row>
    <row r="978" spans="2:27" s="25" customFormat="1" ht="15.75" customHeight="1" x14ac:dyDescent="0.2">
      <c r="B978" s="89"/>
      <c r="C978"/>
      <c r="D978"/>
      <c r="E978" s="69"/>
      <c r="F978"/>
      <c r="G978"/>
      <c r="H978"/>
      <c r="I978"/>
      <c r="J978"/>
      <c r="K978"/>
      <c r="L978"/>
      <c r="M978"/>
      <c r="N978"/>
      <c r="O978"/>
      <c r="P978"/>
      <c r="Q978"/>
      <c r="R978"/>
      <c r="S978"/>
      <c r="T978"/>
      <c r="U978"/>
      <c r="V978"/>
      <c r="W978"/>
      <c r="X978"/>
      <c r="Y978"/>
      <c r="Z978"/>
      <c r="AA978"/>
    </row>
    <row r="979" spans="2:27" s="25" customFormat="1" ht="15.75" customHeight="1" x14ac:dyDescent="0.2">
      <c r="B979" s="89"/>
      <c r="C979"/>
      <c r="D979"/>
      <c r="E979" s="69"/>
      <c r="F979"/>
      <c r="G979"/>
      <c r="H979"/>
      <c r="I979"/>
      <c r="J979"/>
      <c r="K979"/>
      <c r="L979"/>
      <c r="M979"/>
      <c r="N979"/>
      <c r="O979"/>
      <c r="P979"/>
      <c r="Q979"/>
      <c r="R979"/>
      <c r="S979"/>
      <c r="T979"/>
      <c r="U979"/>
      <c r="V979"/>
      <c r="W979"/>
      <c r="X979"/>
      <c r="Y979"/>
      <c r="Z979"/>
      <c r="AA979"/>
    </row>
    <row r="980" spans="2:27" s="25" customFormat="1" ht="15.75" customHeight="1" x14ac:dyDescent="0.2">
      <c r="B980" s="89"/>
      <c r="C980"/>
      <c r="D980"/>
      <c r="E980" s="69"/>
      <c r="F980"/>
      <c r="G980"/>
      <c r="H980"/>
      <c r="I980"/>
      <c r="J980"/>
      <c r="K980"/>
      <c r="L980"/>
      <c r="M980"/>
      <c r="N980"/>
      <c r="O980"/>
      <c r="P980"/>
      <c r="Q980"/>
      <c r="R980"/>
      <c r="S980"/>
      <c r="T980"/>
      <c r="U980"/>
      <c r="V980"/>
      <c r="W980"/>
      <c r="X980"/>
      <c r="Y980"/>
      <c r="Z980"/>
      <c r="AA980"/>
    </row>
    <row r="981" spans="2:27" s="25" customFormat="1" ht="15.75" customHeight="1" x14ac:dyDescent="0.2">
      <c r="B981" s="89"/>
      <c r="C981"/>
      <c r="D981"/>
      <c r="E981" s="69"/>
      <c r="F981"/>
      <c r="G981"/>
      <c r="H981"/>
      <c r="I981"/>
      <c r="J981"/>
      <c r="K981"/>
      <c r="L981"/>
      <c r="M981"/>
      <c r="N981"/>
      <c r="O981"/>
      <c r="P981"/>
      <c r="Q981"/>
      <c r="R981"/>
      <c r="S981"/>
      <c r="T981"/>
      <c r="U981"/>
      <c r="V981"/>
      <c r="W981"/>
      <c r="X981"/>
      <c r="Y981"/>
      <c r="Z981"/>
      <c r="AA981"/>
    </row>
    <row r="982" spans="2:27" s="25" customFormat="1" ht="15.75" customHeight="1" x14ac:dyDescent="0.2">
      <c r="B982" s="89"/>
      <c r="C982"/>
      <c r="D982"/>
      <c r="E982" s="69"/>
      <c r="F982"/>
      <c r="G982"/>
      <c r="H982"/>
      <c r="I982"/>
      <c r="J982"/>
      <c r="K982"/>
      <c r="L982"/>
      <c r="M982"/>
      <c r="N982"/>
      <c r="O982"/>
      <c r="P982"/>
      <c r="Q982"/>
      <c r="R982"/>
      <c r="S982"/>
      <c r="T982"/>
      <c r="U982"/>
      <c r="V982"/>
      <c r="W982"/>
      <c r="X982"/>
      <c r="Y982"/>
      <c r="Z982"/>
      <c r="AA982"/>
    </row>
    <row r="983" spans="2:27" s="25" customFormat="1" ht="15.75" customHeight="1" x14ac:dyDescent="0.2">
      <c r="B983" s="89"/>
      <c r="C983"/>
      <c r="D983"/>
      <c r="E983" s="69"/>
      <c r="F983"/>
      <c r="G983"/>
      <c r="H983"/>
      <c r="I983"/>
      <c r="J983"/>
      <c r="K983"/>
      <c r="L983"/>
      <c r="M983"/>
      <c r="N983"/>
      <c r="O983"/>
      <c r="P983"/>
      <c r="Q983"/>
      <c r="R983"/>
      <c r="S983"/>
      <c r="T983"/>
      <c r="U983"/>
      <c r="V983"/>
      <c r="W983"/>
      <c r="X983"/>
      <c r="Y983"/>
      <c r="Z983"/>
      <c r="AA983"/>
    </row>
    <row r="984" spans="2:27" s="25" customFormat="1" ht="15.75" customHeight="1" x14ac:dyDescent="0.2">
      <c r="B984" s="89"/>
      <c r="C984"/>
      <c r="D984"/>
      <c r="E984" s="69"/>
      <c r="F984"/>
      <c r="G984"/>
      <c r="H984"/>
      <c r="I984"/>
      <c r="J984"/>
      <c r="K984"/>
      <c r="L984"/>
      <c r="M984"/>
      <c r="N984"/>
      <c r="O984"/>
      <c r="P984"/>
      <c r="Q984"/>
      <c r="R984"/>
      <c r="S984"/>
      <c r="T984"/>
      <c r="U984"/>
      <c r="V984"/>
      <c r="W984"/>
      <c r="X984"/>
      <c r="Y984"/>
      <c r="Z984"/>
      <c r="AA984"/>
    </row>
    <row r="985" spans="2:27" s="25" customFormat="1" ht="15.75" customHeight="1" x14ac:dyDescent="0.2">
      <c r="B985" s="89"/>
      <c r="C985"/>
      <c r="D985"/>
      <c r="E985" s="69"/>
      <c r="F985"/>
      <c r="G985"/>
      <c r="H985"/>
      <c r="I985"/>
      <c r="J985"/>
      <c r="K985"/>
      <c r="L985"/>
      <c r="M985"/>
      <c r="N985"/>
      <c r="O985"/>
      <c r="P985"/>
      <c r="Q985"/>
      <c r="R985"/>
      <c r="S985"/>
      <c r="T985"/>
      <c r="U985"/>
      <c r="V985"/>
      <c r="W985"/>
      <c r="X985"/>
      <c r="Y985"/>
      <c r="Z985"/>
      <c r="AA985"/>
    </row>
    <row r="986" spans="2:27" s="25" customFormat="1" ht="15.75" customHeight="1" x14ac:dyDescent="0.2">
      <c r="B986" s="89"/>
      <c r="C986"/>
      <c r="D986"/>
      <c r="E986" s="69"/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  <c r="U986"/>
      <c r="V986"/>
      <c r="W986"/>
      <c r="X986"/>
      <c r="Y986"/>
      <c r="Z986"/>
      <c r="AA986"/>
    </row>
    <row r="987" spans="2:27" s="25" customFormat="1" ht="15.75" customHeight="1" x14ac:dyDescent="0.2">
      <c r="B987" s="89"/>
      <c r="C987"/>
      <c r="D987"/>
      <c r="E987" s="69"/>
      <c r="F987"/>
      <c r="G987"/>
      <c r="H987"/>
      <c r="I987"/>
      <c r="J987"/>
      <c r="K987"/>
      <c r="L987"/>
      <c r="M987"/>
      <c r="N987"/>
      <c r="O987"/>
      <c r="P987"/>
      <c r="Q987"/>
      <c r="R987"/>
      <c r="S987"/>
      <c r="T987"/>
      <c r="U987"/>
      <c r="V987"/>
      <c r="W987"/>
      <c r="X987"/>
      <c r="Y987"/>
      <c r="Z987"/>
      <c r="AA987"/>
    </row>
    <row r="988" spans="2:27" s="25" customFormat="1" ht="15.75" customHeight="1" x14ac:dyDescent="0.2">
      <c r="B988" s="89"/>
      <c r="C988"/>
      <c r="D988"/>
      <c r="E988" s="69"/>
      <c r="F988"/>
      <c r="G988"/>
      <c r="H988"/>
      <c r="I988"/>
      <c r="J988"/>
      <c r="K988"/>
      <c r="L988"/>
      <c r="M988"/>
      <c r="N988"/>
      <c r="O988"/>
      <c r="P988"/>
      <c r="Q988"/>
      <c r="R988"/>
      <c r="S988"/>
      <c r="T988"/>
      <c r="U988"/>
      <c r="V988"/>
      <c r="W988"/>
      <c r="X988"/>
      <c r="Y988"/>
      <c r="Z988"/>
      <c r="AA988"/>
    </row>
    <row r="989" spans="2:27" s="25" customFormat="1" ht="15.75" customHeight="1" x14ac:dyDescent="0.2">
      <c r="B989" s="89"/>
      <c r="C989"/>
      <c r="D989"/>
      <c r="E989" s="69"/>
      <c r="F989"/>
      <c r="G989"/>
      <c r="H989"/>
      <c r="I989"/>
      <c r="J989"/>
      <c r="K989"/>
      <c r="L989"/>
      <c r="M989"/>
      <c r="N989"/>
      <c r="O989"/>
      <c r="P989"/>
      <c r="Q989"/>
      <c r="R989"/>
      <c r="S989"/>
      <c r="T989"/>
      <c r="U989"/>
      <c r="V989"/>
      <c r="W989"/>
      <c r="X989"/>
      <c r="Y989"/>
      <c r="Z989"/>
      <c r="AA989"/>
    </row>
    <row r="990" spans="2:27" s="25" customFormat="1" ht="15.75" customHeight="1" x14ac:dyDescent="0.2">
      <c r="B990" s="89"/>
      <c r="C990"/>
      <c r="D990"/>
      <c r="E990" s="69"/>
      <c r="F990"/>
      <c r="G990"/>
      <c r="H990"/>
      <c r="I990"/>
      <c r="J990"/>
      <c r="K990"/>
      <c r="L990"/>
      <c r="M990"/>
      <c r="N990"/>
      <c r="O990"/>
      <c r="P990"/>
      <c r="Q990"/>
      <c r="R990"/>
      <c r="S990"/>
      <c r="T990"/>
      <c r="U990"/>
      <c r="V990"/>
      <c r="W990"/>
      <c r="X990"/>
      <c r="Y990"/>
      <c r="Z990"/>
      <c r="AA990"/>
    </row>
    <row r="991" spans="2:27" s="25" customFormat="1" ht="15.75" customHeight="1" x14ac:dyDescent="0.2">
      <c r="B991" s="89"/>
      <c r="C991"/>
      <c r="D991"/>
      <c r="E991" s="69"/>
      <c r="F991"/>
      <c r="G991"/>
      <c r="H991"/>
      <c r="I991"/>
      <c r="J991"/>
      <c r="K991"/>
      <c r="L991"/>
      <c r="M991"/>
      <c r="N991"/>
      <c r="O991"/>
      <c r="P991"/>
      <c r="Q991"/>
      <c r="R991"/>
      <c r="S991"/>
      <c r="T991"/>
      <c r="U991"/>
      <c r="V991"/>
      <c r="W991"/>
      <c r="X991"/>
      <c r="Y991"/>
      <c r="Z991"/>
      <c r="AA991"/>
    </row>
    <row r="992" spans="2:27" s="25" customFormat="1" ht="15.75" customHeight="1" x14ac:dyDescent="0.2">
      <c r="B992" s="89"/>
      <c r="C992"/>
      <c r="D992"/>
      <c r="E992" s="69"/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  <c r="T992"/>
      <c r="U992"/>
      <c r="V992"/>
      <c r="W992"/>
      <c r="X992"/>
      <c r="Y992"/>
      <c r="Z992"/>
      <c r="AA992"/>
    </row>
    <row r="993" spans="2:27" s="25" customFormat="1" ht="15.75" customHeight="1" x14ac:dyDescent="0.2">
      <c r="B993" s="89"/>
      <c r="C993"/>
      <c r="D993"/>
      <c r="E993" s="69"/>
      <c r="F993"/>
      <c r="G993"/>
      <c r="H993"/>
      <c r="I993"/>
      <c r="J993"/>
      <c r="K993"/>
      <c r="L993"/>
      <c r="M993"/>
      <c r="N993"/>
      <c r="O993"/>
      <c r="P993"/>
      <c r="Q993"/>
      <c r="R993"/>
      <c r="S993"/>
      <c r="T993"/>
      <c r="U993"/>
      <c r="V993"/>
      <c r="W993"/>
      <c r="X993"/>
      <c r="Y993"/>
      <c r="Z993"/>
      <c r="AA993"/>
    </row>
    <row r="994" spans="2:27" s="25" customFormat="1" ht="15.75" customHeight="1" x14ac:dyDescent="0.2">
      <c r="B994" s="89"/>
      <c r="C994"/>
      <c r="D994"/>
      <c r="E994" s="69"/>
      <c r="F994"/>
      <c r="G994"/>
      <c r="H994"/>
      <c r="I994"/>
      <c r="J994"/>
      <c r="K994"/>
      <c r="L994"/>
      <c r="M994"/>
      <c r="N994"/>
      <c r="O994"/>
      <c r="P994"/>
      <c r="Q994"/>
      <c r="R994"/>
      <c r="S994"/>
      <c r="T994"/>
      <c r="U994"/>
      <c r="V994"/>
      <c r="W994"/>
      <c r="X994"/>
      <c r="Y994"/>
      <c r="Z994"/>
      <c r="AA994"/>
    </row>
    <row r="995" spans="2:27" s="25" customFormat="1" ht="15.75" customHeight="1" x14ac:dyDescent="0.2">
      <c r="B995" s="89"/>
      <c r="C995"/>
      <c r="D995"/>
      <c r="E995" s="69"/>
      <c r="F995"/>
      <c r="G995"/>
      <c r="H995"/>
      <c r="I995"/>
      <c r="J995"/>
      <c r="K995"/>
      <c r="L995"/>
      <c r="M995"/>
      <c r="N995"/>
      <c r="O995"/>
      <c r="P995"/>
      <c r="Q995"/>
      <c r="R995"/>
      <c r="S995"/>
      <c r="T995"/>
      <c r="U995"/>
      <c r="V995"/>
      <c r="W995"/>
      <c r="X995"/>
      <c r="Y995"/>
      <c r="Z995"/>
      <c r="AA995"/>
    </row>
    <row r="996" spans="2:27" s="25" customFormat="1" ht="15.75" customHeight="1" x14ac:dyDescent="0.2">
      <c r="B996" s="89"/>
      <c r="C996"/>
      <c r="D996"/>
      <c r="E996" s="69"/>
      <c r="F996"/>
      <c r="G996"/>
      <c r="H996"/>
      <c r="I996"/>
      <c r="J996"/>
      <c r="K996"/>
      <c r="L996"/>
      <c r="M996"/>
      <c r="N996"/>
      <c r="O996"/>
      <c r="P996"/>
      <c r="Q996"/>
      <c r="R996"/>
      <c r="S996"/>
      <c r="T996"/>
      <c r="U996"/>
      <c r="V996"/>
      <c r="W996"/>
      <c r="X996"/>
      <c r="Y996"/>
      <c r="Z996"/>
      <c r="AA996"/>
    </row>
  </sheetData>
  <mergeCells count="11">
    <mergeCell ref="B7:E7"/>
    <mergeCell ref="F7:G7"/>
    <mergeCell ref="B8:E8"/>
    <mergeCell ref="F8:G8"/>
    <mergeCell ref="E1:E3"/>
    <mergeCell ref="B4:E4"/>
    <mergeCell ref="F4:G4"/>
    <mergeCell ref="B5:E5"/>
    <mergeCell ref="F5:G5"/>
    <mergeCell ref="B6:E6"/>
    <mergeCell ref="F6:G6"/>
  </mergeCells>
  <conditionalFormatting sqref="A4:B8 A9:H1048576">
    <cfRule type="expression" dxfId="17" priority="1">
      <formula>ISNUMBER(SEARCH("Holiday", $E4))</formula>
    </cfRule>
    <cfRule type="expression" dxfId="16" priority="2">
      <formula>AND(WEEKDAY($A4,2)&lt;6, $A4&lt;&gt;"")</formula>
    </cfRule>
  </conditionalFormatting>
  <conditionalFormatting sqref="A1:H3">
    <cfRule type="expression" dxfId="15" priority="5">
      <formula>ISNUMBER(SEARCH("Holiday", $E1))</formula>
    </cfRule>
    <cfRule type="expression" dxfId="14" priority="6">
      <formula>AND(WEEKDAY($A1,2)&lt;6, $A1&lt;&gt;"")</formula>
    </cfRule>
  </conditionalFormatting>
  <conditionalFormatting sqref="F4:H8">
    <cfRule type="expression" dxfId="13" priority="3">
      <formula>ISNUMBER(SEARCH("Holiday", $E4))</formula>
    </cfRule>
    <cfRule type="expression" dxfId="12" priority="4">
      <formula>AND(WEEKDAY($A4,2)&lt;6, $A4&lt;&gt;"")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86DBE-CAA4-4C6B-AA66-8DB061A4A99F}">
  <dimension ref="A1:AA998"/>
  <sheetViews>
    <sheetView topLeftCell="A23" workbookViewId="0">
      <selection activeCell="F55" sqref="F55"/>
    </sheetView>
  </sheetViews>
  <sheetFormatPr defaultColWidth="12.5" defaultRowHeight="14.25" x14ac:dyDescent="0.2"/>
  <cols>
    <col min="1" max="1" width="20.25" style="25" bestFit="1" customWidth="1"/>
    <col min="2" max="2" width="7.375" style="89" bestFit="1" customWidth="1"/>
    <col min="3" max="3" width="11" customWidth="1"/>
    <col min="4" max="4" width="11.25" customWidth="1"/>
    <col min="5" max="5" width="28" style="69" customWidth="1"/>
    <col min="7" max="7" width="12" customWidth="1"/>
    <col min="8" max="8" width="19" customWidth="1"/>
    <col min="9" max="9" width="7.75" customWidth="1"/>
    <col min="10" max="10" width="94.25" bestFit="1" customWidth="1"/>
    <col min="11" max="13" width="7.75" customWidth="1"/>
    <col min="14" max="14" width="9" customWidth="1"/>
    <col min="15" max="27" width="7.75" customWidth="1"/>
  </cols>
  <sheetData>
    <row r="1" spans="1:27" ht="17.25" customHeight="1" x14ac:dyDescent="0.25">
      <c r="A1" s="48"/>
      <c r="B1" s="81"/>
      <c r="C1" s="49"/>
      <c r="D1" s="49"/>
      <c r="E1" s="97" t="s">
        <v>0</v>
      </c>
      <c r="F1" s="50"/>
      <c r="G1" s="51"/>
      <c r="H1" s="52"/>
      <c r="K1" s="28"/>
      <c r="L1" s="28"/>
      <c r="M1" s="28"/>
      <c r="N1" s="28"/>
      <c r="O1" s="28"/>
      <c r="P1" s="28"/>
    </row>
    <row r="2" spans="1:27" ht="17.25" customHeight="1" x14ac:dyDescent="0.25">
      <c r="A2" s="53"/>
      <c r="B2" s="82"/>
      <c r="C2" s="54"/>
      <c r="D2" s="54"/>
      <c r="E2" s="98"/>
      <c r="F2" s="55"/>
      <c r="G2" s="56"/>
      <c r="H2" s="57"/>
      <c r="J2" s="26" t="s">
        <v>17</v>
      </c>
      <c r="K2" s="29"/>
      <c r="L2" s="29"/>
      <c r="M2" s="30"/>
      <c r="N2" s="31"/>
      <c r="O2" s="28"/>
      <c r="P2" s="28"/>
    </row>
    <row r="3" spans="1:27" ht="15.75" x14ac:dyDescent="0.25">
      <c r="A3" s="58"/>
      <c r="B3" s="83"/>
      <c r="C3" s="59"/>
      <c r="D3" s="59"/>
      <c r="E3" s="99"/>
      <c r="F3" s="60"/>
      <c r="G3" s="61"/>
      <c r="H3" s="62"/>
      <c r="J3" s="27" t="s">
        <v>18</v>
      </c>
      <c r="K3" s="29"/>
      <c r="L3" s="29"/>
      <c r="M3" s="32"/>
      <c r="N3" s="33"/>
      <c r="O3" s="34"/>
      <c r="P3" s="35"/>
    </row>
    <row r="4" spans="1:27" ht="15" x14ac:dyDescent="0.25">
      <c r="A4" s="21" t="s">
        <v>1</v>
      </c>
      <c r="B4" s="94"/>
      <c r="C4" s="95"/>
      <c r="D4" s="95"/>
      <c r="E4" s="96"/>
      <c r="F4" s="91" t="s">
        <v>2</v>
      </c>
      <c r="G4" s="92"/>
      <c r="H4" s="1"/>
      <c r="J4" s="25"/>
      <c r="K4" s="20"/>
      <c r="L4" s="20"/>
      <c r="M4" s="14"/>
      <c r="N4" s="15"/>
    </row>
    <row r="5" spans="1:27" ht="15" x14ac:dyDescent="0.25">
      <c r="A5" s="21" t="s">
        <v>43</v>
      </c>
      <c r="B5" s="94"/>
      <c r="C5" s="95"/>
      <c r="D5" s="95"/>
      <c r="E5" s="96"/>
      <c r="F5" s="91" t="s">
        <v>3</v>
      </c>
      <c r="G5" s="92"/>
      <c r="H5" s="1"/>
      <c r="J5" s="26" t="s">
        <v>19</v>
      </c>
      <c r="K5" s="19"/>
      <c r="L5" s="19"/>
      <c r="M5" s="14"/>
      <c r="N5" s="15"/>
    </row>
    <row r="6" spans="1:27" ht="15" x14ac:dyDescent="0.25">
      <c r="A6" s="21" t="s">
        <v>4</v>
      </c>
      <c r="B6" s="94"/>
      <c r="C6" s="95"/>
      <c r="D6" s="95"/>
      <c r="E6" s="96"/>
      <c r="F6" s="91" t="s">
        <v>6</v>
      </c>
      <c r="G6" s="92"/>
      <c r="H6" s="1"/>
      <c r="J6" s="26" t="s">
        <v>30</v>
      </c>
      <c r="K6" s="19"/>
      <c r="L6" s="19"/>
      <c r="M6" s="14"/>
      <c r="N6" s="15"/>
    </row>
    <row r="7" spans="1:27" ht="15" x14ac:dyDescent="0.25">
      <c r="A7" s="21" t="s">
        <v>5</v>
      </c>
      <c r="B7" s="94"/>
      <c r="C7" s="95"/>
      <c r="D7" s="95"/>
      <c r="E7" s="96"/>
      <c r="F7" s="91" t="s">
        <v>8</v>
      </c>
      <c r="G7" s="92"/>
      <c r="H7" s="1"/>
    </row>
    <row r="8" spans="1:27" ht="15" x14ac:dyDescent="0.25">
      <c r="A8" s="21" t="s">
        <v>7</v>
      </c>
      <c r="B8" s="94"/>
      <c r="C8" s="95"/>
      <c r="D8" s="95"/>
      <c r="E8" s="96"/>
      <c r="F8" s="93"/>
      <c r="G8" s="92"/>
      <c r="H8" s="2"/>
    </row>
    <row r="9" spans="1:27" ht="15" x14ac:dyDescent="0.25">
      <c r="A9" s="78"/>
      <c r="B9" s="84"/>
      <c r="C9" s="77"/>
      <c r="D9" s="77"/>
      <c r="E9" s="77"/>
      <c r="F9" s="77"/>
      <c r="G9" s="77"/>
      <c r="H9" s="77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ht="15" x14ac:dyDescent="0.25">
      <c r="A10" s="40" t="s">
        <v>9</v>
      </c>
      <c r="B10" s="85" t="s">
        <v>31</v>
      </c>
      <c r="C10" s="41" t="s">
        <v>10</v>
      </c>
      <c r="D10" s="41" t="s">
        <v>11</v>
      </c>
      <c r="E10" s="42" t="s">
        <v>12</v>
      </c>
      <c r="F10" s="43" t="s">
        <v>13</v>
      </c>
      <c r="G10" s="42" t="s">
        <v>14</v>
      </c>
      <c r="H10" s="42" t="s">
        <v>15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1:27" s="37" customFormat="1" ht="15" x14ac:dyDescent="0.25">
      <c r="A11" s="75">
        <f>'October 2026'!A53+1</f>
        <v>46327</v>
      </c>
      <c r="B11" s="79">
        <f>WEEKNUM(A11, 2)</f>
        <v>44</v>
      </c>
      <c r="C11" s="71"/>
      <c r="D11" s="71"/>
      <c r="E11" s="76"/>
      <c r="F11" s="73"/>
      <c r="G11" s="73"/>
      <c r="H11" s="73">
        <f t="shared" ref="H11" si="0">SUM(F11:G11)</f>
        <v>0</v>
      </c>
    </row>
    <row r="12" spans="1:27" s="28" customFormat="1" ht="15.75" customHeight="1" x14ac:dyDescent="0.2">
      <c r="A12" s="44" t="s">
        <v>41</v>
      </c>
      <c r="B12" s="80"/>
      <c r="C12" s="45"/>
      <c r="D12" s="45"/>
      <c r="E12" s="63"/>
      <c r="F12" s="46">
        <f ca="1">SUMIF($B:$E,RIGHT($A12,2),F:F)</f>
        <v>0</v>
      </c>
      <c r="G12" s="46">
        <f ca="1">SUMIF($B:$E,RIGHT($A12,2),G:G)</f>
        <v>0</v>
      </c>
      <c r="H12" s="47">
        <f ca="1">SUMIF($B:$E,RIGHT($A12,2),H:H)</f>
        <v>0</v>
      </c>
    </row>
    <row r="13" spans="1:27" s="28" customFormat="1" ht="15.75" customHeight="1" x14ac:dyDescent="0.2">
      <c r="A13" s="36"/>
      <c r="B13" s="86"/>
      <c r="C13" s="34"/>
      <c r="D13" s="34"/>
      <c r="E13" s="64"/>
      <c r="F13" s="38"/>
      <c r="G13" s="38"/>
      <c r="H13" s="39"/>
    </row>
    <row r="14" spans="1:27" ht="15" x14ac:dyDescent="0.25">
      <c r="A14" s="40" t="s">
        <v>9</v>
      </c>
      <c r="B14" s="85" t="s">
        <v>31</v>
      </c>
      <c r="C14" s="41" t="s">
        <v>10</v>
      </c>
      <c r="D14" s="41" t="s">
        <v>11</v>
      </c>
      <c r="E14" s="42" t="s">
        <v>12</v>
      </c>
      <c r="F14" s="43" t="s">
        <v>13</v>
      </c>
      <c r="G14" s="42" t="s">
        <v>14</v>
      </c>
      <c r="H14" s="42" t="s">
        <v>15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spans="1:27" s="37" customFormat="1" ht="15" x14ac:dyDescent="0.25">
      <c r="A15" s="70">
        <f>A11+1</f>
        <v>46328</v>
      </c>
      <c r="B15" s="79">
        <f t="shared" ref="B15:B18" si="1">WEEKNUM(A15, 2)</f>
        <v>45</v>
      </c>
      <c r="C15" s="71"/>
      <c r="D15" s="71"/>
      <c r="E15" s="72"/>
      <c r="F15" s="73"/>
      <c r="G15" s="73"/>
      <c r="H15" s="73">
        <f>SUM(F15:G15)</f>
        <v>0</v>
      </c>
    </row>
    <row r="16" spans="1:27" s="37" customFormat="1" ht="15" x14ac:dyDescent="0.25">
      <c r="A16" s="70">
        <f>A15+1</f>
        <v>46329</v>
      </c>
      <c r="B16" s="79">
        <f t="shared" si="1"/>
        <v>45</v>
      </c>
      <c r="C16" s="71"/>
      <c r="D16" s="71"/>
      <c r="E16" s="72"/>
      <c r="F16" s="73"/>
      <c r="G16" s="73"/>
      <c r="H16" s="73">
        <f t="shared" ref="H16:H18" si="2">SUM(F16:G16)</f>
        <v>0</v>
      </c>
    </row>
    <row r="17" spans="1:27" s="37" customFormat="1" ht="15" x14ac:dyDescent="0.25">
      <c r="A17" s="70">
        <f t="shared" ref="A17:A21" si="3">A16+1</f>
        <v>46330</v>
      </c>
      <c r="B17" s="79">
        <f t="shared" si="1"/>
        <v>45</v>
      </c>
      <c r="C17" s="71"/>
      <c r="D17" s="71"/>
      <c r="E17" s="72"/>
      <c r="F17" s="73"/>
      <c r="G17" s="73"/>
      <c r="H17" s="73">
        <f t="shared" si="2"/>
        <v>0</v>
      </c>
    </row>
    <row r="18" spans="1:27" ht="15.75" customHeight="1" x14ac:dyDescent="0.25">
      <c r="A18" s="70">
        <f t="shared" si="3"/>
        <v>46331</v>
      </c>
      <c r="B18" s="79">
        <f t="shared" si="1"/>
        <v>45</v>
      </c>
      <c r="C18" s="71"/>
      <c r="D18" s="71"/>
      <c r="E18" s="72"/>
      <c r="F18" s="73"/>
      <c r="G18" s="73"/>
      <c r="H18" s="73">
        <f t="shared" si="2"/>
        <v>0</v>
      </c>
    </row>
    <row r="19" spans="1:27" ht="15.75" customHeight="1" x14ac:dyDescent="0.25">
      <c r="A19" s="70">
        <f t="shared" si="3"/>
        <v>46332</v>
      </c>
      <c r="B19" s="79">
        <f>WEEKNUM(A19, 2)</f>
        <v>45</v>
      </c>
      <c r="C19" s="71"/>
      <c r="D19" s="71"/>
      <c r="E19" s="74"/>
      <c r="F19" s="73"/>
      <c r="G19" s="73"/>
      <c r="H19" s="73">
        <f>SUM(F19:G19)</f>
        <v>0</v>
      </c>
    </row>
    <row r="20" spans="1:27" ht="15.75" customHeight="1" x14ac:dyDescent="0.25">
      <c r="A20" s="70">
        <f t="shared" si="3"/>
        <v>46333</v>
      </c>
      <c r="B20" s="79">
        <f t="shared" ref="B20:B28" si="4">WEEKNUM(A20, 2)</f>
        <v>45</v>
      </c>
      <c r="C20" s="71"/>
      <c r="D20" s="71"/>
      <c r="E20" s="72"/>
      <c r="F20" s="73"/>
      <c r="G20" s="73"/>
      <c r="H20" s="73">
        <f>SUM(F20:G20)</f>
        <v>0</v>
      </c>
    </row>
    <row r="21" spans="1:27" ht="15.75" customHeight="1" x14ac:dyDescent="0.25">
      <c r="A21" s="70">
        <f t="shared" si="3"/>
        <v>46334</v>
      </c>
      <c r="B21" s="79">
        <f t="shared" si="4"/>
        <v>45</v>
      </c>
      <c r="C21" s="71"/>
      <c r="D21" s="71"/>
      <c r="E21" s="74"/>
      <c r="F21" s="73"/>
      <c r="G21" s="73"/>
      <c r="H21" s="73">
        <f t="shared" ref="H21:H28" si="5">SUM(F21:G21)</f>
        <v>0</v>
      </c>
    </row>
    <row r="22" spans="1:27" s="28" customFormat="1" ht="15.75" customHeight="1" x14ac:dyDescent="0.2">
      <c r="A22" s="44" t="str">
        <f>"Total of Week "&amp;RIGHT(A12,2)+1</f>
        <v>Total of Week 45</v>
      </c>
      <c r="B22" s="80"/>
      <c r="C22" s="45"/>
      <c r="D22" s="45"/>
      <c r="E22" s="63"/>
      <c r="F22" s="46">
        <f ca="1">SUMIF($B:$E,RIGHT($A22,2),F:F)</f>
        <v>0</v>
      </c>
      <c r="G22" s="46">
        <f ca="1">SUMIF($B:$E,RIGHT($A22,2),G:G)</f>
        <v>0</v>
      </c>
      <c r="H22" s="47">
        <f ca="1">SUMIF($B:$E,RIGHT($A22,2),H:H)</f>
        <v>0</v>
      </c>
    </row>
    <row r="23" spans="1:27" ht="15.75" customHeight="1" x14ac:dyDescent="0.25">
      <c r="A23" s="22"/>
      <c r="B23" s="87"/>
      <c r="C23" s="5"/>
      <c r="D23" s="5"/>
      <c r="E23" s="65"/>
      <c r="F23" s="6"/>
      <c r="G23" s="5"/>
      <c r="H23" s="7"/>
    </row>
    <row r="24" spans="1:27" ht="15" x14ac:dyDescent="0.25">
      <c r="A24" s="40" t="s">
        <v>9</v>
      </c>
      <c r="B24" s="85" t="s">
        <v>31</v>
      </c>
      <c r="C24" s="41" t="s">
        <v>10</v>
      </c>
      <c r="D24" s="41" t="s">
        <v>11</v>
      </c>
      <c r="E24" s="42" t="s">
        <v>12</v>
      </c>
      <c r="F24" s="43" t="s">
        <v>13</v>
      </c>
      <c r="G24" s="42" t="s">
        <v>14</v>
      </c>
      <c r="H24" s="42" t="s">
        <v>15</v>
      </c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spans="1:27" ht="15.75" customHeight="1" x14ac:dyDescent="0.25">
      <c r="A25" s="70">
        <f>A21+1</f>
        <v>46335</v>
      </c>
      <c r="B25" s="79">
        <f t="shared" si="4"/>
        <v>46</v>
      </c>
      <c r="C25" s="71"/>
      <c r="D25" s="71"/>
      <c r="E25" s="72"/>
      <c r="F25" s="73"/>
      <c r="G25" s="73"/>
      <c r="H25" s="73">
        <f t="shared" si="5"/>
        <v>0</v>
      </c>
    </row>
    <row r="26" spans="1:27" ht="15.75" customHeight="1" x14ac:dyDescent="0.25">
      <c r="A26" s="70">
        <f>A25+1</f>
        <v>46336</v>
      </c>
      <c r="B26" s="79">
        <f t="shared" si="4"/>
        <v>46</v>
      </c>
      <c r="C26" s="71"/>
      <c r="D26" s="71"/>
      <c r="E26" s="74"/>
      <c r="F26" s="73"/>
      <c r="G26" s="73"/>
      <c r="H26" s="73">
        <f t="shared" si="5"/>
        <v>0</v>
      </c>
    </row>
    <row r="27" spans="1:27" ht="15.75" customHeight="1" x14ac:dyDescent="0.25">
      <c r="A27" s="70">
        <f t="shared" ref="A27:A31" si="6">A26+1</f>
        <v>46337</v>
      </c>
      <c r="B27" s="79">
        <f>WEEKNUM(A27, 2)</f>
        <v>46</v>
      </c>
      <c r="C27" s="71"/>
      <c r="D27" s="71"/>
      <c r="E27" s="72" t="s">
        <v>45</v>
      </c>
      <c r="F27" s="73"/>
      <c r="G27" s="73"/>
      <c r="H27" s="73">
        <f t="shared" si="5"/>
        <v>0</v>
      </c>
    </row>
    <row r="28" spans="1:27" ht="15.75" customHeight="1" x14ac:dyDescent="0.25">
      <c r="A28" s="70">
        <f t="shared" si="6"/>
        <v>46338</v>
      </c>
      <c r="B28" s="79">
        <f t="shared" si="4"/>
        <v>46</v>
      </c>
      <c r="C28" s="71"/>
      <c r="D28" s="71"/>
      <c r="E28" s="72"/>
      <c r="F28" s="73"/>
      <c r="G28" s="73"/>
      <c r="H28" s="73">
        <f t="shared" si="5"/>
        <v>0</v>
      </c>
    </row>
    <row r="29" spans="1:27" ht="15.75" customHeight="1" x14ac:dyDescent="0.25">
      <c r="A29" s="70">
        <f t="shared" si="6"/>
        <v>46339</v>
      </c>
      <c r="B29" s="79">
        <f>WEEKNUM(A29, 2)</f>
        <v>46</v>
      </c>
      <c r="C29" s="71"/>
      <c r="D29" s="71"/>
      <c r="E29" s="74"/>
      <c r="F29" s="73"/>
      <c r="G29" s="73"/>
      <c r="H29" s="73">
        <f>SUM(F29:G29)</f>
        <v>0</v>
      </c>
    </row>
    <row r="30" spans="1:27" ht="15.75" customHeight="1" x14ac:dyDescent="0.25">
      <c r="A30" s="70">
        <f t="shared" si="6"/>
        <v>46340</v>
      </c>
      <c r="B30" s="79">
        <f t="shared" ref="B30:B38" si="7">WEEKNUM(A30, 2)</f>
        <v>46</v>
      </c>
      <c r="C30" s="71"/>
      <c r="D30" s="71"/>
      <c r="E30" s="72"/>
      <c r="F30" s="73"/>
      <c r="G30" s="73"/>
      <c r="H30" s="73">
        <f>SUM(F30:G30)</f>
        <v>0</v>
      </c>
    </row>
    <row r="31" spans="1:27" ht="15.75" customHeight="1" x14ac:dyDescent="0.25">
      <c r="A31" s="70">
        <f t="shared" si="6"/>
        <v>46341</v>
      </c>
      <c r="B31" s="79">
        <f t="shared" si="7"/>
        <v>46</v>
      </c>
      <c r="C31" s="71"/>
      <c r="D31" s="71"/>
      <c r="E31" s="74"/>
      <c r="F31" s="73"/>
      <c r="G31" s="73"/>
      <c r="H31" s="73">
        <f t="shared" ref="H31:H38" si="8">SUM(F31:G31)</f>
        <v>0</v>
      </c>
    </row>
    <row r="32" spans="1:27" s="28" customFormat="1" ht="15.75" customHeight="1" x14ac:dyDescent="0.2">
      <c r="A32" s="44" t="str">
        <f>"Total of Week "&amp;RIGHT(A22,2)+1</f>
        <v>Total of Week 46</v>
      </c>
      <c r="B32" s="80"/>
      <c r="C32" s="45"/>
      <c r="D32" s="45"/>
      <c r="E32" s="63"/>
      <c r="F32" s="46">
        <f ca="1">SUMIF($B:$E,RIGHT($A32,2),F:F)</f>
        <v>0</v>
      </c>
      <c r="G32" s="46">
        <f ca="1">SUMIF($B:$E,RIGHT($A32,2),G:G)</f>
        <v>0</v>
      </c>
      <c r="H32" s="47">
        <f ca="1">SUMIF($B:$E,RIGHT($A32,2),H:H)</f>
        <v>0</v>
      </c>
    </row>
    <row r="33" spans="1:27" ht="15.75" customHeight="1" x14ac:dyDescent="0.25">
      <c r="A33" s="22"/>
      <c r="B33" s="87"/>
      <c r="C33" s="5"/>
      <c r="D33" s="5"/>
      <c r="E33" s="65"/>
      <c r="F33" s="6"/>
      <c r="G33" s="5"/>
      <c r="H33" s="7"/>
    </row>
    <row r="34" spans="1:27" ht="15" x14ac:dyDescent="0.25">
      <c r="A34" s="40" t="s">
        <v>9</v>
      </c>
      <c r="B34" s="85" t="s">
        <v>31</v>
      </c>
      <c r="C34" s="41" t="s">
        <v>10</v>
      </c>
      <c r="D34" s="41" t="s">
        <v>11</v>
      </c>
      <c r="E34" s="42" t="s">
        <v>12</v>
      </c>
      <c r="F34" s="43" t="s">
        <v>13</v>
      </c>
      <c r="G34" s="42" t="s">
        <v>14</v>
      </c>
      <c r="H34" s="42" t="s">
        <v>15</v>
      </c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spans="1:27" ht="15.75" customHeight="1" x14ac:dyDescent="0.25">
      <c r="A35" s="70">
        <f>A31+1</f>
        <v>46342</v>
      </c>
      <c r="B35" s="79">
        <f t="shared" si="7"/>
        <v>47</v>
      </c>
      <c r="C35" s="71"/>
      <c r="D35" s="71"/>
      <c r="E35" s="72"/>
      <c r="F35" s="73"/>
      <c r="G35" s="73"/>
      <c r="H35" s="73">
        <f t="shared" si="8"/>
        <v>0</v>
      </c>
    </row>
    <row r="36" spans="1:27" ht="15.75" customHeight="1" x14ac:dyDescent="0.25">
      <c r="A36" s="70">
        <f>A35+1</f>
        <v>46343</v>
      </c>
      <c r="B36" s="79">
        <f t="shared" si="7"/>
        <v>47</v>
      </c>
      <c r="C36" s="71"/>
      <c r="D36" s="71"/>
      <c r="E36" s="74"/>
      <c r="F36" s="73"/>
      <c r="G36" s="73"/>
      <c r="H36" s="73">
        <f t="shared" si="8"/>
        <v>0</v>
      </c>
    </row>
    <row r="37" spans="1:27" ht="15.75" customHeight="1" x14ac:dyDescent="0.25">
      <c r="A37" s="70">
        <f t="shared" ref="A37:A41" si="9">A36+1</f>
        <v>46344</v>
      </c>
      <c r="B37" s="79">
        <f>WEEKNUM(A37, 2)</f>
        <v>47</v>
      </c>
      <c r="C37" s="71"/>
      <c r="D37" s="71"/>
      <c r="E37" s="72"/>
      <c r="F37" s="73"/>
      <c r="G37" s="73"/>
      <c r="H37" s="73">
        <f t="shared" si="8"/>
        <v>0</v>
      </c>
    </row>
    <row r="38" spans="1:27" ht="15.75" customHeight="1" x14ac:dyDescent="0.25">
      <c r="A38" s="70">
        <f t="shared" si="9"/>
        <v>46345</v>
      </c>
      <c r="B38" s="79">
        <f t="shared" si="7"/>
        <v>47</v>
      </c>
      <c r="C38" s="71"/>
      <c r="D38" s="71"/>
      <c r="E38" s="72"/>
      <c r="F38" s="73"/>
      <c r="G38" s="73"/>
      <c r="H38" s="73">
        <f t="shared" si="8"/>
        <v>0</v>
      </c>
    </row>
    <row r="39" spans="1:27" ht="15.75" customHeight="1" x14ac:dyDescent="0.25">
      <c r="A39" s="70">
        <f t="shared" si="9"/>
        <v>46346</v>
      </c>
      <c r="B39" s="79">
        <f>WEEKNUM(A39, 2)</f>
        <v>47</v>
      </c>
      <c r="C39" s="71"/>
      <c r="D39" s="71"/>
      <c r="E39" s="74"/>
      <c r="F39" s="73"/>
      <c r="G39" s="73"/>
      <c r="H39" s="73">
        <f>SUM(F39:G39)</f>
        <v>0</v>
      </c>
    </row>
    <row r="40" spans="1:27" ht="15.75" customHeight="1" x14ac:dyDescent="0.25">
      <c r="A40" s="70">
        <f t="shared" si="9"/>
        <v>46347</v>
      </c>
      <c r="B40" s="79">
        <f t="shared" ref="B40:B46" si="10">WEEKNUM(A40, 2)</f>
        <v>47</v>
      </c>
      <c r="C40" s="71"/>
      <c r="D40" s="71"/>
      <c r="E40" s="72"/>
      <c r="F40" s="73"/>
      <c r="G40" s="73"/>
      <c r="H40" s="73">
        <f>SUM(F40:G40)</f>
        <v>0</v>
      </c>
    </row>
    <row r="41" spans="1:27" ht="15.75" customHeight="1" x14ac:dyDescent="0.25">
      <c r="A41" s="70">
        <f t="shared" si="9"/>
        <v>46348</v>
      </c>
      <c r="B41" s="79">
        <f t="shared" si="10"/>
        <v>47</v>
      </c>
      <c r="C41" s="71"/>
      <c r="D41" s="71"/>
      <c r="E41" s="74"/>
      <c r="F41" s="73"/>
      <c r="G41" s="73"/>
      <c r="H41" s="73">
        <f t="shared" ref="H41:H47" si="11">SUM(F41:G41)</f>
        <v>0</v>
      </c>
    </row>
    <row r="42" spans="1:27" s="28" customFormat="1" ht="15.75" customHeight="1" x14ac:dyDescent="0.2">
      <c r="A42" s="44" t="str">
        <f>"Total of Week "&amp;RIGHT(A32,2)+1</f>
        <v>Total of Week 47</v>
      </c>
      <c r="B42" s="80"/>
      <c r="C42" s="45"/>
      <c r="D42" s="45"/>
      <c r="E42" s="63"/>
      <c r="F42" s="46">
        <f ca="1">SUMIF($B:$E,RIGHT($A42,2),F:F)</f>
        <v>0</v>
      </c>
      <c r="G42" s="46">
        <f ca="1">SUMIF($B:$E,RIGHT($A42,2),G:G)</f>
        <v>0</v>
      </c>
      <c r="H42" s="47">
        <f ca="1">SUMIF($B:$E,RIGHT($A42,2),H:H)</f>
        <v>0</v>
      </c>
    </row>
    <row r="43" spans="1:27" ht="15.75" customHeight="1" x14ac:dyDescent="0.25">
      <c r="A43" s="22"/>
      <c r="B43" s="87"/>
      <c r="C43" s="5"/>
      <c r="D43" s="5"/>
      <c r="E43" s="65"/>
      <c r="F43" s="6"/>
      <c r="G43" s="5"/>
      <c r="H43" s="7"/>
    </row>
    <row r="44" spans="1:27" ht="15" x14ac:dyDescent="0.25">
      <c r="A44" s="40" t="s">
        <v>9</v>
      </c>
      <c r="B44" s="85" t="s">
        <v>31</v>
      </c>
      <c r="C44" s="41" t="s">
        <v>10</v>
      </c>
      <c r="D44" s="41" t="s">
        <v>11</v>
      </c>
      <c r="E44" s="42" t="s">
        <v>12</v>
      </c>
      <c r="F44" s="43" t="s">
        <v>13</v>
      </c>
      <c r="G44" s="42" t="s">
        <v>14</v>
      </c>
      <c r="H44" s="42" t="s">
        <v>15</v>
      </c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spans="1:27" ht="15.75" customHeight="1" x14ac:dyDescent="0.25">
      <c r="A45" s="70">
        <f>A41+1</f>
        <v>46349</v>
      </c>
      <c r="B45" s="79">
        <f t="shared" si="10"/>
        <v>48</v>
      </c>
      <c r="C45" s="71"/>
      <c r="D45" s="71"/>
      <c r="E45" s="72"/>
      <c r="F45" s="73"/>
      <c r="G45" s="73"/>
      <c r="H45" s="73">
        <f t="shared" si="11"/>
        <v>0</v>
      </c>
    </row>
    <row r="46" spans="1:27" ht="15.75" customHeight="1" x14ac:dyDescent="0.25">
      <c r="A46" s="70">
        <f>A45+1</f>
        <v>46350</v>
      </c>
      <c r="B46" s="79">
        <f t="shared" si="10"/>
        <v>48</v>
      </c>
      <c r="C46" s="71"/>
      <c r="D46" s="71"/>
      <c r="E46" s="74"/>
      <c r="F46" s="73"/>
      <c r="G46" s="73"/>
      <c r="H46" s="73">
        <f t="shared" si="11"/>
        <v>0</v>
      </c>
    </row>
    <row r="47" spans="1:27" ht="15.75" customHeight="1" x14ac:dyDescent="0.25">
      <c r="A47" s="70">
        <f>A46+1</f>
        <v>46351</v>
      </c>
      <c r="B47" s="79">
        <f>WEEKNUM(A47, 2)</f>
        <v>48</v>
      </c>
      <c r="C47" s="71"/>
      <c r="D47" s="71"/>
      <c r="E47" s="72"/>
      <c r="F47" s="73"/>
      <c r="G47" s="73"/>
      <c r="H47" s="73">
        <f t="shared" si="11"/>
        <v>0</v>
      </c>
    </row>
    <row r="48" spans="1:27" ht="15.75" customHeight="1" x14ac:dyDescent="0.25">
      <c r="A48" s="70">
        <f t="shared" ref="A48" si="12">A47+1</f>
        <v>46352</v>
      </c>
      <c r="B48" s="79">
        <f>WEEKNUM(A48, 2)</f>
        <v>48</v>
      </c>
      <c r="C48" s="71"/>
      <c r="D48" s="71"/>
      <c r="E48" s="74"/>
      <c r="F48" s="73"/>
      <c r="G48" s="73"/>
      <c r="H48" s="73">
        <f>SUM(F48:G48)</f>
        <v>0</v>
      </c>
    </row>
    <row r="49" spans="1:27" ht="15.75" customHeight="1" x14ac:dyDescent="0.25">
      <c r="A49" s="70">
        <f>A48+1</f>
        <v>46353</v>
      </c>
      <c r="B49" s="79">
        <f t="shared" ref="B49:B55" si="13">WEEKNUM(A49, 2)</f>
        <v>48</v>
      </c>
      <c r="C49" s="71"/>
      <c r="D49" s="71"/>
      <c r="E49" s="72"/>
      <c r="F49" s="73"/>
      <c r="G49" s="73"/>
      <c r="H49" s="73">
        <f>SUM(F49:G49)</f>
        <v>0</v>
      </c>
    </row>
    <row r="50" spans="1:27" ht="15.75" customHeight="1" x14ac:dyDescent="0.25">
      <c r="A50" s="70">
        <f>A49+1</f>
        <v>46354</v>
      </c>
      <c r="B50" s="79">
        <f t="shared" si="13"/>
        <v>48</v>
      </c>
      <c r="C50" s="71"/>
      <c r="D50" s="71"/>
      <c r="E50" s="74"/>
      <c r="F50" s="73"/>
      <c r="G50" s="73"/>
      <c r="H50" s="73">
        <f t="shared" ref="H50" si="14">SUM(F50:G50)</f>
        <v>0</v>
      </c>
    </row>
    <row r="51" spans="1:27" ht="15.75" customHeight="1" x14ac:dyDescent="0.25">
      <c r="A51" s="70">
        <f>A50+1</f>
        <v>46355</v>
      </c>
      <c r="B51" s="79">
        <f>WEEKNUM(A51, 2)</f>
        <v>48</v>
      </c>
      <c r="C51" s="71"/>
      <c r="D51" s="71"/>
      <c r="E51" s="72"/>
      <c r="F51" s="73"/>
      <c r="G51" s="73"/>
      <c r="H51" s="73">
        <f>SUM(F51:G51)</f>
        <v>0</v>
      </c>
    </row>
    <row r="52" spans="1:27" s="28" customFormat="1" ht="15.75" customHeight="1" x14ac:dyDescent="0.2">
      <c r="A52" s="44" t="str">
        <f>"Total of Week "&amp;RIGHT(A42,2)+1</f>
        <v>Total of Week 48</v>
      </c>
      <c r="B52" s="80"/>
      <c r="C52" s="45"/>
      <c r="D52" s="45"/>
      <c r="E52" s="63"/>
      <c r="F52" s="46">
        <f ca="1">SUMIF($B:$E,RIGHT($A52,2),F:F)</f>
        <v>0</v>
      </c>
      <c r="G52" s="46">
        <f ca="1">SUMIF($B:$E,RIGHT($A52,2),G:G)</f>
        <v>0</v>
      </c>
      <c r="H52" s="47">
        <f ca="1">SUMIF($B:$E,RIGHT($A52,2),H:H)</f>
        <v>0</v>
      </c>
    </row>
    <row r="53" spans="1:27" ht="15.75" customHeight="1" x14ac:dyDescent="0.25">
      <c r="A53" s="22"/>
      <c r="B53" s="87"/>
      <c r="C53" s="5"/>
      <c r="D53" s="5"/>
      <c r="E53" s="65"/>
      <c r="F53" s="6"/>
      <c r="G53" s="5"/>
      <c r="H53" s="7"/>
    </row>
    <row r="54" spans="1:27" ht="15" x14ac:dyDescent="0.25">
      <c r="A54" s="40" t="s">
        <v>9</v>
      </c>
      <c r="B54" s="85" t="s">
        <v>31</v>
      </c>
      <c r="C54" s="41" t="s">
        <v>10</v>
      </c>
      <c r="D54" s="41" t="s">
        <v>11</v>
      </c>
      <c r="E54" s="42" t="s">
        <v>12</v>
      </c>
      <c r="F54" s="43" t="s">
        <v>13</v>
      </c>
      <c r="G54" s="42" t="s">
        <v>14</v>
      </c>
      <c r="H54" s="42" t="s">
        <v>15</v>
      </c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spans="1:27" ht="15.75" customHeight="1" x14ac:dyDescent="0.25">
      <c r="A55" s="70">
        <f t="shared" ref="A55" si="15">A51+1</f>
        <v>46356</v>
      </c>
      <c r="B55" s="79">
        <f t="shared" si="13"/>
        <v>49</v>
      </c>
      <c r="C55" s="71"/>
      <c r="D55" s="71"/>
      <c r="E55" s="74"/>
      <c r="F55" s="73"/>
      <c r="G55" s="73"/>
      <c r="H55" s="73">
        <f t="shared" ref="H55" si="16">SUM(F55:G55)</f>
        <v>0</v>
      </c>
    </row>
    <row r="56" spans="1:27" s="28" customFormat="1" ht="15.75" customHeight="1" x14ac:dyDescent="0.2">
      <c r="A56" s="44" t="str">
        <f>"Total of Week "&amp;RIGHT(B55,2)</f>
        <v>Total of Week 49</v>
      </c>
      <c r="B56" s="80"/>
      <c r="C56" s="45"/>
      <c r="D56" s="45"/>
      <c r="E56" s="63"/>
      <c r="F56" s="46">
        <f ca="1">SUMIF($B:$E,RIGHT($A56,2),F:F)</f>
        <v>0</v>
      </c>
      <c r="G56" s="46">
        <f ca="1">SUMIF($B:$E,RIGHT($A56,2),G:G)</f>
        <v>0</v>
      </c>
      <c r="H56" s="47">
        <f ca="1">SUMIF($B:$E,RIGHT($A56,2),H:H)</f>
        <v>0</v>
      </c>
    </row>
    <row r="57" spans="1:27" ht="15.75" customHeight="1" x14ac:dyDescent="0.25">
      <c r="A57" s="22"/>
      <c r="B57" s="87"/>
      <c r="C57" s="5"/>
      <c r="D57" s="5"/>
      <c r="E57" s="65"/>
      <c r="F57" s="6"/>
      <c r="G57" s="5"/>
      <c r="H57" s="7"/>
    </row>
    <row r="58" spans="1:27" ht="15.75" customHeight="1" x14ac:dyDescent="0.25">
      <c r="A58" s="24" t="s">
        <v>16</v>
      </c>
      <c r="B58" s="88"/>
      <c r="C58" s="11"/>
      <c r="D58" s="11"/>
      <c r="E58" s="67"/>
      <c r="F58" s="12"/>
      <c r="G58" s="11"/>
      <c r="H58" s="13">
        <f ca="1">SUMIF(A7:A57,"*Total of week*",H7:H57)</f>
        <v>0</v>
      </c>
      <c r="I58" s="3"/>
      <c r="J58" s="3"/>
      <c r="K58" s="3"/>
      <c r="L58" s="3"/>
      <c r="M58" s="3"/>
      <c r="N58" s="3"/>
      <c r="O58" s="3"/>
      <c r="P58" s="3"/>
      <c r="Q58" s="3"/>
      <c r="R58" s="3"/>
    </row>
    <row r="59" spans="1:27" ht="15.75" customHeight="1" x14ac:dyDescent="0.25">
      <c r="E59" s="4"/>
      <c r="F59" s="15"/>
      <c r="O59" s="3"/>
      <c r="P59" s="3"/>
      <c r="R59" s="3"/>
    </row>
    <row r="60" spans="1:27" ht="15.75" customHeight="1" x14ac:dyDescent="0.25">
      <c r="E60" s="4"/>
      <c r="F60" s="15"/>
      <c r="O60" s="3"/>
    </row>
    <row r="61" spans="1:27" ht="15.75" customHeight="1" x14ac:dyDescent="0.25">
      <c r="A61" s="26"/>
      <c r="B61" s="90"/>
      <c r="C61" s="17"/>
      <c r="D61" s="16"/>
      <c r="E61" s="4"/>
      <c r="F61" s="15"/>
    </row>
    <row r="62" spans="1:27" ht="15.75" customHeight="1" x14ac:dyDescent="0.25">
      <c r="A62" s="26"/>
      <c r="B62" s="90"/>
      <c r="C62" s="16"/>
      <c r="D62" s="16"/>
      <c r="E62" s="68"/>
      <c r="F62" s="18"/>
      <c r="G62" s="16"/>
      <c r="H62" s="3"/>
    </row>
    <row r="63" spans="1:27" ht="15.75" customHeight="1" x14ac:dyDescent="0.25">
      <c r="A63" s="26"/>
      <c r="B63" s="90"/>
      <c r="C63" s="19"/>
      <c r="D63" s="19"/>
      <c r="E63" s="4"/>
      <c r="F63" s="15"/>
    </row>
    <row r="64" spans="1:27" s="28" customFormat="1" ht="15.75" customHeight="1" x14ac:dyDescent="0.25">
      <c r="A64" s="36"/>
      <c r="B64" s="86"/>
      <c r="C64" s="29"/>
      <c r="D64" s="29"/>
      <c r="E64" s="64"/>
      <c r="F64" s="33"/>
      <c r="G64" s="34"/>
      <c r="H64" s="35"/>
    </row>
    <row r="65" spans="1:6" ht="15.75" customHeight="1" x14ac:dyDescent="0.25">
      <c r="C65" s="20"/>
      <c r="D65" s="20"/>
      <c r="E65" s="4"/>
      <c r="F65" s="15"/>
    </row>
    <row r="66" spans="1:6" ht="15.75" customHeight="1" x14ac:dyDescent="0.25">
      <c r="A66" s="26"/>
      <c r="B66" s="90"/>
      <c r="C66" s="19"/>
      <c r="D66" s="19"/>
      <c r="E66" s="4"/>
      <c r="F66" s="15"/>
    </row>
    <row r="67" spans="1:6" ht="15.75" customHeight="1" x14ac:dyDescent="0.25">
      <c r="A67" s="26"/>
      <c r="B67" s="90"/>
      <c r="C67" s="19"/>
      <c r="D67" s="19"/>
      <c r="E67" s="4"/>
      <c r="F67" s="15"/>
    </row>
    <row r="68" spans="1:6" ht="15.75" customHeight="1" x14ac:dyDescent="0.2"/>
    <row r="69" spans="1:6" ht="15.75" customHeight="1" x14ac:dyDescent="0.2"/>
    <row r="70" spans="1:6" ht="15.75" customHeight="1" x14ac:dyDescent="0.2"/>
    <row r="71" spans="1:6" ht="15.75" customHeight="1" x14ac:dyDescent="0.2"/>
    <row r="72" spans="1:6" ht="15.75" customHeight="1" x14ac:dyDescent="0.2"/>
    <row r="73" spans="1:6" ht="15.75" customHeight="1" x14ac:dyDescent="0.2"/>
    <row r="74" spans="1:6" ht="15.75" customHeight="1" x14ac:dyDescent="0.2"/>
    <row r="75" spans="1:6" ht="15.75" customHeight="1" x14ac:dyDescent="0.2"/>
    <row r="76" spans="1:6" ht="15.75" customHeight="1" x14ac:dyDescent="0.2"/>
    <row r="77" spans="1:6" ht="15.75" customHeight="1" x14ac:dyDescent="0.2"/>
    <row r="78" spans="1:6" ht="15.75" customHeight="1" x14ac:dyDescent="0.2"/>
    <row r="79" spans="1:6" ht="15.75" customHeight="1" x14ac:dyDescent="0.2"/>
    <row r="80" spans="1:6" ht="15.75" customHeight="1" x14ac:dyDescent="0.2"/>
    <row r="81" spans="2:27" ht="15.75" customHeight="1" x14ac:dyDescent="0.2"/>
    <row r="82" spans="2:27" ht="15.75" customHeight="1" x14ac:dyDescent="0.2"/>
    <row r="83" spans="2:27" s="25" customFormat="1" ht="15.75" customHeight="1" x14ac:dyDescent="0.2">
      <c r="B83" s="89"/>
      <c r="C83"/>
      <c r="D83"/>
      <c r="E83" s="69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</row>
    <row r="84" spans="2:27" s="25" customFormat="1" ht="15.75" customHeight="1" x14ac:dyDescent="0.2">
      <c r="B84" s="89"/>
      <c r="C84"/>
      <c r="D84"/>
      <c r="E84" s="69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</row>
    <row r="85" spans="2:27" s="25" customFormat="1" ht="15.75" customHeight="1" x14ac:dyDescent="0.2">
      <c r="B85" s="89"/>
      <c r="C85"/>
      <c r="D85"/>
      <c r="E85" s="69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</row>
    <row r="86" spans="2:27" s="25" customFormat="1" ht="15.75" customHeight="1" x14ac:dyDescent="0.2">
      <c r="B86" s="89"/>
      <c r="C86"/>
      <c r="D86"/>
      <c r="E86" s="69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</row>
    <row r="87" spans="2:27" s="25" customFormat="1" ht="15.75" customHeight="1" x14ac:dyDescent="0.2">
      <c r="B87" s="89"/>
      <c r="C87"/>
      <c r="D87"/>
      <c r="E87" s="69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</row>
    <row r="88" spans="2:27" s="25" customFormat="1" ht="15.75" customHeight="1" x14ac:dyDescent="0.2">
      <c r="B88" s="89"/>
      <c r="C88"/>
      <c r="D88"/>
      <c r="E88" s="69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</row>
    <row r="89" spans="2:27" s="25" customFormat="1" ht="15.75" customHeight="1" x14ac:dyDescent="0.2">
      <c r="B89" s="89"/>
      <c r="C89"/>
      <c r="D89"/>
      <c r="E89" s="6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</row>
    <row r="90" spans="2:27" s="25" customFormat="1" ht="15.75" customHeight="1" x14ac:dyDescent="0.2">
      <c r="B90" s="89"/>
      <c r="C90"/>
      <c r="D90"/>
      <c r="E90" s="69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2:27" s="25" customFormat="1" ht="15.75" customHeight="1" x14ac:dyDescent="0.2">
      <c r="B91" s="89"/>
      <c r="C91"/>
      <c r="D91"/>
      <c r="E91" s="69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</row>
    <row r="92" spans="2:27" s="25" customFormat="1" ht="15.75" customHeight="1" x14ac:dyDescent="0.2">
      <c r="B92" s="89"/>
      <c r="C92"/>
      <c r="D92"/>
      <c r="E92" s="69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2:27" s="25" customFormat="1" ht="15.75" customHeight="1" x14ac:dyDescent="0.2">
      <c r="B93" s="89"/>
      <c r="C93"/>
      <c r="D93"/>
      <c r="E93" s="69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</row>
    <row r="94" spans="2:27" s="25" customFormat="1" ht="15.75" customHeight="1" x14ac:dyDescent="0.2">
      <c r="B94" s="89"/>
      <c r="C94"/>
      <c r="D94"/>
      <c r="E94" s="69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</row>
    <row r="95" spans="2:27" s="25" customFormat="1" ht="15.75" customHeight="1" x14ac:dyDescent="0.2">
      <c r="B95" s="89"/>
      <c r="C95"/>
      <c r="D95"/>
      <c r="E95" s="69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</row>
    <row r="96" spans="2:27" s="25" customFormat="1" ht="15.75" customHeight="1" x14ac:dyDescent="0.2">
      <c r="B96" s="89"/>
      <c r="C96"/>
      <c r="D96"/>
      <c r="E96" s="69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</row>
    <row r="97" spans="2:27" s="25" customFormat="1" ht="15.75" customHeight="1" x14ac:dyDescent="0.2">
      <c r="B97" s="89"/>
      <c r="C97"/>
      <c r="D97"/>
      <c r="E97" s="69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</row>
    <row r="98" spans="2:27" s="25" customFormat="1" ht="15.75" customHeight="1" x14ac:dyDescent="0.2">
      <c r="B98" s="89"/>
      <c r="C98"/>
      <c r="D98"/>
      <c r="E98" s="69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</row>
    <row r="99" spans="2:27" s="25" customFormat="1" ht="15.75" customHeight="1" x14ac:dyDescent="0.2">
      <c r="B99" s="89"/>
      <c r="C99"/>
      <c r="D99"/>
      <c r="E99" s="6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</row>
    <row r="100" spans="2:27" s="25" customFormat="1" ht="15.75" customHeight="1" x14ac:dyDescent="0.2">
      <c r="B100" s="89"/>
      <c r="C100"/>
      <c r="D100"/>
      <c r="E100" s="69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</row>
    <row r="101" spans="2:27" s="25" customFormat="1" ht="15.75" customHeight="1" x14ac:dyDescent="0.2">
      <c r="B101" s="89"/>
      <c r="C101"/>
      <c r="D101"/>
      <c r="E101" s="69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</row>
    <row r="102" spans="2:27" s="25" customFormat="1" ht="15.75" customHeight="1" x14ac:dyDescent="0.2">
      <c r="B102" s="89"/>
      <c r="C102"/>
      <c r="D102"/>
      <c r="E102" s="69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2:27" s="25" customFormat="1" ht="15.75" customHeight="1" x14ac:dyDescent="0.2">
      <c r="B103" s="89"/>
      <c r="C103"/>
      <c r="D103"/>
      <c r="E103" s="69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</row>
    <row r="104" spans="2:27" s="25" customFormat="1" ht="15.75" customHeight="1" x14ac:dyDescent="0.2">
      <c r="B104" s="89"/>
      <c r="C104"/>
      <c r="D104"/>
      <c r="E104" s="69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</row>
    <row r="105" spans="2:27" s="25" customFormat="1" ht="15.75" customHeight="1" x14ac:dyDescent="0.2">
      <c r="B105" s="89"/>
      <c r="C105"/>
      <c r="D105"/>
      <c r="E105" s="69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</row>
    <row r="106" spans="2:27" s="25" customFormat="1" ht="15.75" customHeight="1" x14ac:dyDescent="0.2">
      <c r="B106" s="89"/>
      <c r="C106"/>
      <c r="D106"/>
      <c r="E106" s="69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</row>
    <row r="107" spans="2:27" s="25" customFormat="1" ht="15.75" customHeight="1" x14ac:dyDescent="0.2">
      <c r="B107" s="89"/>
      <c r="C107"/>
      <c r="D107"/>
      <c r="E107" s="69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</row>
    <row r="108" spans="2:27" s="25" customFormat="1" ht="15.75" customHeight="1" x14ac:dyDescent="0.2">
      <c r="B108" s="89"/>
      <c r="C108"/>
      <c r="D108"/>
      <c r="E108" s="69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</row>
    <row r="109" spans="2:27" s="25" customFormat="1" ht="15.75" customHeight="1" x14ac:dyDescent="0.2">
      <c r="B109" s="89"/>
      <c r="C109"/>
      <c r="D109"/>
      <c r="E109" s="6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</row>
    <row r="110" spans="2:27" s="25" customFormat="1" ht="15.75" customHeight="1" x14ac:dyDescent="0.2">
      <c r="B110" s="89"/>
      <c r="C110"/>
      <c r="D110"/>
      <c r="E110" s="69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</row>
    <row r="111" spans="2:27" s="25" customFormat="1" ht="15.75" customHeight="1" x14ac:dyDescent="0.2">
      <c r="B111" s="89"/>
      <c r="C111"/>
      <c r="D111"/>
      <c r="E111" s="69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2:27" s="25" customFormat="1" ht="15.75" customHeight="1" x14ac:dyDescent="0.2">
      <c r="B112" s="89"/>
      <c r="C112"/>
      <c r="D112"/>
      <c r="E112" s="69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</row>
    <row r="113" spans="2:27" s="25" customFormat="1" ht="15.75" customHeight="1" x14ac:dyDescent="0.2">
      <c r="B113" s="89"/>
      <c r="C113"/>
      <c r="D113"/>
      <c r="E113" s="69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</row>
    <row r="114" spans="2:27" s="25" customFormat="1" ht="15.75" customHeight="1" x14ac:dyDescent="0.2">
      <c r="B114" s="89"/>
      <c r="C114"/>
      <c r="D114"/>
      <c r="E114" s="69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2:27" s="25" customFormat="1" ht="15.75" customHeight="1" x14ac:dyDescent="0.2">
      <c r="B115" s="89"/>
      <c r="C115"/>
      <c r="D115"/>
      <c r="E115" s="69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</row>
    <row r="116" spans="2:27" s="25" customFormat="1" ht="15.75" customHeight="1" x14ac:dyDescent="0.2">
      <c r="B116" s="89"/>
      <c r="C116"/>
      <c r="D116"/>
      <c r="E116" s="69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</row>
    <row r="117" spans="2:27" s="25" customFormat="1" ht="15.75" customHeight="1" x14ac:dyDescent="0.2">
      <c r="B117" s="89"/>
      <c r="C117"/>
      <c r="D117"/>
      <c r="E117" s="69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</row>
    <row r="118" spans="2:27" s="25" customFormat="1" ht="15.75" customHeight="1" x14ac:dyDescent="0.2">
      <c r="B118" s="89"/>
      <c r="C118"/>
      <c r="D118"/>
      <c r="E118" s="69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</row>
    <row r="119" spans="2:27" s="25" customFormat="1" ht="15.75" customHeight="1" x14ac:dyDescent="0.2">
      <c r="B119" s="89"/>
      <c r="C119"/>
      <c r="D119"/>
      <c r="E119" s="6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</row>
    <row r="120" spans="2:27" s="25" customFormat="1" ht="15.75" customHeight="1" x14ac:dyDescent="0.2">
      <c r="B120" s="89"/>
      <c r="C120"/>
      <c r="D120"/>
      <c r="E120" s="69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</row>
    <row r="121" spans="2:27" s="25" customFormat="1" ht="15.75" customHeight="1" x14ac:dyDescent="0.2">
      <c r="B121" s="89"/>
      <c r="C121"/>
      <c r="D121"/>
      <c r="E121" s="69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</row>
    <row r="122" spans="2:27" s="25" customFormat="1" ht="15.75" customHeight="1" x14ac:dyDescent="0.2">
      <c r="B122" s="89"/>
      <c r="C122"/>
      <c r="D122"/>
      <c r="E122" s="69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</row>
    <row r="123" spans="2:27" s="25" customFormat="1" ht="15.75" customHeight="1" x14ac:dyDescent="0.2">
      <c r="B123" s="89"/>
      <c r="C123"/>
      <c r="D123"/>
      <c r="E123" s="69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2:27" s="25" customFormat="1" ht="15.75" customHeight="1" x14ac:dyDescent="0.2">
      <c r="B124" s="89"/>
      <c r="C124"/>
      <c r="D124"/>
      <c r="E124" s="69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</row>
    <row r="125" spans="2:27" s="25" customFormat="1" ht="15.75" customHeight="1" x14ac:dyDescent="0.2">
      <c r="B125" s="89"/>
      <c r="C125"/>
      <c r="D125"/>
      <c r="E125" s="69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</row>
    <row r="126" spans="2:27" s="25" customFormat="1" ht="15.75" customHeight="1" x14ac:dyDescent="0.2">
      <c r="B126" s="89"/>
      <c r="C126"/>
      <c r="D126"/>
      <c r="E126" s="69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</row>
    <row r="127" spans="2:27" s="25" customFormat="1" ht="15.75" customHeight="1" x14ac:dyDescent="0.2">
      <c r="B127" s="89"/>
      <c r="C127"/>
      <c r="D127"/>
      <c r="E127" s="69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</row>
    <row r="128" spans="2:27" s="25" customFormat="1" ht="15.75" customHeight="1" x14ac:dyDescent="0.2">
      <c r="B128" s="89"/>
      <c r="C128"/>
      <c r="D128"/>
      <c r="E128" s="69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</row>
    <row r="129" spans="2:27" s="25" customFormat="1" ht="15.75" customHeight="1" x14ac:dyDescent="0.2">
      <c r="B129" s="89"/>
      <c r="C129"/>
      <c r="D129"/>
      <c r="E129" s="6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</row>
    <row r="130" spans="2:27" s="25" customFormat="1" ht="15.75" customHeight="1" x14ac:dyDescent="0.2">
      <c r="B130" s="89"/>
      <c r="C130"/>
      <c r="D130"/>
      <c r="E130" s="69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</row>
    <row r="131" spans="2:27" s="25" customFormat="1" ht="15.75" customHeight="1" x14ac:dyDescent="0.2">
      <c r="B131" s="89"/>
      <c r="C131"/>
      <c r="D131"/>
      <c r="E131" s="69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</row>
    <row r="132" spans="2:27" s="25" customFormat="1" ht="15.75" customHeight="1" x14ac:dyDescent="0.2">
      <c r="B132" s="89"/>
      <c r="C132"/>
      <c r="D132"/>
      <c r="E132" s="69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</row>
    <row r="133" spans="2:27" s="25" customFormat="1" ht="15.75" customHeight="1" x14ac:dyDescent="0.2">
      <c r="B133" s="89"/>
      <c r="C133"/>
      <c r="D133"/>
      <c r="E133" s="69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</row>
    <row r="134" spans="2:27" s="25" customFormat="1" ht="15.75" customHeight="1" x14ac:dyDescent="0.2">
      <c r="B134" s="89"/>
      <c r="C134"/>
      <c r="D134"/>
      <c r="E134" s="69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</row>
    <row r="135" spans="2:27" s="25" customFormat="1" ht="15.75" customHeight="1" x14ac:dyDescent="0.2">
      <c r="B135" s="89"/>
      <c r="C135"/>
      <c r="D135"/>
      <c r="E135" s="69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</row>
    <row r="136" spans="2:27" s="25" customFormat="1" ht="15.75" customHeight="1" x14ac:dyDescent="0.2">
      <c r="B136" s="89"/>
      <c r="C136"/>
      <c r="D136"/>
      <c r="E136" s="69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</row>
    <row r="137" spans="2:27" s="25" customFormat="1" ht="15.75" customHeight="1" x14ac:dyDescent="0.2">
      <c r="B137" s="89"/>
      <c r="C137"/>
      <c r="D137"/>
      <c r="E137" s="69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</row>
    <row r="138" spans="2:27" s="25" customFormat="1" ht="15.75" customHeight="1" x14ac:dyDescent="0.2">
      <c r="B138" s="89"/>
      <c r="C138"/>
      <c r="D138"/>
      <c r="E138" s="69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</row>
    <row r="139" spans="2:27" s="25" customFormat="1" ht="15.75" customHeight="1" x14ac:dyDescent="0.2">
      <c r="B139" s="89"/>
      <c r="C139"/>
      <c r="D139"/>
      <c r="E139" s="6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</row>
    <row r="140" spans="2:27" s="25" customFormat="1" ht="15.75" customHeight="1" x14ac:dyDescent="0.2">
      <c r="B140" s="89"/>
      <c r="C140"/>
      <c r="D140"/>
      <c r="E140" s="69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</row>
    <row r="141" spans="2:27" s="25" customFormat="1" ht="15.75" customHeight="1" x14ac:dyDescent="0.2">
      <c r="B141" s="89"/>
      <c r="C141"/>
      <c r="D141"/>
      <c r="E141" s="69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</row>
    <row r="142" spans="2:27" s="25" customFormat="1" ht="15.75" customHeight="1" x14ac:dyDescent="0.2">
      <c r="B142" s="89"/>
      <c r="C142"/>
      <c r="D142"/>
      <c r="E142" s="69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</row>
    <row r="143" spans="2:27" s="25" customFormat="1" ht="15.75" customHeight="1" x14ac:dyDescent="0.2">
      <c r="B143" s="89"/>
      <c r="C143"/>
      <c r="D143"/>
      <c r="E143" s="69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</row>
    <row r="144" spans="2:27" s="25" customFormat="1" ht="15.75" customHeight="1" x14ac:dyDescent="0.2">
      <c r="B144" s="89"/>
      <c r="C144"/>
      <c r="D144"/>
      <c r="E144" s="69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</row>
    <row r="145" spans="2:27" s="25" customFormat="1" ht="15.75" customHeight="1" x14ac:dyDescent="0.2">
      <c r="B145" s="89"/>
      <c r="C145"/>
      <c r="D145"/>
      <c r="E145" s="69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</row>
    <row r="146" spans="2:27" s="25" customFormat="1" ht="15.75" customHeight="1" x14ac:dyDescent="0.2">
      <c r="B146" s="89"/>
      <c r="C146"/>
      <c r="D146"/>
      <c r="E146" s="69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</row>
    <row r="147" spans="2:27" s="25" customFormat="1" ht="15.75" customHeight="1" x14ac:dyDescent="0.2">
      <c r="B147" s="89"/>
      <c r="C147"/>
      <c r="D147"/>
      <c r="E147" s="69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</row>
    <row r="148" spans="2:27" s="25" customFormat="1" ht="15.75" customHeight="1" x14ac:dyDescent="0.2">
      <c r="B148" s="89"/>
      <c r="C148"/>
      <c r="D148"/>
      <c r="E148" s="69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</row>
    <row r="149" spans="2:27" s="25" customFormat="1" ht="15.75" customHeight="1" x14ac:dyDescent="0.2">
      <c r="B149" s="89"/>
      <c r="C149"/>
      <c r="D149"/>
      <c r="E149" s="6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</row>
    <row r="150" spans="2:27" s="25" customFormat="1" ht="15.75" customHeight="1" x14ac:dyDescent="0.2">
      <c r="B150" s="89"/>
      <c r="C150"/>
      <c r="D150"/>
      <c r="E150" s="69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</row>
    <row r="151" spans="2:27" s="25" customFormat="1" ht="15.75" customHeight="1" x14ac:dyDescent="0.2">
      <c r="B151" s="89"/>
      <c r="C151"/>
      <c r="D151"/>
      <c r="E151" s="69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</row>
    <row r="152" spans="2:27" s="25" customFormat="1" ht="15.75" customHeight="1" x14ac:dyDescent="0.2">
      <c r="B152" s="89"/>
      <c r="C152"/>
      <c r="D152"/>
      <c r="E152" s="69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</row>
    <row r="153" spans="2:27" s="25" customFormat="1" ht="15.75" customHeight="1" x14ac:dyDescent="0.2">
      <c r="B153" s="89"/>
      <c r="C153"/>
      <c r="D153"/>
      <c r="E153" s="69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</row>
    <row r="154" spans="2:27" s="25" customFormat="1" ht="15.75" customHeight="1" x14ac:dyDescent="0.2">
      <c r="B154" s="89"/>
      <c r="C154"/>
      <c r="D154"/>
      <c r="E154" s="69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</row>
    <row r="155" spans="2:27" s="25" customFormat="1" ht="15.75" customHeight="1" x14ac:dyDescent="0.2">
      <c r="B155" s="89"/>
      <c r="C155"/>
      <c r="D155"/>
      <c r="E155" s="69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</row>
    <row r="156" spans="2:27" s="25" customFormat="1" ht="15.75" customHeight="1" x14ac:dyDescent="0.2">
      <c r="B156" s="89"/>
      <c r="C156"/>
      <c r="D156"/>
      <c r="E156" s="69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</row>
    <row r="157" spans="2:27" s="25" customFormat="1" ht="15.75" customHeight="1" x14ac:dyDescent="0.2">
      <c r="B157" s="89"/>
      <c r="C157"/>
      <c r="D157"/>
      <c r="E157" s="69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</row>
    <row r="158" spans="2:27" s="25" customFormat="1" ht="15.75" customHeight="1" x14ac:dyDescent="0.2">
      <c r="B158" s="89"/>
      <c r="C158"/>
      <c r="D158"/>
      <c r="E158" s="69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</row>
    <row r="159" spans="2:27" s="25" customFormat="1" ht="15.75" customHeight="1" x14ac:dyDescent="0.2">
      <c r="B159" s="89"/>
      <c r="C159"/>
      <c r="D159"/>
      <c r="E159" s="6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</row>
    <row r="160" spans="2:27" s="25" customFormat="1" ht="15.75" customHeight="1" x14ac:dyDescent="0.2">
      <c r="B160" s="89"/>
      <c r="C160"/>
      <c r="D160"/>
      <c r="E160" s="69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</row>
    <row r="161" spans="2:27" s="25" customFormat="1" ht="15.75" customHeight="1" x14ac:dyDescent="0.2">
      <c r="B161" s="89"/>
      <c r="C161"/>
      <c r="D161"/>
      <c r="E161" s="69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</row>
    <row r="162" spans="2:27" s="25" customFormat="1" ht="15.75" customHeight="1" x14ac:dyDescent="0.2">
      <c r="B162" s="89"/>
      <c r="C162"/>
      <c r="D162"/>
      <c r="E162" s="69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</row>
    <row r="163" spans="2:27" s="25" customFormat="1" ht="15.75" customHeight="1" x14ac:dyDescent="0.2">
      <c r="B163" s="89"/>
      <c r="C163"/>
      <c r="D163"/>
      <c r="E163" s="69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</row>
    <row r="164" spans="2:27" s="25" customFormat="1" ht="15.75" customHeight="1" x14ac:dyDescent="0.2">
      <c r="B164" s="89"/>
      <c r="C164"/>
      <c r="D164"/>
      <c r="E164" s="69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</row>
    <row r="165" spans="2:27" s="25" customFormat="1" ht="15.75" customHeight="1" x14ac:dyDescent="0.2">
      <c r="B165" s="89"/>
      <c r="C165"/>
      <c r="D165"/>
      <c r="E165" s="69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</row>
    <row r="166" spans="2:27" s="25" customFormat="1" ht="15.75" customHeight="1" x14ac:dyDescent="0.2">
      <c r="B166" s="89"/>
      <c r="C166"/>
      <c r="D166"/>
      <c r="E166" s="69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</row>
    <row r="167" spans="2:27" s="25" customFormat="1" ht="15.75" customHeight="1" x14ac:dyDescent="0.2">
      <c r="B167" s="89"/>
      <c r="C167"/>
      <c r="D167"/>
      <c r="E167" s="69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</row>
    <row r="168" spans="2:27" s="25" customFormat="1" ht="15.75" customHeight="1" x14ac:dyDescent="0.2">
      <c r="B168" s="89"/>
      <c r="C168"/>
      <c r="D168"/>
      <c r="E168" s="69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</row>
    <row r="169" spans="2:27" s="25" customFormat="1" ht="15.75" customHeight="1" x14ac:dyDescent="0.2">
      <c r="B169" s="89"/>
      <c r="C169"/>
      <c r="D169"/>
      <c r="E169" s="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</row>
    <row r="170" spans="2:27" s="25" customFormat="1" ht="15.75" customHeight="1" x14ac:dyDescent="0.2">
      <c r="B170" s="89"/>
      <c r="C170"/>
      <c r="D170"/>
      <c r="E170" s="69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</row>
    <row r="171" spans="2:27" s="25" customFormat="1" ht="15.75" customHeight="1" x14ac:dyDescent="0.2">
      <c r="B171" s="89"/>
      <c r="C171"/>
      <c r="D171"/>
      <c r="E171" s="69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</row>
    <row r="172" spans="2:27" s="25" customFormat="1" ht="15.75" customHeight="1" x14ac:dyDescent="0.2">
      <c r="B172" s="89"/>
      <c r="C172"/>
      <c r="D172"/>
      <c r="E172" s="69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</row>
    <row r="173" spans="2:27" s="25" customFormat="1" ht="15.75" customHeight="1" x14ac:dyDescent="0.2">
      <c r="B173" s="89"/>
      <c r="C173"/>
      <c r="D173"/>
      <c r="E173" s="69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</row>
    <row r="174" spans="2:27" s="25" customFormat="1" ht="15.75" customHeight="1" x14ac:dyDescent="0.2">
      <c r="B174" s="89"/>
      <c r="C174"/>
      <c r="D174"/>
      <c r="E174" s="69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</row>
    <row r="175" spans="2:27" s="25" customFormat="1" ht="15.75" customHeight="1" x14ac:dyDescent="0.2">
      <c r="B175" s="89"/>
      <c r="C175"/>
      <c r="D175"/>
      <c r="E175" s="69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</row>
    <row r="176" spans="2:27" s="25" customFormat="1" ht="15.75" customHeight="1" x14ac:dyDescent="0.2">
      <c r="B176" s="89"/>
      <c r="C176"/>
      <c r="D176"/>
      <c r="E176" s="69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</row>
    <row r="177" spans="2:27" s="25" customFormat="1" ht="15.75" customHeight="1" x14ac:dyDescent="0.2">
      <c r="B177" s="89"/>
      <c r="C177"/>
      <c r="D177"/>
      <c r="E177" s="69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</row>
    <row r="178" spans="2:27" s="25" customFormat="1" ht="15.75" customHeight="1" x14ac:dyDescent="0.2">
      <c r="B178" s="89"/>
      <c r="C178"/>
      <c r="D178"/>
      <c r="E178" s="69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</row>
    <row r="179" spans="2:27" s="25" customFormat="1" ht="15.75" customHeight="1" x14ac:dyDescent="0.2">
      <c r="B179" s="89"/>
      <c r="C179"/>
      <c r="D179"/>
      <c r="E179" s="6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</row>
    <row r="180" spans="2:27" s="25" customFormat="1" ht="15.75" customHeight="1" x14ac:dyDescent="0.2">
      <c r="B180" s="89"/>
      <c r="C180"/>
      <c r="D180"/>
      <c r="E180" s="69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</row>
    <row r="181" spans="2:27" s="25" customFormat="1" ht="15.75" customHeight="1" x14ac:dyDescent="0.2">
      <c r="B181" s="89"/>
      <c r="C181"/>
      <c r="D181"/>
      <c r="E181" s="69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</row>
    <row r="182" spans="2:27" s="25" customFormat="1" ht="15.75" customHeight="1" x14ac:dyDescent="0.2">
      <c r="B182" s="89"/>
      <c r="C182"/>
      <c r="D182"/>
      <c r="E182" s="69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</row>
    <row r="183" spans="2:27" s="25" customFormat="1" ht="15.75" customHeight="1" x14ac:dyDescent="0.2">
      <c r="B183" s="89"/>
      <c r="C183"/>
      <c r="D183"/>
      <c r="E183" s="69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</row>
    <row r="184" spans="2:27" s="25" customFormat="1" ht="15.75" customHeight="1" x14ac:dyDescent="0.2">
      <c r="B184" s="89"/>
      <c r="C184"/>
      <c r="D184"/>
      <c r="E184" s="69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</row>
    <row r="185" spans="2:27" s="25" customFormat="1" ht="15.75" customHeight="1" x14ac:dyDescent="0.2">
      <c r="B185" s="89"/>
      <c r="C185"/>
      <c r="D185"/>
      <c r="E185" s="69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</row>
    <row r="186" spans="2:27" s="25" customFormat="1" ht="15.75" customHeight="1" x14ac:dyDescent="0.2">
      <c r="B186" s="89"/>
      <c r="C186"/>
      <c r="D186"/>
      <c r="E186" s="69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</row>
    <row r="187" spans="2:27" s="25" customFormat="1" ht="15.75" customHeight="1" x14ac:dyDescent="0.2">
      <c r="B187" s="89"/>
      <c r="C187"/>
      <c r="D187"/>
      <c r="E187" s="69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</row>
    <row r="188" spans="2:27" s="25" customFormat="1" ht="15.75" customHeight="1" x14ac:dyDescent="0.2">
      <c r="B188" s="89"/>
      <c r="C188"/>
      <c r="D188"/>
      <c r="E188" s="69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</row>
    <row r="189" spans="2:27" s="25" customFormat="1" ht="15.75" customHeight="1" x14ac:dyDescent="0.2">
      <c r="B189" s="89"/>
      <c r="C189"/>
      <c r="D189"/>
      <c r="E189" s="6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</row>
    <row r="190" spans="2:27" s="25" customFormat="1" ht="15.75" customHeight="1" x14ac:dyDescent="0.2">
      <c r="B190" s="89"/>
      <c r="C190"/>
      <c r="D190"/>
      <c r="E190" s="69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</row>
    <row r="191" spans="2:27" s="25" customFormat="1" ht="15.75" customHeight="1" x14ac:dyDescent="0.2">
      <c r="B191" s="89"/>
      <c r="C191"/>
      <c r="D191"/>
      <c r="E191" s="69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</row>
    <row r="192" spans="2:27" s="25" customFormat="1" ht="15.75" customHeight="1" x14ac:dyDescent="0.2">
      <c r="B192" s="89"/>
      <c r="C192"/>
      <c r="D192"/>
      <c r="E192" s="69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</row>
    <row r="193" spans="2:27" s="25" customFormat="1" ht="15.75" customHeight="1" x14ac:dyDescent="0.2">
      <c r="B193" s="89"/>
      <c r="C193"/>
      <c r="D193"/>
      <c r="E193" s="69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</row>
    <row r="194" spans="2:27" s="25" customFormat="1" ht="15.75" customHeight="1" x14ac:dyDescent="0.2">
      <c r="B194" s="89"/>
      <c r="C194"/>
      <c r="D194"/>
      <c r="E194" s="69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</row>
    <row r="195" spans="2:27" s="25" customFormat="1" ht="15.75" customHeight="1" x14ac:dyDescent="0.2">
      <c r="B195" s="89"/>
      <c r="C195"/>
      <c r="D195"/>
      <c r="E195" s="69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</row>
    <row r="196" spans="2:27" s="25" customFormat="1" ht="15.75" customHeight="1" x14ac:dyDescent="0.2">
      <c r="B196" s="89"/>
      <c r="C196"/>
      <c r="D196"/>
      <c r="E196" s="69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</row>
    <row r="197" spans="2:27" s="25" customFormat="1" ht="15.75" customHeight="1" x14ac:dyDescent="0.2">
      <c r="B197" s="89"/>
      <c r="C197"/>
      <c r="D197"/>
      <c r="E197" s="69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</row>
    <row r="198" spans="2:27" s="25" customFormat="1" ht="15.75" customHeight="1" x14ac:dyDescent="0.2">
      <c r="B198" s="89"/>
      <c r="C198"/>
      <c r="D198"/>
      <c r="E198" s="69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</row>
    <row r="199" spans="2:27" s="25" customFormat="1" ht="15.75" customHeight="1" x14ac:dyDescent="0.2">
      <c r="B199" s="89"/>
      <c r="C199"/>
      <c r="D199"/>
      <c r="E199" s="6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</row>
    <row r="200" spans="2:27" s="25" customFormat="1" ht="15.75" customHeight="1" x14ac:dyDescent="0.2">
      <c r="B200" s="89"/>
      <c r="C200"/>
      <c r="D200"/>
      <c r="E200" s="69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</row>
    <row r="201" spans="2:27" s="25" customFormat="1" ht="15.75" customHeight="1" x14ac:dyDescent="0.2">
      <c r="B201" s="89"/>
      <c r="C201"/>
      <c r="D201"/>
      <c r="E201" s="69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</row>
    <row r="202" spans="2:27" s="25" customFormat="1" ht="15.75" customHeight="1" x14ac:dyDescent="0.2">
      <c r="B202" s="89"/>
      <c r="C202"/>
      <c r="D202"/>
      <c r="E202" s="69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</row>
    <row r="203" spans="2:27" s="25" customFormat="1" ht="15.75" customHeight="1" x14ac:dyDescent="0.2">
      <c r="B203" s="89"/>
      <c r="C203"/>
      <c r="D203"/>
      <c r="E203" s="69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</row>
    <row r="204" spans="2:27" s="25" customFormat="1" ht="15.75" customHeight="1" x14ac:dyDescent="0.2">
      <c r="B204" s="89"/>
      <c r="C204"/>
      <c r="D204"/>
      <c r="E204" s="69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</row>
    <row r="205" spans="2:27" s="25" customFormat="1" ht="15.75" customHeight="1" x14ac:dyDescent="0.2">
      <c r="B205" s="89"/>
      <c r="C205"/>
      <c r="D205"/>
      <c r="E205" s="69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</row>
    <row r="206" spans="2:27" s="25" customFormat="1" ht="15.75" customHeight="1" x14ac:dyDescent="0.2">
      <c r="B206" s="89"/>
      <c r="C206"/>
      <c r="D206"/>
      <c r="E206" s="69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</row>
    <row r="207" spans="2:27" s="25" customFormat="1" ht="15.75" customHeight="1" x14ac:dyDescent="0.2">
      <c r="B207" s="89"/>
      <c r="C207"/>
      <c r="D207"/>
      <c r="E207" s="69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</row>
    <row r="208" spans="2:27" s="25" customFormat="1" ht="15.75" customHeight="1" x14ac:dyDescent="0.2">
      <c r="B208" s="89"/>
      <c r="C208"/>
      <c r="D208"/>
      <c r="E208" s="69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</row>
    <row r="209" spans="2:27" s="25" customFormat="1" ht="15.75" customHeight="1" x14ac:dyDescent="0.2">
      <c r="B209" s="89"/>
      <c r="C209"/>
      <c r="D209"/>
      <c r="E209" s="6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</row>
    <row r="210" spans="2:27" s="25" customFormat="1" ht="15.75" customHeight="1" x14ac:dyDescent="0.2">
      <c r="B210" s="89"/>
      <c r="C210"/>
      <c r="D210"/>
      <c r="E210" s="69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</row>
    <row r="211" spans="2:27" s="25" customFormat="1" ht="15.75" customHeight="1" x14ac:dyDescent="0.2">
      <c r="B211" s="89"/>
      <c r="C211"/>
      <c r="D211"/>
      <c r="E211" s="69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</row>
    <row r="212" spans="2:27" s="25" customFormat="1" ht="15.75" customHeight="1" x14ac:dyDescent="0.2">
      <c r="B212" s="89"/>
      <c r="C212"/>
      <c r="D212"/>
      <c r="E212" s="69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</row>
    <row r="213" spans="2:27" s="25" customFormat="1" ht="15.75" customHeight="1" x14ac:dyDescent="0.2">
      <c r="B213" s="89"/>
      <c r="C213"/>
      <c r="D213"/>
      <c r="E213" s="69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</row>
    <row r="214" spans="2:27" s="25" customFormat="1" ht="15.75" customHeight="1" x14ac:dyDescent="0.2">
      <c r="B214" s="89"/>
      <c r="C214"/>
      <c r="D214"/>
      <c r="E214" s="69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</row>
    <row r="215" spans="2:27" s="25" customFormat="1" ht="15.75" customHeight="1" x14ac:dyDescent="0.2">
      <c r="B215" s="89"/>
      <c r="C215"/>
      <c r="D215"/>
      <c r="E215" s="69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</row>
    <row r="216" spans="2:27" s="25" customFormat="1" ht="15.75" customHeight="1" x14ac:dyDescent="0.2">
      <c r="B216" s="89"/>
      <c r="C216"/>
      <c r="D216"/>
      <c r="E216" s="69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</row>
    <row r="217" spans="2:27" s="25" customFormat="1" ht="15.75" customHeight="1" x14ac:dyDescent="0.2">
      <c r="B217" s="89"/>
      <c r="C217"/>
      <c r="D217"/>
      <c r="E217" s="69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</row>
    <row r="218" spans="2:27" s="25" customFormat="1" ht="15.75" customHeight="1" x14ac:dyDescent="0.2">
      <c r="B218" s="89"/>
      <c r="C218"/>
      <c r="D218"/>
      <c r="E218" s="69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</row>
    <row r="219" spans="2:27" s="25" customFormat="1" ht="15.75" customHeight="1" x14ac:dyDescent="0.2">
      <c r="B219" s="89"/>
      <c r="C219"/>
      <c r="D219"/>
      <c r="E219" s="6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</row>
    <row r="220" spans="2:27" s="25" customFormat="1" ht="15.75" customHeight="1" x14ac:dyDescent="0.2">
      <c r="B220" s="89"/>
      <c r="C220"/>
      <c r="D220"/>
      <c r="E220" s="69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</row>
    <row r="221" spans="2:27" s="25" customFormat="1" ht="15.75" customHeight="1" x14ac:dyDescent="0.2">
      <c r="B221" s="89"/>
      <c r="C221"/>
      <c r="D221"/>
      <c r="E221" s="69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</row>
    <row r="222" spans="2:27" s="25" customFormat="1" ht="15.75" customHeight="1" x14ac:dyDescent="0.2">
      <c r="B222" s="89"/>
      <c r="C222"/>
      <c r="D222"/>
      <c r="E222" s="69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</row>
    <row r="223" spans="2:27" s="25" customFormat="1" ht="15.75" customHeight="1" x14ac:dyDescent="0.2">
      <c r="B223" s="89"/>
      <c r="C223"/>
      <c r="D223"/>
      <c r="E223" s="69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</row>
    <row r="224" spans="2:27" s="25" customFormat="1" ht="15.75" customHeight="1" x14ac:dyDescent="0.2">
      <c r="B224" s="89"/>
      <c r="C224"/>
      <c r="D224"/>
      <c r="E224" s="69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</row>
    <row r="225" spans="2:27" s="25" customFormat="1" ht="15.75" customHeight="1" x14ac:dyDescent="0.2">
      <c r="B225" s="89"/>
      <c r="C225"/>
      <c r="D225"/>
      <c r="E225" s="69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</row>
    <row r="226" spans="2:27" s="25" customFormat="1" ht="15.75" customHeight="1" x14ac:dyDescent="0.2">
      <c r="B226" s="89"/>
      <c r="C226"/>
      <c r="D226"/>
      <c r="E226" s="69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</row>
    <row r="227" spans="2:27" s="25" customFormat="1" ht="15.75" customHeight="1" x14ac:dyDescent="0.2">
      <c r="B227" s="89"/>
      <c r="C227"/>
      <c r="D227"/>
      <c r="E227" s="69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</row>
    <row r="228" spans="2:27" s="25" customFormat="1" ht="15.75" customHeight="1" x14ac:dyDescent="0.2">
      <c r="B228" s="89"/>
      <c r="C228"/>
      <c r="D228"/>
      <c r="E228" s="69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</row>
    <row r="229" spans="2:27" s="25" customFormat="1" ht="15.75" customHeight="1" x14ac:dyDescent="0.2">
      <c r="B229" s="89"/>
      <c r="C229"/>
      <c r="D229"/>
      <c r="E229" s="6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</row>
    <row r="230" spans="2:27" s="25" customFormat="1" ht="15.75" customHeight="1" x14ac:dyDescent="0.2">
      <c r="B230" s="89"/>
      <c r="C230"/>
      <c r="D230"/>
      <c r="E230" s="69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</row>
    <row r="231" spans="2:27" s="25" customFormat="1" ht="15.75" customHeight="1" x14ac:dyDescent="0.2">
      <c r="B231" s="89"/>
      <c r="C231"/>
      <c r="D231"/>
      <c r="E231" s="69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</row>
    <row r="232" spans="2:27" s="25" customFormat="1" ht="15.75" customHeight="1" x14ac:dyDescent="0.2">
      <c r="B232" s="89"/>
      <c r="C232"/>
      <c r="D232"/>
      <c r="E232" s="69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</row>
    <row r="233" spans="2:27" s="25" customFormat="1" ht="15.75" customHeight="1" x14ac:dyDescent="0.2">
      <c r="B233" s="89"/>
      <c r="C233"/>
      <c r="D233"/>
      <c r="E233" s="69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</row>
    <row r="234" spans="2:27" s="25" customFormat="1" ht="15.75" customHeight="1" x14ac:dyDescent="0.2">
      <c r="B234" s="89"/>
      <c r="C234"/>
      <c r="D234"/>
      <c r="E234" s="69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</row>
    <row r="235" spans="2:27" s="25" customFormat="1" ht="15.75" customHeight="1" x14ac:dyDescent="0.2">
      <c r="B235" s="89"/>
      <c r="C235"/>
      <c r="D235"/>
      <c r="E235" s="69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</row>
    <row r="236" spans="2:27" s="25" customFormat="1" ht="15.75" customHeight="1" x14ac:dyDescent="0.2">
      <c r="B236" s="89"/>
      <c r="C236"/>
      <c r="D236"/>
      <c r="E236" s="69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</row>
    <row r="237" spans="2:27" s="25" customFormat="1" ht="15.75" customHeight="1" x14ac:dyDescent="0.2">
      <c r="B237" s="89"/>
      <c r="C237"/>
      <c r="D237"/>
      <c r="E237" s="69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</row>
    <row r="238" spans="2:27" s="25" customFormat="1" ht="15.75" customHeight="1" x14ac:dyDescent="0.2">
      <c r="B238" s="89"/>
      <c r="C238"/>
      <c r="D238"/>
      <c r="E238" s="69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</row>
    <row r="239" spans="2:27" s="25" customFormat="1" ht="15.75" customHeight="1" x14ac:dyDescent="0.2">
      <c r="B239" s="89"/>
      <c r="C239"/>
      <c r="D239"/>
      <c r="E239" s="6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</row>
    <row r="240" spans="2:27" s="25" customFormat="1" ht="15.75" customHeight="1" x14ac:dyDescent="0.2">
      <c r="B240" s="89"/>
      <c r="C240"/>
      <c r="D240"/>
      <c r="E240" s="69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</row>
    <row r="241" spans="2:27" s="25" customFormat="1" ht="15.75" customHeight="1" x14ac:dyDescent="0.2">
      <c r="B241" s="89"/>
      <c r="C241"/>
      <c r="D241"/>
      <c r="E241" s="69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</row>
    <row r="242" spans="2:27" s="25" customFormat="1" ht="15.75" customHeight="1" x14ac:dyDescent="0.2">
      <c r="B242" s="89"/>
      <c r="C242"/>
      <c r="D242"/>
      <c r="E242" s="69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</row>
    <row r="243" spans="2:27" s="25" customFormat="1" ht="15.75" customHeight="1" x14ac:dyDescent="0.2">
      <c r="B243" s="89"/>
      <c r="C243"/>
      <c r="D243"/>
      <c r="E243" s="69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</row>
    <row r="244" spans="2:27" s="25" customFormat="1" ht="15.75" customHeight="1" x14ac:dyDescent="0.2">
      <c r="B244" s="89"/>
      <c r="C244"/>
      <c r="D244"/>
      <c r="E244" s="69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</row>
    <row r="245" spans="2:27" s="25" customFormat="1" ht="15.75" customHeight="1" x14ac:dyDescent="0.2">
      <c r="B245" s="89"/>
      <c r="C245"/>
      <c r="D245"/>
      <c r="E245" s="69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</row>
    <row r="246" spans="2:27" s="25" customFormat="1" ht="15.75" customHeight="1" x14ac:dyDescent="0.2">
      <c r="B246" s="89"/>
      <c r="C246"/>
      <c r="D246"/>
      <c r="E246" s="69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</row>
    <row r="247" spans="2:27" s="25" customFormat="1" ht="15.75" customHeight="1" x14ac:dyDescent="0.2">
      <c r="B247" s="89"/>
      <c r="C247"/>
      <c r="D247"/>
      <c r="E247" s="69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</row>
    <row r="248" spans="2:27" s="25" customFormat="1" ht="15.75" customHeight="1" x14ac:dyDescent="0.2">
      <c r="B248" s="89"/>
      <c r="C248"/>
      <c r="D248"/>
      <c r="E248" s="69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</row>
    <row r="249" spans="2:27" s="25" customFormat="1" ht="15.75" customHeight="1" x14ac:dyDescent="0.2">
      <c r="B249" s="89"/>
      <c r="C249"/>
      <c r="D249"/>
      <c r="E249" s="6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</row>
    <row r="250" spans="2:27" s="25" customFormat="1" ht="15.75" customHeight="1" x14ac:dyDescent="0.2">
      <c r="B250" s="89"/>
      <c r="C250"/>
      <c r="D250"/>
      <c r="E250" s="69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</row>
    <row r="251" spans="2:27" s="25" customFormat="1" ht="15.75" customHeight="1" x14ac:dyDescent="0.2">
      <c r="B251" s="89"/>
      <c r="C251"/>
      <c r="D251"/>
      <c r="E251" s="69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</row>
    <row r="252" spans="2:27" s="25" customFormat="1" ht="15.75" customHeight="1" x14ac:dyDescent="0.2">
      <c r="B252" s="89"/>
      <c r="C252"/>
      <c r="D252"/>
      <c r="E252" s="69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</row>
    <row r="253" spans="2:27" s="25" customFormat="1" ht="15.75" customHeight="1" x14ac:dyDescent="0.2">
      <c r="B253" s="89"/>
      <c r="C253"/>
      <c r="D253"/>
      <c r="E253" s="69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</row>
    <row r="254" spans="2:27" s="25" customFormat="1" ht="15.75" customHeight="1" x14ac:dyDescent="0.2">
      <c r="B254" s="89"/>
      <c r="C254"/>
      <c r="D254"/>
      <c r="E254" s="69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</row>
    <row r="255" spans="2:27" s="25" customFormat="1" ht="15.75" customHeight="1" x14ac:dyDescent="0.2">
      <c r="B255" s="89"/>
      <c r="C255"/>
      <c r="D255"/>
      <c r="E255" s="69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</row>
    <row r="256" spans="2:27" s="25" customFormat="1" ht="15.75" customHeight="1" x14ac:dyDescent="0.2">
      <c r="B256" s="89"/>
      <c r="C256"/>
      <c r="D256"/>
      <c r="E256" s="69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</row>
    <row r="257" spans="2:27" s="25" customFormat="1" ht="15.75" customHeight="1" x14ac:dyDescent="0.2">
      <c r="B257" s="89"/>
      <c r="C257"/>
      <c r="D257"/>
      <c r="E257" s="69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</row>
    <row r="258" spans="2:27" s="25" customFormat="1" ht="15.75" customHeight="1" x14ac:dyDescent="0.2">
      <c r="B258" s="89"/>
      <c r="C258"/>
      <c r="D258"/>
      <c r="E258" s="69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</row>
    <row r="259" spans="2:27" s="25" customFormat="1" ht="15.75" customHeight="1" x14ac:dyDescent="0.2">
      <c r="B259" s="89"/>
      <c r="C259"/>
      <c r="D259"/>
      <c r="E259" s="6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</row>
    <row r="260" spans="2:27" s="25" customFormat="1" ht="15.75" customHeight="1" x14ac:dyDescent="0.2">
      <c r="B260" s="89"/>
      <c r="C260"/>
      <c r="D260"/>
      <c r="E260" s="69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</row>
    <row r="261" spans="2:27" s="25" customFormat="1" ht="15.75" customHeight="1" x14ac:dyDescent="0.2">
      <c r="B261" s="89"/>
      <c r="C261"/>
      <c r="D261"/>
      <c r="E261" s="69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</row>
    <row r="262" spans="2:27" s="25" customFormat="1" ht="15.75" customHeight="1" x14ac:dyDescent="0.2">
      <c r="B262" s="89"/>
      <c r="C262"/>
      <c r="D262"/>
      <c r="E262" s="69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</row>
    <row r="263" spans="2:27" s="25" customFormat="1" ht="15.75" customHeight="1" x14ac:dyDescent="0.2">
      <c r="B263" s="89"/>
      <c r="C263"/>
      <c r="D263"/>
      <c r="E263" s="69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</row>
    <row r="264" spans="2:27" s="25" customFormat="1" ht="15.75" customHeight="1" x14ac:dyDescent="0.2">
      <c r="B264" s="89"/>
      <c r="C264"/>
      <c r="D264"/>
      <c r="E264" s="69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</row>
    <row r="265" spans="2:27" s="25" customFormat="1" ht="15.75" customHeight="1" x14ac:dyDescent="0.2">
      <c r="B265" s="89"/>
      <c r="C265"/>
      <c r="D265"/>
      <c r="E265" s="69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</row>
    <row r="266" spans="2:27" s="25" customFormat="1" ht="15.75" customHeight="1" x14ac:dyDescent="0.2">
      <c r="B266" s="89"/>
      <c r="C266"/>
      <c r="D266"/>
      <c r="E266" s="69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</row>
    <row r="267" spans="2:27" s="25" customFormat="1" ht="15.75" customHeight="1" x14ac:dyDescent="0.2">
      <c r="B267" s="89"/>
      <c r="C267"/>
      <c r="D267"/>
      <c r="E267" s="69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</row>
    <row r="268" spans="2:27" s="25" customFormat="1" ht="15.75" customHeight="1" x14ac:dyDescent="0.2">
      <c r="B268" s="89"/>
      <c r="C268"/>
      <c r="D268"/>
      <c r="E268" s="69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</row>
    <row r="269" spans="2:27" s="25" customFormat="1" ht="15.75" customHeight="1" x14ac:dyDescent="0.2">
      <c r="B269" s="89"/>
      <c r="C269"/>
      <c r="D269"/>
      <c r="E269" s="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</row>
    <row r="270" spans="2:27" s="25" customFormat="1" ht="15.75" customHeight="1" x14ac:dyDescent="0.2">
      <c r="B270" s="89"/>
      <c r="C270"/>
      <c r="D270"/>
      <c r="E270" s="69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</row>
    <row r="271" spans="2:27" s="25" customFormat="1" ht="15.75" customHeight="1" x14ac:dyDescent="0.2">
      <c r="B271" s="89"/>
      <c r="C271"/>
      <c r="D271"/>
      <c r="E271" s="69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</row>
    <row r="272" spans="2:27" s="25" customFormat="1" ht="15.75" customHeight="1" x14ac:dyDescent="0.2">
      <c r="B272" s="89"/>
      <c r="C272"/>
      <c r="D272"/>
      <c r="E272" s="69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</row>
    <row r="273" spans="2:27" s="25" customFormat="1" ht="15.75" customHeight="1" x14ac:dyDescent="0.2">
      <c r="B273" s="89"/>
      <c r="C273"/>
      <c r="D273"/>
      <c r="E273" s="69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</row>
    <row r="274" spans="2:27" s="25" customFormat="1" ht="15.75" customHeight="1" x14ac:dyDescent="0.2">
      <c r="B274" s="89"/>
      <c r="C274"/>
      <c r="D274"/>
      <c r="E274" s="69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</row>
    <row r="275" spans="2:27" s="25" customFormat="1" ht="15.75" customHeight="1" x14ac:dyDescent="0.2">
      <c r="B275" s="89"/>
      <c r="C275"/>
      <c r="D275"/>
      <c r="E275" s="69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</row>
    <row r="276" spans="2:27" s="25" customFormat="1" ht="15.75" customHeight="1" x14ac:dyDescent="0.2">
      <c r="B276" s="89"/>
      <c r="C276"/>
      <c r="D276"/>
      <c r="E276" s="69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</row>
    <row r="277" spans="2:27" s="25" customFormat="1" ht="15.75" customHeight="1" x14ac:dyDescent="0.2">
      <c r="B277" s="89"/>
      <c r="C277"/>
      <c r="D277"/>
      <c r="E277" s="69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</row>
    <row r="278" spans="2:27" s="25" customFormat="1" ht="15.75" customHeight="1" x14ac:dyDescent="0.2">
      <c r="B278" s="89"/>
      <c r="C278"/>
      <c r="D278"/>
      <c r="E278" s="69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</row>
    <row r="279" spans="2:27" s="25" customFormat="1" ht="15.75" customHeight="1" x14ac:dyDescent="0.2">
      <c r="B279" s="89"/>
      <c r="C279"/>
      <c r="D279"/>
      <c r="E279" s="6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</row>
    <row r="280" spans="2:27" s="25" customFormat="1" ht="15.75" customHeight="1" x14ac:dyDescent="0.2">
      <c r="B280" s="89"/>
      <c r="C280"/>
      <c r="D280"/>
      <c r="E280" s="69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</row>
    <row r="281" spans="2:27" s="25" customFormat="1" ht="15.75" customHeight="1" x14ac:dyDescent="0.2">
      <c r="B281" s="89"/>
      <c r="C281"/>
      <c r="D281"/>
      <c r="E281" s="69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</row>
    <row r="282" spans="2:27" s="25" customFormat="1" ht="15.75" customHeight="1" x14ac:dyDescent="0.2">
      <c r="B282" s="89"/>
      <c r="C282"/>
      <c r="D282"/>
      <c r="E282" s="69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</row>
    <row r="283" spans="2:27" s="25" customFormat="1" ht="15.75" customHeight="1" x14ac:dyDescent="0.2">
      <c r="B283" s="89"/>
      <c r="C283"/>
      <c r="D283"/>
      <c r="E283" s="69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</row>
    <row r="284" spans="2:27" s="25" customFormat="1" ht="15.75" customHeight="1" x14ac:dyDescent="0.2">
      <c r="B284" s="89"/>
      <c r="C284"/>
      <c r="D284"/>
      <c r="E284" s="69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</row>
    <row r="285" spans="2:27" s="25" customFormat="1" ht="15.75" customHeight="1" x14ac:dyDescent="0.2">
      <c r="B285" s="89"/>
      <c r="C285"/>
      <c r="D285"/>
      <c r="E285" s="69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</row>
    <row r="286" spans="2:27" s="25" customFormat="1" ht="15.75" customHeight="1" x14ac:dyDescent="0.2">
      <c r="B286" s="89"/>
      <c r="C286"/>
      <c r="D286"/>
      <c r="E286" s="69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</row>
    <row r="287" spans="2:27" s="25" customFormat="1" ht="15.75" customHeight="1" x14ac:dyDescent="0.2">
      <c r="B287" s="89"/>
      <c r="C287"/>
      <c r="D287"/>
      <c r="E287" s="69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</row>
    <row r="288" spans="2:27" s="25" customFormat="1" ht="15.75" customHeight="1" x14ac:dyDescent="0.2">
      <c r="B288" s="89"/>
      <c r="C288"/>
      <c r="D288"/>
      <c r="E288" s="69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</row>
    <row r="289" spans="2:27" s="25" customFormat="1" ht="15.75" customHeight="1" x14ac:dyDescent="0.2">
      <c r="B289" s="89"/>
      <c r="C289"/>
      <c r="D289"/>
      <c r="E289" s="6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</row>
    <row r="290" spans="2:27" s="25" customFormat="1" ht="15.75" customHeight="1" x14ac:dyDescent="0.2">
      <c r="B290" s="89"/>
      <c r="C290"/>
      <c r="D290"/>
      <c r="E290" s="69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</row>
    <row r="291" spans="2:27" s="25" customFormat="1" ht="15.75" customHeight="1" x14ac:dyDescent="0.2">
      <c r="B291" s="89"/>
      <c r="C291"/>
      <c r="D291"/>
      <c r="E291" s="69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</row>
    <row r="292" spans="2:27" s="25" customFormat="1" ht="15.75" customHeight="1" x14ac:dyDescent="0.2">
      <c r="B292" s="89"/>
      <c r="C292"/>
      <c r="D292"/>
      <c r="E292" s="69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</row>
    <row r="293" spans="2:27" s="25" customFormat="1" ht="15.75" customHeight="1" x14ac:dyDescent="0.2">
      <c r="B293" s="89"/>
      <c r="C293"/>
      <c r="D293"/>
      <c r="E293" s="69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</row>
    <row r="294" spans="2:27" s="25" customFormat="1" ht="15.75" customHeight="1" x14ac:dyDescent="0.2">
      <c r="B294" s="89"/>
      <c r="C294"/>
      <c r="D294"/>
      <c r="E294" s="69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</row>
    <row r="295" spans="2:27" s="25" customFormat="1" ht="15.75" customHeight="1" x14ac:dyDescent="0.2">
      <c r="B295" s="89"/>
      <c r="C295"/>
      <c r="D295"/>
      <c r="E295" s="69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</row>
    <row r="296" spans="2:27" s="25" customFormat="1" ht="15.75" customHeight="1" x14ac:dyDescent="0.2">
      <c r="B296" s="89"/>
      <c r="C296"/>
      <c r="D296"/>
      <c r="E296" s="69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</row>
    <row r="297" spans="2:27" s="25" customFormat="1" ht="15.75" customHeight="1" x14ac:dyDescent="0.2">
      <c r="B297" s="89"/>
      <c r="C297"/>
      <c r="D297"/>
      <c r="E297" s="69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</row>
    <row r="298" spans="2:27" s="25" customFormat="1" ht="15.75" customHeight="1" x14ac:dyDescent="0.2">
      <c r="B298" s="89"/>
      <c r="C298"/>
      <c r="D298"/>
      <c r="E298" s="69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</row>
    <row r="299" spans="2:27" s="25" customFormat="1" ht="15.75" customHeight="1" x14ac:dyDescent="0.2">
      <c r="B299" s="89"/>
      <c r="C299"/>
      <c r="D299"/>
      <c r="E299" s="6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</row>
    <row r="300" spans="2:27" s="25" customFormat="1" ht="15.75" customHeight="1" x14ac:dyDescent="0.2">
      <c r="B300" s="89"/>
      <c r="C300"/>
      <c r="D300"/>
      <c r="E300" s="69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</row>
    <row r="301" spans="2:27" s="25" customFormat="1" ht="15.75" customHeight="1" x14ac:dyDescent="0.2">
      <c r="B301" s="89"/>
      <c r="C301"/>
      <c r="D301"/>
      <c r="E301" s="69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</row>
    <row r="302" spans="2:27" s="25" customFormat="1" ht="15.75" customHeight="1" x14ac:dyDescent="0.2">
      <c r="B302" s="89"/>
      <c r="C302"/>
      <c r="D302"/>
      <c r="E302" s="69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</row>
    <row r="303" spans="2:27" s="25" customFormat="1" ht="15.75" customHeight="1" x14ac:dyDescent="0.2">
      <c r="B303" s="89"/>
      <c r="C303"/>
      <c r="D303"/>
      <c r="E303" s="69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</row>
    <row r="304" spans="2:27" s="25" customFormat="1" ht="15.75" customHeight="1" x14ac:dyDescent="0.2">
      <c r="B304" s="89"/>
      <c r="C304"/>
      <c r="D304"/>
      <c r="E304" s="69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</row>
    <row r="305" spans="2:27" s="25" customFormat="1" ht="15.75" customHeight="1" x14ac:dyDescent="0.2">
      <c r="B305" s="89"/>
      <c r="C305"/>
      <c r="D305"/>
      <c r="E305" s="69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</row>
    <row r="306" spans="2:27" s="25" customFormat="1" ht="15.75" customHeight="1" x14ac:dyDescent="0.2">
      <c r="B306" s="89"/>
      <c r="C306"/>
      <c r="D306"/>
      <c r="E306" s="69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</row>
    <row r="307" spans="2:27" s="25" customFormat="1" ht="15.75" customHeight="1" x14ac:dyDescent="0.2">
      <c r="B307" s="89"/>
      <c r="C307"/>
      <c r="D307"/>
      <c r="E307" s="69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</row>
    <row r="308" spans="2:27" s="25" customFormat="1" ht="15.75" customHeight="1" x14ac:dyDescent="0.2">
      <c r="B308" s="89"/>
      <c r="C308"/>
      <c r="D308"/>
      <c r="E308" s="69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</row>
    <row r="309" spans="2:27" s="25" customFormat="1" ht="15.75" customHeight="1" x14ac:dyDescent="0.2">
      <c r="B309" s="89"/>
      <c r="C309"/>
      <c r="D309"/>
      <c r="E309" s="6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</row>
    <row r="310" spans="2:27" s="25" customFormat="1" ht="15.75" customHeight="1" x14ac:dyDescent="0.2">
      <c r="B310" s="89"/>
      <c r="C310"/>
      <c r="D310"/>
      <c r="E310" s="69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</row>
    <row r="311" spans="2:27" s="25" customFormat="1" ht="15.75" customHeight="1" x14ac:dyDescent="0.2">
      <c r="B311" s="89"/>
      <c r="C311"/>
      <c r="D311"/>
      <c r="E311" s="69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</row>
    <row r="312" spans="2:27" s="25" customFormat="1" ht="15.75" customHeight="1" x14ac:dyDescent="0.2">
      <c r="B312" s="89"/>
      <c r="C312"/>
      <c r="D312"/>
      <c r="E312" s="69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</row>
    <row r="313" spans="2:27" s="25" customFormat="1" ht="15.75" customHeight="1" x14ac:dyDescent="0.2">
      <c r="B313" s="89"/>
      <c r="C313"/>
      <c r="D313"/>
      <c r="E313" s="69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</row>
    <row r="314" spans="2:27" s="25" customFormat="1" ht="15.75" customHeight="1" x14ac:dyDescent="0.2">
      <c r="B314" s="89"/>
      <c r="C314"/>
      <c r="D314"/>
      <c r="E314" s="69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</row>
    <row r="315" spans="2:27" s="25" customFormat="1" ht="15.75" customHeight="1" x14ac:dyDescent="0.2">
      <c r="B315" s="89"/>
      <c r="C315"/>
      <c r="D315"/>
      <c r="E315" s="69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</row>
    <row r="316" spans="2:27" s="25" customFormat="1" ht="15.75" customHeight="1" x14ac:dyDescent="0.2">
      <c r="B316" s="89"/>
      <c r="C316"/>
      <c r="D316"/>
      <c r="E316" s="69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</row>
    <row r="317" spans="2:27" s="25" customFormat="1" ht="15.75" customHeight="1" x14ac:dyDescent="0.2">
      <c r="B317" s="89"/>
      <c r="C317"/>
      <c r="D317"/>
      <c r="E317" s="69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</row>
    <row r="318" spans="2:27" s="25" customFormat="1" ht="15.75" customHeight="1" x14ac:dyDescent="0.2">
      <c r="B318" s="89"/>
      <c r="C318"/>
      <c r="D318"/>
      <c r="E318" s="69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</row>
    <row r="319" spans="2:27" s="25" customFormat="1" ht="15.75" customHeight="1" x14ac:dyDescent="0.2">
      <c r="B319" s="89"/>
      <c r="C319"/>
      <c r="D319"/>
      <c r="E319" s="6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</row>
    <row r="320" spans="2:27" s="25" customFormat="1" ht="15.75" customHeight="1" x14ac:dyDescent="0.2">
      <c r="B320" s="89"/>
      <c r="C320"/>
      <c r="D320"/>
      <c r="E320" s="69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</row>
    <row r="321" spans="2:27" s="25" customFormat="1" ht="15.75" customHeight="1" x14ac:dyDescent="0.2">
      <c r="B321" s="89"/>
      <c r="C321"/>
      <c r="D321"/>
      <c r="E321" s="69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</row>
    <row r="322" spans="2:27" s="25" customFormat="1" ht="15.75" customHeight="1" x14ac:dyDescent="0.2">
      <c r="B322" s="89"/>
      <c r="C322"/>
      <c r="D322"/>
      <c r="E322" s="69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</row>
    <row r="323" spans="2:27" s="25" customFormat="1" ht="15.75" customHeight="1" x14ac:dyDescent="0.2">
      <c r="B323" s="89"/>
      <c r="C323"/>
      <c r="D323"/>
      <c r="E323" s="69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</row>
    <row r="324" spans="2:27" s="25" customFormat="1" ht="15.75" customHeight="1" x14ac:dyDescent="0.2">
      <c r="B324" s="89"/>
      <c r="C324"/>
      <c r="D324"/>
      <c r="E324" s="69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</row>
    <row r="325" spans="2:27" s="25" customFormat="1" ht="15.75" customHeight="1" x14ac:dyDescent="0.2">
      <c r="B325" s="89"/>
      <c r="C325"/>
      <c r="D325"/>
      <c r="E325" s="69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</row>
    <row r="326" spans="2:27" s="25" customFormat="1" ht="15.75" customHeight="1" x14ac:dyDescent="0.2">
      <c r="B326" s="89"/>
      <c r="C326"/>
      <c r="D326"/>
      <c r="E326" s="69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</row>
    <row r="327" spans="2:27" s="25" customFormat="1" ht="15.75" customHeight="1" x14ac:dyDescent="0.2">
      <c r="B327" s="89"/>
      <c r="C327"/>
      <c r="D327"/>
      <c r="E327" s="69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</row>
    <row r="328" spans="2:27" s="25" customFormat="1" ht="15.75" customHeight="1" x14ac:dyDescent="0.2">
      <c r="B328" s="89"/>
      <c r="C328"/>
      <c r="D328"/>
      <c r="E328" s="69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</row>
    <row r="329" spans="2:27" s="25" customFormat="1" ht="15.75" customHeight="1" x14ac:dyDescent="0.2">
      <c r="B329" s="89"/>
      <c r="C329"/>
      <c r="D329"/>
      <c r="E329" s="6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</row>
    <row r="330" spans="2:27" s="25" customFormat="1" ht="15.75" customHeight="1" x14ac:dyDescent="0.2">
      <c r="B330" s="89"/>
      <c r="C330"/>
      <c r="D330"/>
      <c r="E330" s="69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</row>
    <row r="331" spans="2:27" s="25" customFormat="1" ht="15.75" customHeight="1" x14ac:dyDescent="0.2">
      <c r="B331" s="89"/>
      <c r="C331"/>
      <c r="D331"/>
      <c r="E331" s="69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</row>
    <row r="332" spans="2:27" s="25" customFormat="1" ht="15.75" customHeight="1" x14ac:dyDescent="0.2">
      <c r="B332" s="89"/>
      <c r="C332"/>
      <c r="D332"/>
      <c r="E332" s="69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</row>
    <row r="333" spans="2:27" s="25" customFormat="1" ht="15.75" customHeight="1" x14ac:dyDescent="0.2">
      <c r="B333" s="89"/>
      <c r="C333"/>
      <c r="D333"/>
      <c r="E333" s="69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</row>
    <row r="334" spans="2:27" s="25" customFormat="1" ht="15.75" customHeight="1" x14ac:dyDescent="0.2">
      <c r="B334" s="89"/>
      <c r="C334"/>
      <c r="D334"/>
      <c r="E334" s="69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</row>
    <row r="335" spans="2:27" s="25" customFormat="1" ht="15.75" customHeight="1" x14ac:dyDescent="0.2">
      <c r="B335" s="89"/>
      <c r="C335"/>
      <c r="D335"/>
      <c r="E335" s="69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</row>
    <row r="336" spans="2:27" s="25" customFormat="1" ht="15.75" customHeight="1" x14ac:dyDescent="0.2">
      <c r="B336" s="89"/>
      <c r="C336"/>
      <c r="D336"/>
      <c r="E336" s="69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</row>
    <row r="337" spans="2:27" s="25" customFormat="1" ht="15.75" customHeight="1" x14ac:dyDescent="0.2">
      <c r="B337" s="89"/>
      <c r="C337"/>
      <c r="D337"/>
      <c r="E337" s="69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</row>
    <row r="338" spans="2:27" s="25" customFormat="1" ht="15.75" customHeight="1" x14ac:dyDescent="0.2">
      <c r="B338" s="89"/>
      <c r="C338"/>
      <c r="D338"/>
      <c r="E338" s="69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</row>
    <row r="339" spans="2:27" s="25" customFormat="1" ht="15.75" customHeight="1" x14ac:dyDescent="0.2">
      <c r="B339" s="89"/>
      <c r="C339"/>
      <c r="D339"/>
      <c r="E339" s="6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</row>
    <row r="340" spans="2:27" s="25" customFormat="1" ht="15.75" customHeight="1" x14ac:dyDescent="0.2">
      <c r="B340" s="89"/>
      <c r="C340"/>
      <c r="D340"/>
      <c r="E340" s="69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</row>
    <row r="341" spans="2:27" s="25" customFormat="1" ht="15.75" customHeight="1" x14ac:dyDescent="0.2">
      <c r="B341" s="89"/>
      <c r="C341"/>
      <c r="D341"/>
      <c r="E341" s="69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</row>
    <row r="342" spans="2:27" s="25" customFormat="1" ht="15.75" customHeight="1" x14ac:dyDescent="0.2">
      <c r="B342" s="89"/>
      <c r="C342"/>
      <c r="D342"/>
      <c r="E342" s="69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</row>
    <row r="343" spans="2:27" s="25" customFormat="1" ht="15.75" customHeight="1" x14ac:dyDescent="0.2">
      <c r="B343" s="89"/>
      <c r="C343"/>
      <c r="D343"/>
      <c r="E343" s="69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</row>
    <row r="344" spans="2:27" s="25" customFormat="1" ht="15.75" customHeight="1" x14ac:dyDescent="0.2">
      <c r="B344" s="89"/>
      <c r="C344"/>
      <c r="D344"/>
      <c r="E344" s="69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</row>
    <row r="345" spans="2:27" s="25" customFormat="1" ht="15.75" customHeight="1" x14ac:dyDescent="0.2">
      <c r="B345" s="89"/>
      <c r="C345"/>
      <c r="D345"/>
      <c r="E345" s="69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</row>
    <row r="346" spans="2:27" s="25" customFormat="1" ht="15.75" customHeight="1" x14ac:dyDescent="0.2">
      <c r="B346" s="89"/>
      <c r="C346"/>
      <c r="D346"/>
      <c r="E346" s="69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</row>
    <row r="347" spans="2:27" s="25" customFormat="1" ht="15.75" customHeight="1" x14ac:dyDescent="0.2">
      <c r="B347" s="89"/>
      <c r="C347"/>
      <c r="D347"/>
      <c r="E347" s="69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</row>
    <row r="348" spans="2:27" s="25" customFormat="1" ht="15.75" customHeight="1" x14ac:dyDescent="0.2">
      <c r="B348" s="89"/>
      <c r="C348"/>
      <c r="D348"/>
      <c r="E348" s="69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</row>
    <row r="349" spans="2:27" s="25" customFormat="1" ht="15.75" customHeight="1" x14ac:dyDescent="0.2">
      <c r="B349" s="89"/>
      <c r="C349"/>
      <c r="D349"/>
      <c r="E349" s="6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</row>
    <row r="350" spans="2:27" s="25" customFormat="1" ht="15.75" customHeight="1" x14ac:dyDescent="0.2">
      <c r="B350" s="89"/>
      <c r="C350"/>
      <c r="D350"/>
      <c r="E350" s="69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</row>
    <row r="351" spans="2:27" s="25" customFormat="1" ht="15.75" customHeight="1" x14ac:dyDescent="0.2">
      <c r="B351" s="89"/>
      <c r="C351"/>
      <c r="D351"/>
      <c r="E351" s="69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</row>
    <row r="352" spans="2:27" s="25" customFormat="1" ht="15.75" customHeight="1" x14ac:dyDescent="0.2">
      <c r="B352" s="89"/>
      <c r="C352"/>
      <c r="D352"/>
      <c r="E352" s="69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</row>
    <row r="353" spans="2:27" s="25" customFormat="1" ht="15.75" customHeight="1" x14ac:dyDescent="0.2">
      <c r="B353" s="89"/>
      <c r="C353"/>
      <c r="D353"/>
      <c r="E353" s="69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</row>
    <row r="354" spans="2:27" s="25" customFormat="1" ht="15.75" customHeight="1" x14ac:dyDescent="0.2">
      <c r="B354" s="89"/>
      <c r="C354"/>
      <c r="D354"/>
      <c r="E354" s="69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  <c r="AA354"/>
    </row>
    <row r="355" spans="2:27" s="25" customFormat="1" ht="15.75" customHeight="1" x14ac:dyDescent="0.2">
      <c r="B355" s="89"/>
      <c r="C355"/>
      <c r="D355"/>
      <c r="E355" s="69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</row>
    <row r="356" spans="2:27" s="25" customFormat="1" ht="15.75" customHeight="1" x14ac:dyDescent="0.2">
      <c r="B356" s="89"/>
      <c r="C356"/>
      <c r="D356"/>
      <c r="E356" s="69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</row>
    <row r="357" spans="2:27" s="25" customFormat="1" ht="15.75" customHeight="1" x14ac:dyDescent="0.2">
      <c r="B357" s="89"/>
      <c r="C357"/>
      <c r="D357"/>
      <c r="E357" s="69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</row>
    <row r="358" spans="2:27" s="25" customFormat="1" ht="15.75" customHeight="1" x14ac:dyDescent="0.2">
      <c r="B358" s="89"/>
      <c r="C358"/>
      <c r="D358"/>
      <c r="E358" s="69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</row>
    <row r="359" spans="2:27" s="25" customFormat="1" ht="15.75" customHeight="1" x14ac:dyDescent="0.2">
      <c r="B359" s="89"/>
      <c r="C359"/>
      <c r="D359"/>
      <c r="E359" s="6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</row>
    <row r="360" spans="2:27" s="25" customFormat="1" ht="15.75" customHeight="1" x14ac:dyDescent="0.2">
      <c r="B360" s="89"/>
      <c r="C360"/>
      <c r="D360"/>
      <c r="E360" s="69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</row>
    <row r="361" spans="2:27" s="25" customFormat="1" ht="15.75" customHeight="1" x14ac:dyDescent="0.2">
      <c r="B361" s="89"/>
      <c r="C361"/>
      <c r="D361"/>
      <c r="E361" s="69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</row>
    <row r="362" spans="2:27" s="25" customFormat="1" ht="15.75" customHeight="1" x14ac:dyDescent="0.2">
      <c r="B362" s="89"/>
      <c r="C362"/>
      <c r="D362"/>
      <c r="E362" s="69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</row>
    <row r="363" spans="2:27" s="25" customFormat="1" ht="15.75" customHeight="1" x14ac:dyDescent="0.2">
      <c r="B363" s="89"/>
      <c r="C363"/>
      <c r="D363"/>
      <c r="E363" s="69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</row>
    <row r="364" spans="2:27" s="25" customFormat="1" ht="15.75" customHeight="1" x14ac:dyDescent="0.2">
      <c r="B364" s="89"/>
      <c r="C364"/>
      <c r="D364"/>
      <c r="E364" s="69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</row>
    <row r="365" spans="2:27" s="25" customFormat="1" ht="15.75" customHeight="1" x14ac:dyDescent="0.2">
      <c r="B365" s="89"/>
      <c r="C365"/>
      <c r="D365"/>
      <c r="E365" s="69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</row>
    <row r="366" spans="2:27" s="25" customFormat="1" ht="15.75" customHeight="1" x14ac:dyDescent="0.2">
      <c r="B366" s="89"/>
      <c r="C366"/>
      <c r="D366"/>
      <c r="E366" s="69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</row>
    <row r="367" spans="2:27" s="25" customFormat="1" ht="15.75" customHeight="1" x14ac:dyDescent="0.2">
      <c r="B367" s="89"/>
      <c r="C367"/>
      <c r="D367"/>
      <c r="E367" s="69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</row>
    <row r="368" spans="2:27" s="25" customFormat="1" ht="15.75" customHeight="1" x14ac:dyDescent="0.2">
      <c r="B368" s="89"/>
      <c r="C368"/>
      <c r="D368"/>
      <c r="E368" s="69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</row>
    <row r="369" spans="2:27" s="25" customFormat="1" ht="15.75" customHeight="1" x14ac:dyDescent="0.2">
      <c r="B369" s="89"/>
      <c r="C369"/>
      <c r="D369"/>
      <c r="E369" s="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</row>
    <row r="370" spans="2:27" s="25" customFormat="1" ht="15.75" customHeight="1" x14ac:dyDescent="0.2">
      <c r="B370" s="89"/>
      <c r="C370"/>
      <c r="D370"/>
      <c r="E370" s="69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</row>
    <row r="371" spans="2:27" s="25" customFormat="1" ht="15.75" customHeight="1" x14ac:dyDescent="0.2">
      <c r="B371" s="89"/>
      <c r="C371"/>
      <c r="D371"/>
      <c r="E371" s="69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</row>
    <row r="372" spans="2:27" s="25" customFormat="1" ht="15.75" customHeight="1" x14ac:dyDescent="0.2">
      <c r="B372" s="89"/>
      <c r="C372"/>
      <c r="D372"/>
      <c r="E372" s="69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</row>
    <row r="373" spans="2:27" s="25" customFormat="1" ht="15.75" customHeight="1" x14ac:dyDescent="0.2">
      <c r="B373" s="89"/>
      <c r="C373"/>
      <c r="D373"/>
      <c r="E373" s="69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</row>
    <row r="374" spans="2:27" s="25" customFormat="1" ht="15.75" customHeight="1" x14ac:dyDescent="0.2">
      <c r="B374" s="89"/>
      <c r="C374"/>
      <c r="D374"/>
      <c r="E374" s="69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</row>
    <row r="375" spans="2:27" s="25" customFormat="1" ht="15.75" customHeight="1" x14ac:dyDescent="0.2">
      <c r="B375" s="89"/>
      <c r="C375"/>
      <c r="D375"/>
      <c r="E375" s="69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</row>
    <row r="376" spans="2:27" s="25" customFormat="1" ht="15.75" customHeight="1" x14ac:dyDescent="0.2">
      <c r="B376" s="89"/>
      <c r="C376"/>
      <c r="D376"/>
      <c r="E376" s="69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</row>
    <row r="377" spans="2:27" s="25" customFormat="1" ht="15.75" customHeight="1" x14ac:dyDescent="0.2">
      <c r="B377" s="89"/>
      <c r="C377"/>
      <c r="D377"/>
      <c r="E377" s="69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</row>
    <row r="378" spans="2:27" s="25" customFormat="1" ht="15.75" customHeight="1" x14ac:dyDescent="0.2">
      <c r="B378" s="89"/>
      <c r="C378"/>
      <c r="D378"/>
      <c r="E378" s="69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</row>
    <row r="379" spans="2:27" s="25" customFormat="1" ht="15.75" customHeight="1" x14ac:dyDescent="0.2">
      <c r="B379" s="89"/>
      <c r="C379"/>
      <c r="D379"/>
      <c r="E379" s="6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</row>
    <row r="380" spans="2:27" s="25" customFormat="1" ht="15.75" customHeight="1" x14ac:dyDescent="0.2">
      <c r="B380" s="89"/>
      <c r="C380"/>
      <c r="D380"/>
      <c r="E380" s="69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</row>
    <row r="381" spans="2:27" s="25" customFormat="1" ht="15.75" customHeight="1" x14ac:dyDescent="0.2">
      <c r="B381" s="89"/>
      <c r="C381"/>
      <c r="D381"/>
      <c r="E381" s="69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  <c r="AA381"/>
    </row>
    <row r="382" spans="2:27" s="25" customFormat="1" ht="15.75" customHeight="1" x14ac:dyDescent="0.2">
      <c r="B382" s="89"/>
      <c r="C382"/>
      <c r="D382"/>
      <c r="E382" s="69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  <c r="AA382"/>
    </row>
    <row r="383" spans="2:27" s="25" customFormat="1" ht="15.75" customHeight="1" x14ac:dyDescent="0.2">
      <c r="B383" s="89"/>
      <c r="C383"/>
      <c r="D383"/>
      <c r="E383" s="69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  <c r="AA383"/>
    </row>
    <row r="384" spans="2:27" s="25" customFormat="1" ht="15.75" customHeight="1" x14ac:dyDescent="0.2">
      <c r="B384" s="89"/>
      <c r="C384"/>
      <c r="D384"/>
      <c r="E384" s="69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</row>
    <row r="385" spans="2:27" s="25" customFormat="1" ht="15.75" customHeight="1" x14ac:dyDescent="0.2">
      <c r="B385" s="89"/>
      <c r="C385"/>
      <c r="D385"/>
      <c r="E385" s="69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  <c r="AA385"/>
    </row>
    <row r="386" spans="2:27" s="25" customFormat="1" ht="15.75" customHeight="1" x14ac:dyDescent="0.2">
      <c r="B386" s="89"/>
      <c r="C386"/>
      <c r="D386"/>
      <c r="E386" s="69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</row>
    <row r="387" spans="2:27" s="25" customFormat="1" ht="15.75" customHeight="1" x14ac:dyDescent="0.2">
      <c r="B387" s="89"/>
      <c r="C387"/>
      <c r="D387"/>
      <c r="E387" s="69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/>
    </row>
    <row r="388" spans="2:27" s="25" customFormat="1" ht="15.75" customHeight="1" x14ac:dyDescent="0.2">
      <c r="B388" s="89"/>
      <c r="C388"/>
      <c r="D388"/>
      <c r="E388" s="69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</row>
    <row r="389" spans="2:27" s="25" customFormat="1" ht="15.75" customHeight="1" x14ac:dyDescent="0.2">
      <c r="B389" s="89"/>
      <c r="C389"/>
      <c r="D389"/>
      <c r="E389" s="6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</row>
    <row r="390" spans="2:27" s="25" customFormat="1" ht="15.75" customHeight="1" x14ac:dyDescent="0.2">
      <c r="B390" s="89"/>
      <c r="C390"/>
      <c r="D390"/>
      <c r="E390" s="69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</row>
    <row r="391" spans="2:27" s="25" customFormat="1" ht="15.75" customHeight="1" x14ac:dyDescent="0.2">
      <c r="B391" s="89"/>
      <c r="C391"/>
      <c r="D391"/>
      <c r="E391" s="69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  <c r="AA391"/>
    </row>
    <row r="392" spans="2:27" s="25" customFormat="1" ht="15.75" customHeight="1" x14ac:dyDescent="0.2">
      <c r="B392" s="89"/>
      <c r="C392"/>
      <c r="D392"/>
      <c r="E392" s="69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</row>
    <row r="393" spans="2:27" s="25" customFormat="1" ht="15.75" customHeight="1" x14ac:dyDescent="0.2">
      <c r="B393" s="89"/>
      <c r="C393"/>
      <c r="D393"/>
      <c r="E393" s="69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  <c r="AA393"/>
    </row>
    <row r="394" spans="2:27" s="25" customFormat="1" ht="15.75" customHeight="1" x14ac:dyDescent="0.2">
      <c r="B394" s="89"/>
      <c r="C394"/>
      <c r="D394"/>
      <c r="E394" s="69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  <c r="AA394"/>
    </row>
    <row r="395" spans="2:27" s="25" customFormat="1" ht="15.75" customHeight="1" x14ac:dyDescent="0.2">
      <c r="B395" s="89"/>
      <c r="C395"/>
      <c r="D395"/>
      <c r="E395" s="69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  <c r="AA395"/>
    </row>
    <row r="396" spans="2:27" s="25" customFormat="1" ht="15.75" customHeight="1" x14ac:dyDescent="0.2">
      <c r="B396" s="89"/>
      <c r="C396"/>
      <c r="D396"/>
      <c r="E396" s="69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</row>
    <row r="397" spans="2:27" s="25" customFormat="1" ht="15.75" customHeight="1" x14ac:dyDescent="0.2">
      <c r="B397" s="89"/>
      <c r="C397"/>
      <c r="D397"/>
      <c r="E397" s="69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</row>
    <row r="398" spans="2:27" s="25" customFormat="1" ht="15.75" customHeight="1" x14ac:dyDescent="0.2">
      <c r="B398" s="89"/>
      <c r="C398"/>
      <c r="D398"/>
      <c r="E398" s="69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</row>
    <row r="399" spans="2:27" s="25" customFormat="1" ht="15.75" customHeight="1" x14ac:dyDescent="0.2">
      <c r="B399" s="89"/>
      <c r="C399"/>
      <c r="D399"/>
      <c r="E399" s="6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</row>
    <row r="400" spans="2:27" s="25" customFormat="1" ht="15.75" customHeight="1" x14ac:dyDescent="0.2">
      <c r="B400" s="89"/>
      <c r="C400"/>
      <c r="D400"/>
      <c r="E400" s="69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</row>
    <row r="401" spans="2:27" s="25" customFormat="1" ht="15.75" customHeight="1" x14ac:dyDescent="0.2">
      <c r="B401" s="89"/>
      <c r="C401"/>
      <c r="D401"/>
      <c r="E401" s="69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</row>
    <row r="402" spans="2:27" s="25" customFormat="1" ht="15.75" customHeight="1" x14ac:dyDescent="0.2">
      <c r="B402" s="89"/>
      <c r="C402"/>
      <c r="D402"/>
      <c r="E402" s="69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</row>
    <row r="403" spans="2:27" s="25" customFormat="1" ht="15.75" customHeight="1" x14ac:dyDescent="0.2">
      <c r="B403" s="89"/>
      <c r="C403"/>
      <c r="D403"/>
      <c r="E403" s="69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</row>
    <row r="404" spans="2:27" s="25" customFormat="1" ht="15.75" customHeight="1" x14ac:dyDescent="0.2">
      <c r="B404" s="89"/>
      <c r="C404"/>
      <c r="D404"/>
      <c r="E404" s="69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</row>
    <row r="405" spans="2:27" s="25" customFormat="1" ht="15.75" customHeight="1" x14ac:dyDescent="0.2">
      <c r="B405" s="89"/>
      <c r="C405"/>
      <c r="D405"/>
      <c r="E405" s="69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</row>
    <row r="406" spans="2:27" s="25" customFormat="1" ht="15.75" customHeight="1" x14ac:dyDescent="0.2">
      <c r="B406" s="89"/>
      <c r="C406"/>
      <c r="D406"/>
      <c r="E406" s="69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  <c r="AA406"/>
    </row>
    <row r="407" spans="2:27" s="25" customFormat="1" ht="15.75" customHeight="1" x14ac:dyDescent="0.2">
      <c r="B407" s="89"/>
      <c r="C407"/>
      <c r="D407"/>
      <c r="E407" s="69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  <c r="AA407"/>
    </row>
    <row r="408" spans="2:27" s="25" customFormat="1" ht="15.75" customHeight="1" x14ac:dyDescent="0.2">
      <c r="B408" s="89"/>
      <c r="C408"/>
      <c r="D408"/>
      <c r="E408" s="69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</row>
    <row r="409" spans="2:27" s="25" customFormat="1" ht="15.75" customHeight="1" x14ac:dyDescent="0.2">
      <c r="B409" s="89"/>
      <c r="C409"/>
      <c r="D409"/>
      <c r="E409" s="6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</row>
    <row r="410" spans="2:27" s="25" customFormat="1" ht="15.75" customHeight="1" x14ac:dyDescent="0.2">
      <c r="B410" s="89"/>
      <c r="C410"/>
      <c r="D410"/>
      <c r="E410" s="69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</row>
    <row r="411" spans="2:27" s="25" customFormat="1" ht="15.75" customHeight="1" x14ac:dyDescent="0.2">
      <c r="B411" s="89"/>
      <c r="C411"/>
      <c r="D411"/>
      <c r="E411" s="69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  <c r="AA411"/>
    </row>
    <row r="412" spans="2:27" s="25" customFormat="1" ht="15.75" customHeight="1" x14ac:dyDescent="0.2">
      <c r="B412" s="89"/>
      <c r="C412"/>
      <c r="D412"/>
      <c r="E412" s="69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</row>
    <row r="413" spans="2:27" s="25" customFormat="1" ht="15.75" customHeight="1" x14ac:dyDescent="0.2">
      <c r="B413" s="89"/>
      <c r="C413"/>
      <c r="D413"/>
      <c r="E413" s="69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/>
    </row>
    <row r="414" spans="2:27" s="25" customFormat="1" ht="15.75" customHeight="1" x14ac:dyDescent="0.2">
      <c r="B414" s="89"/>
      <c r="C414"/>
      <c r="D414"/>
      <c r="E414" s="69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  <c r="AA414"/>
    </row>
    <row r="415" spans="2:27" s="25" customFormat="1" ht="15.75" customHeight="1" x14ac:dyDescent="0.2">
      <c r="B415" s="89"/>
      <c r="C415"/>
      <c r="D415"/>
      <c r="E415" s="69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  <c r="Z415"/>
      <c r="AA415"/>
    </row>
    <row r="416" spans="2:27" s="25" customFormat="1" ht="15.75" customHeight="1" x14ac:dyDescent="0.2">
      <c r="B416" s="89"/>
      <c r="C416"/>
      <c r="D416"/>
      <c r="E416" s="69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  <c r="AA416"/>
    </row>
    <row r="417" spans="2:27" s="25" customFormat="1" ht="15.75" customHeight="1" x14ac:dyDescent="0.2">
      <c r="B417" s="89"/>
      <c r="C417"/>
      <c r="D417"/>
      <c r="E417" s="69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  <c r="AA417"/>
    </row>
    <row r="418" spans="2:27" s="25" customFormat="1" ht="15.75" customHeight="1" x14ac:dyDescent="0.2">
      <c r="B418" s="89"/>
      <c r="C418"/>
      <c r="D418"/>
      <c r="E418" s="69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  <c r="AA418"/>
    </row>
    <row r="419" spans="2:27" s="25" customFormat="1" ht="15.75" customHeight="1" x14ac:dyDescent="0.2">
      <c r="B419" s="89"/>
      <c r="C419"/>
      <c r="D419"/>
      <c r="E419" s="6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  <c r="AA419"/>
    </row>
    <row r="420" spans="2:27" s="25" customFormat="1" ht="15.75" customHeight="1" x14ac:dyDescent="0.2">
      <c r="B420" s="89"/>
      <c r="C420"/>
      <c r="D420"/>
      <c r="E420" s="69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</row>
    <row r="421" spans="2:27" s="25" customFormat="1" ht="15.75" customHeight="1" x14ac:dyDescent="0.2">
      <c r="B421" s="89"/>
      <c r="C421"/>
      <c r="D421"/>
      <c r="E421" s="69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/>
      <c r="W421"/>
      <c r="X421"/>
      <c r="Y421"/>
      <c r="Z421"/>
      <c r="AA421"/>
    </row>
    <row r="422" spans="2:27" s="25" customFormat="1" ht="15.75" customHeight="1" x14ac:dyDescent="0.2">
      <c r="B422" s="89"/>
      <c r="C422"/>
      <c r="D422"/>
      <c r="E422" s="69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  <c r="AA422"/>
    </row>
    <row r="423" spans="2:27" s="25" customFormat="1" ht="15.75" customHeight="1" x14ac:dyDescent="0.2">
      <c r="B423" s="89"/>
      <c r="C423"/>
      <c r="D423"/>
      <c r="E423" s="69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  <c r="AA423"/>
    </row>
    <row r="424" spans="2:27" s="25" customFormat="1" ht="15.75" customHeight="1" x14ac:dyDescent="0.2">
      <c r="B424" s="89"/>
      <c r="C424"/>
      <c r="D424"/>
      <c r="E424" s="69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  <c r="AA424"/>
    </row>
    <row r="425" spans="2:27" s="25" customFormat="1" ht="15.75" customHeight="1" x14ac:dyDescent="0.2">
      <c r="B425" s="89"/>
      <c r="C425"/>
      <c r="D425"/>
      <c r="E425" s="69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  <c r="AA425"/>
    </row>
    <row r="426" spans="2:27" s="25" customFormat="1" ht="15.75" customHeight="1" x14ac:dyDescent="0.2">
      <c r="B426" s="89"/>
      <c r="C426"/>
      <c r="D426"/>
      <c r="E426" s="69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  <c r="AA426"/>
    </row>
    <row r="427" spans="2:27" s="25" customFormat="1" ht="15.75" customHeight="1" x14ac:dyDescent="0.2">
      <c r="B427" s="89"/>
      <c r="C427"/>
      <c r="D427"/>
      <c r="E427" s="69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  <c r="AA427"/>
    </row>
    <row r="428" spans="2:27" s="25" customFormat="1" ht="15.75" customHeight="1" x14ac:dyDescent="0.2">
      <c r="B428" s="89"/>
      <c r="C428"/>
      <c r="D428"/>
      <c r="E428" s="69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</row>
    <row r="429" spans="2:27" s="25" customFormat="1" ht="15.75" customHeight="1" x14ac:dyDescent="0.2">
      <c r="B429" s="89"/>
      <c r="C429"/>
      <c r="D429"/>
      <c r="E429" s="6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  <c r="AA429"/>
    </row>
    <row r="430" spans="2:27" s="25" customFormat="1" ht="15.75" customHeight="1" x14ac:dyDescent="0.2">
      <c r="B430" s="89"/>
      <c r="C430"/>
      <c r="D430"/>
      <c r="E430" s="69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  <c r="W430"/>
      <c r="X430"/>
      <c r="Y430"/>
      <c r="Z430"/>
      <c r="AA430"/>
    </row>
    <row r="431" spans="2:27" s="25" customFormat="1" ht="15.75" customHeight="1" x14ac:dyDescent="0.2">
      <c r="B431" s="89"/>
      <c r="C431"/>
      <c r="D431"/>
      <c r="E431" s="69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  <c r="Y431"/>
      <c r="Z431"/>
      <c r="AA431"/>
    </row>
    <row r="432" spans="2:27" s="25" customFormat="1" ht="15.75" customHeight="1" x14ac:dyDescent="0.2">
      <c r="B432" s="89"/>
      <c r="C432"/>
      <c r="D432"/>
      <c r="E432" s="69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  <c r="AA432"/>
    </row>
    <row r="433" spans="2:27" s="25" customFormat="1" ht="15.75" customHeight="1" x14ac:dyDescent="0.2">
      <c r="B433" s="89"/>
      <c r="C433"/>
      <c r="D433"/>
      <c r="E433" s="69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  <c r="AA433"/>
    </row>
    <row r="434" spans="2:27" s="25" customFormat="1" ht="15.75" customHeight="1" x14ac:dyDescent="0.2">
      <c r="B434" s="89"/>
      <c r="C434"/>
      <c r="D434"/>
      <c r="E434" s="69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  <c r="AA434"/>
    </row>
    <row r="435" spans="2:27" s="25" customFormat="1" ht="15.75" customHeight="1" x14ac:dyDescent="0.2">
      <c r="B435" s="89"/>
      <c r="C435"/>
      <c r="D435"/>
      <c r="E435" s="69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  <c r="V435"/>
      <c r="W435"/>
      <c r="X435"/>
      <c r="Y435"/>
      <c r="Z435"/>
      <c r="AA435"/>
    </row>
    <row r="436" spans="2:27" s="25" customFormat="1" ht="15.75" customHeight="1" x14ac:dyDescent="0.2">
      <c r="B436" s="89"/>
      <c r="C436"/>
      <c r="D436"/>
      <c r="E436" s="69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</row>
    <row r="437" spans="2:27" s="25" customFormat="1" ht="15.75" customHeight="1" x14ac:dyDescent="0.2">
      <c r="B437" s="89"/>
      <c r="C437"/>
      <c r="D437"/>
      <c r="E437" s="69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  <c r="Y437"/>
      <c r="Z437"/>
      <c r="AA437"/>
    </row>
    <row r="438" spans="2:27" s="25" customFormat="1" ht="15.75" customHeight="1" x14ac:dyDescent="0.2">
      <c r="B438" s="89"/>
      <c r="C438"/>
      <c r="D438"/>
      <c r="E438" s="69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  <c r="W438"/>
      <c r="X438"/>
      <c r="Y438"/>
      <c r="Z438"/>
      <c r="AA438"/>
    </row>
    <row r="439" spans="2:27" s="25" customFormat="1" ht="15.75" customHeight="1" x14ac:dyDescent="0.2">
      <c r="B439" s="89"/>
      <c r="C439"/>
      <c r="D439"/>
      <c r="E439" s="6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  <c r="AA439"/>
    </row>
    <row r="440" spans="2:27" s="25" customFormat="1" ht="15.75" customHeight="1" x14ac:dyDescent="0.2">
      <c r="B440" s="89"/>
      <c r="C440"/>
      <c r="D440"/>
      <c r="E440" s="69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</row>
    <row r="441" spans="2:27" s="25" customFormat="1" ht="15.75" customHeight="1" x14ac:dyDescent="0.2">
      <c r="B441" s="89"/>
      <c r="C441"/>
      <c r="D441"/>
      <c r="E441" s="69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/>
      <c r="W441"/>
      <c r="X441"/>
      <c r="Y441"/>
      <c r="Z441"/>
      <c r="AA441"/>
    </row>
    <row r="442" spans="2:27" s="25" customFormat="1" ht="15.75" customHeight="1" x14ac:dyDescent="0.2">
      <c r="B442" s="89"/>
      <c r="C442"/>
      <c r="D442"/>
      <c r="E442" s="69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  <c r="AA442"/>
    </row>
    <row r="443" spans="2:27" s="25" customFormat="1" ht="15.75" customHeight="1" x14ac:dyDescent="0.2">
      <c r="B443" s="89"/>
      <c r="C443"/>
      <c r="D443"/>
      <c r="E443" s="69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  <c r="AA443"/>
    </row>
    <row r="444" spans="2:27" s="25" customFormat="1" ht="15.75" customHeight="1" x14ac:dyDescent="0.2">
      <c r="B444" s="89"/>
      <c r="C444"/>
      <c r="D444"/>
      <c r="E444" s="69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  <c r="AA444"/>
    </row>
    <row r="445" spans="2:27" s="25" customFormat="1" ht="15.75" customHeight="1" x14ac:dyDescent="0.2">
      <c r="B445" s="89"/>
      <c r="C445"/>
      <c r="D445"/>
      <c r="E445" s="69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  <c r="V445"/>
      <c r="W445"/>
      <c r="X445"/>
      <c r="Y445"/>
      <c r="Z445"/>
      <c r="AA445"/>
    </row>
    <row r="446" spans="2:27" s="25" customFormat="1" ht="15.75" customHeight="1" x14ac:dyDescent="0.2">
      <c r="B446" s="89"/>
      <c r="C446"/>
      <c r="D446"/>
      <c r="E446" s="69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  <c r="Y446"/>
      <c r="Z446"/>
      <c r="AA446"/>
    </row>
    <row r="447" spans="2:27" s="25" customFormat="1" ht="15.75" customHeight="1" x14ac:dyDescent="0.2">
      <c r="B447" s="89"/>
      <c r="C447"/>
      <c r="D447"/>
      <c r="E447" s="69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  <c r="W447"/>
      <c r="X447"/>
      <c r="Y447"/>
      <c r="Z447"/>
      <c r="AA447"/>
    </row>
    <row r="448" spans="2:27" s="25" customFormat="1" ht="15.75" customHeight="1" x14ac:dyDescent="0.2">
      <c r="B448" s="89"/>
      <c r="C448"/>
      <c r="D448"/>
      <c r="E448" s="69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</row>
    <row r="449" spans="2:27" s="25" customFormat="1" ht="15.75" customHeight="1" x14ac:dyDescent="0.2">
      <c r="B449" s="89"/>
      <c r="C449"/>
      <c r="D449"/>
      <c r="E449" s="6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  <c r="W449"/>
      <c r="X449"/>
      <c r="Y449"/>
      <c r="Z449"/>
      <c r="AA449"/>
    </row>
    <row r="450" spans="2:27" s="25" customFormat="1" ht="15.75" customHeight="1" x14ac:dyDescent="0.2">
      <c r="B450" s="89"/>
      <c r="C450"/>
      <c r="D450"/>
      <c r="E450" s="69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  <c r="AA450"/>
    </row>
    <row r="451" spans="2:27" s="25" customFormat="1" ht="15.75" customHeight="1" x14ac:dyDescent="0.2">
      <c r="B451" s="89"/>
      <c r="C451"/>
      <c r="D451"/>
      <c r="E451" s="69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  <c r="AA451"/>
    </row>
    <row r="452" spans="2:27" s="25" customFormat="1" ht="15.75" customHeight="1" x14ac:dyDescent="0.2">
      <c r="B452" s="89"/>
      <c r="C452"/>
      <c r="D452"/>
      <c r="E452" s="69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</row>
    <row r="453" spans="2:27" s="25" customFormat="1" ht="15.75" customHeight="1" x14ac:dyDescent="0.2">
      <c r="B453" s="89"/>
      <c r="C453"/>
      <c r="D453"/>
      <c r="E453" s="69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  <c r="AA453"/>
    </row>
    <row r="454" spans="2:27" s="25" customFormat="1" ht="15.75" customHeight="1" x14ac:dyDescent="0.2">
      <c r="B454" s="89"/>
      <c r="C454"/>
      <c r="D454"/>
      <c r="E454" s="69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  <c r="AA454"/>
    </row>
    <row r="455" spans="2:27" s="25" customFormat="1" ht="15.75" customHeight="1" x14ac:dyDescent="0.2">
      <c r="B455" s="89"/>
      <c r="C455"/>
      <c r="D455"/>
      <c r="E455" s="69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  <c r="AA455"/>
    </row>
    <row r="456" spans="2:27" s="25" customFormat="1" ht="15.75" customHeight="1" x14ac:dyDescent="0.2">
      <c r="B456" s="89"/>
      <c r="C456"/>
      <c r="D456"/>
      <c r="E456" s="69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  <c r="AA456"/>
    </row>
    <row r="457" spans="2:27" s="25" customFormat="1" ht="15.75" customHeight="1" x14ac:dyDescent="0.2">
      <c r="B457" s="89"/>
      <c r="C457"/>
      <c r="D457"/>
      <c r="E457" s="69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  <c r="AA457"/>
    </row>
    <row r="458" spans="2:27" s="25" customFormat="1" ht="15.75" customHeight="1" x14ac:dyDescent="0.2">
      <c r="B458" s="89"/>
      <c r="C458"/>
      <c r="D458"/>
      <c r="E458" s="69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  <c r="V458"/>
      <c r="W458"/>
      <c r="X458"/>
      <c r="Y458"/>
      <c r="Z458"/>
      <c r="AA458"/>
    </row>
    <row r="459" spans="2:27" s="25" customFormat="1" ht="15.75" customHeight="1" x14ac:dyDescent="0.2">
      <c r="B459" s="89"/>
      <c r="C459"/>
      <c r="D459"/>
      <c r="E459" s="6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  <c r="AA459"/>
    </row>
    <row r="460" spans="2:27" s="25" customFormat="1" ht="15.75" customHeight="1" x14ac:dyDescent="0.2">
      <c r="B460" s="89"/>
      <c r="C460"/>
      <c r="D460"/>
      <c r="E460" s="69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  <c r="AA460"/>
    </row>
    <row r="461" spans="2:27" s="25" customFormat="1" ht="15.75" customHeight="1" x14ac:dyDescent="0.2">
      <c r="B461" s="89"/>
      <c r="C461"/>
      <c r="D461"/>
      <c r="E461" s="69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  <c r="AA461"/>
    </row>
    <row r="462" spans="2:27" s="25" customFormat="1" ht="15.75" customHeight="1" x14ac:dyDescent="0.2">
      <c r="B462" s="89"/>
      <c r="C462"/>
      <c r="D462"/>
      <c r="E462" s="69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  <c r="AA462"/>
    </row>
    <row r="463" spans="2:27" s="25" customFormat="1" ht="15.75" customHeight="1" x14ac:dyDescent="0.2">
      <c r="B463" s="89"/>
      <c r="C463"/>
      <c r="D463"/>
      <c r="E463" s="69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  <c r="AA463"/>
    </row>
    <row r="464" spans="2:27" s="25" customFormat="1" ht="15.75" customHeight="1" x14ac:dyDescent="0.2">
      <c r="B464" s="89"/>
      <c r="C464"/>
      <c r="D464"/>
      <c r="E464" s="69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  <c r="AA464"/>
    </row>
    <row r="465" spans="2:27" s="25" customFormat="1" ht="15.75" customHeight="1" x14ac:dyDescent="0.2">
      <c r="B465" s="89"/>
      <c r="C465"/>
      <c r="D465"/>
      <c r="E465" s="69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  <c r="AA465"/>
    </row>
    <row r="466" spans="2:27" s="25" customFormat="1" ht="15.75" customHeight="1" x14ac:dyDescent="0.2">
      <c r="B466" s="89"/>
      <c r="C466"/>
      <c r="D466"/>
      <c r="E466" s="69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  <c r="AA466"/>
    </row>
    <row r="467" spans="2:27" s="25" customFormat="1" ht="15.75" customHeight="1" x14ac:dyDescent="0.2">
      <c r="B467" s="89"/>
      <c r="C467"/>
      <c r="D467"/>
      <c r="E467" s="69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  <c r="AA467"/>
    </row>
    <row r="468" spans="2:27" s="25" customFormat="1" ht="15.75" customHeight="1" x14ac:dyDescent="0.2">
      <c r="B468" s="89"/>
      <c r="C468"/>
      <c r="D468"/>
      <c r="E468" s="69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</row>
    <row r="469" spans="2:27" s="25" customFormat="1" ht="15.75" customHeight="1" x14ac:dyDescent="0.2">
      <c r="B469" s="89"/>
      <c r="C469"/>
      <c r="D469"/>
      <c r="E469" s="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  <c r="AA469"/>
    </row>
    <row r="470" spans="2:27" s="25" customFormat="1" ht="15.75" customHeight="1" x14ac:dyDescent="0.2">
      <c r="B470" s="89"/>
      <c r="C470"/>
      <c r="D470"/>
      <c r="E470" s="69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  <c r="AA470"/>
    </row>
    <row r="471" spans="2:27" s="25" customFormat="1" ht="15.75" customHeight="1" x14ac:dyDescent="0.2">
      <c r="B471" s="89"/>
      <c r="C471"/>
      <c r="D471"/>
      <c r="E471" s="69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  <c r="AA471"/>
    </row>
    <row r="472" spans="2:27" s="25" customFormat="1" ht="15.75" customHeight="1" x14ac:dyDescent="0.2">
      <c r="B472" s="89"/>
      <c r="C472"/>
      <c r="D472"/>
      <c r="E472" s="69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  <c r="AA472"/>
    </row>
    <row r="473" spans="2:27" s="25" customFormat="1" ht="15.75" customHeight="1" x14ac:dyDescent="0.2">
      <c r="B473" s="89"/>
      <c r="C473"/>
      <c r="D473"/>
      <c r="E473" s="69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  <c r="W473"/>
      <c r="X473"/>
      <c r="Y473"/>
      <c r="Z473"/>
      <c r="AA473"/>
    </row>
    <row r="474" spans="2:27" s="25" customFormat="1" ht="15.75" customHeight="1" x14ac:dyDescent="0.2">
      <c r="B474" s="89"/>
      <c r="C474"/>
      <c r="D474"/>
      <c r="E474" s="69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/>
      <c r="W474"/>
      <c r="X474"/>
      <c r="Y474"/>
      <c r="Z474"/>
      <c r="AA474"/>
    </row>
    <row r="475" spans="2:27" s="25" customFormat="1" ht="15.75" customHeight="1" x14ac:dyDescent="0.2">
      <c r="B475" s="89"/>
      <c r="C475"/>
      <c r="D475"/>
      <c r="E475" s="69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  <c r="W475"/>
      <c r="X475"/>
      <c r="Y475"/>
      <c r="Z475"/>
      <c r="AA475"/>
    </row>
    <row r="476" spans="2:27" s="25" customFormat="1" ht="15.75" customHeight="1" x14ac:dyDescent="0.2">
      <c r="B476" s="89"/>
      <c r="C476"/>
      <c r="D476"/>
      <c r="E476" s="69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  <c r="W476"/>
      <c r="X476"/>
      <c r="Y476"/>
      <c r="Z476"/>
      <c r="AA476"/>
    </row>
    <row r="477" spans="2:27" s="25" customFormat="1" ht="15.75" customHeight="1" x14ac:dyDescent="0.2">
      <c r="B477" s="89"/>
      <c r="C477"/>
      <c r="D477"/>
      <c r="E477" s="69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  <c r="W477"/>
      <c r="X477"/>
      <c r="Y477"/>
      <c r="Z477"/>
      <c r="AA477"/>
    </row>
    <row r="478" spans="2:27" s="25" customFormat="1" ht="15.75" customHeight="1" x14ac:dyDescent="0.2">
      <c r="B478" s="89"/>
      <c r="C478"/>
      <c r="D478"/>
      <c r="E478" s="69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  <c r="W478"/>
      <c r="X478"/>
      <c r="Y478"/>
      <c r="Z478"/>
      <c r="AA478"/>
    </row>
    <row r="479" spans="2:27" s="25" customFormat="1" ht="15.75" customHeight="1" x14ac:dyDescent="0.2">
      <c r="B479" s="89"/>
      <c r="C479"/>
      <c r="D479"/>
      <c r="E479" s="6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  <c r="W479"/>
      <c r="X479"/>
      <c r="Y479"/>
      <c r="Z479"/>
      <c r="AA479"/>
    </row>
    <row r="480" spans="2:27" s="25" customFormat="1" ht="15.75" customHeight="1" x14ac:dyDescent="0.2">
      <c r="B480" s="89"/>
      <c r="C480"/>
      <c r="D480"/>
      <c r="E480" s="69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  <c r="AA480"/>
    </row>
    <row r="481" spans="2:27" s="25" customFormat="1" ht="15.75" customHeight="1" x14ac:dyDescent="0.2">
      <c r="B481" s="89"/>
      <c r="C481"/>
      <c r="D481"/>
      <c r="E481" s="69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  <c r="V481"/>
      <c r="W481"/>
      <c r="X481"/>
      <c r="Y481"/>
      <c r="Z481"/>
      <c r="AA481"/>
    </row>
    <row r="482" spans="2:27" s="25" customFormat="1" ht="15.75" customHeight="1" x14ac:dyDescent="0.2">
      <c r="B482" s="89"/>
      <c r="C482"/>
      <c r="D482"/>
      <c r="E482" s="69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  <c r="W482"/>
      <c r="X482"/>
      <c r="Y482"/>
      <c r="Z482"/>
      <c r="AA482"/>
    </row>
    <row r="483" spans="2:27" s="25" customFormat="1" ht="15.75" customHeight="1" x14ac:dyDescent="0.2">
      <c r="B483" s="89"/>
      <c r="C483"/>
      <c r="D483"/>
      <c r="E483" s="69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  <c r="W483"/>
      <c r="X483"/>
      <c r="Y483"/>
      <c r="Z483"/>
      <c r="AA483"/>
    </row>
    <row r="484" spans="2:27" s="25" customFormat="1" ht="15.75" customHeight="1" x14ac:dyDescent="0.2">
      <c r="B484" s="89"/>
      <c r="C484"/>
      <c r="D484"/>
      <c r="E484" s="69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  <c r="AA484"/>
    </row>
    <row r="485" spans="2:27" s="25" customFormat="1" ht="15.75" customHeight="1" x14ac:dyDescent="0.2">
      <c r="B485" s="89"/>
      <c r="C485"/>
      <c r="D485"/>
      <c r="E485" s="69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  <c r="W485"/>
      <c r="X485"/>
      <c r="Y485"/>
      <c r="Z485"/>
      <c r="AA485"/>
    </row>
    <row r="486" spans="2:27" s="25" customFormat="1" ht="15.75" customHeight="1" x14ac:dyDescent="0.2">
      <c r="B486" s="89"/>
      <c r="C486"/>
      <c r="D486"/>
      <c r="E486" s="69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  <c r="V486"/>
      <c r="W486"/>
      <c r="X486"/>
      <c r="Y486"/>
      <c r="Z486"/>
      <c r="AA486"/>
    </row>
    <row r="487" spans="2:27" s="25" customFormat="1" ht="15.75" customHeight="1" x14ac:dyDescent="0.2">
      <c r="B487" s="89"/>
      <c r="C487"/>
      <c r="D487"/>
      <c r="E487" s="69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  <c r="V487"/>
      <c r="W487"/>
      <c r="X487"/>
      <c r="Y487"/>
      <c r="Z487"/>
      <c r="AA487"/>
    </row>
    <row r="488" spans="2:27" s="25" customFormat="1" ht="15.75" customHeight="1" x14ac:dyDescent="0.2">
      <c r="B488" s="89"/>
      <c r="C488"/>
      <c r="D488"/>
      <c r="E488" s="69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  <c r="AA488"/>
    </row>
    <row r="489" spans="2:27" s="25" customFormat="1" ht="15.75" customHeight="1" x14ac:dyDescent="0.2">
      <c r="B489" s="89"/>
      <c r="C489"/>
      <c r="D489"/>
      <c r="E489" s="6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  <c r="W489"/>
      <c r="X489"/>
      <c r="Y489"/>
      <c r="Z489"/>
      <c r="AA489"/>
    </row>
    <row r="490" spans="2:27" s="25" customFormat="1" ht="15.75" customHeight="1" x14ac:dyDescent="0.2">
      <c r="B490" s="89"/>
      <c r="C490"/>
      <c r="D490"/>
      <c r="E490" s="69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  <c r="V490"/>
      <c r="W490"/>
      <c r="X490"/>
      <c r="Y490"/>
      <c r="Z490"/>
      <c r="AA490"/>
    </row>
    <row r="491" spans="2:27" s="25" customFormat="1" ht="15.75" customHeight="1" x14ac:dyDescent="0.2">
      <c r="B491" s="89"/>
      <c r="C491"/>
      <c r="D491"/>
      <c r="E491" s="69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  <c r="V491"/>
      <c r="W491"/>
      <c r="X491"/>
      <c r="Y491"/>
      <c r="Z491"/>
      <c r="AA491"/>
    </row>
    <row r="492" spans="2:27" s="25" customFormat="1" ht="15.75" customHeight="1" x14ac:dyDescent="0.2">
      <c r="B492" s="89"/>
      <c r="C492"/>
      <c r="D492"/>
      <c r="E492" s="69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  <c r="AA492"/>
    </row>
    <row r="493" spans="2:27" s="25" customFormat="1" ht="15.75" customHeight="1" x14ac:dyDescent="0.2">
      <c r="B493" s="89"/>
      <c r="C493"/>
      <c r="D493"/>
      <c r="E493" s="69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  <c r="W493"/>
      <c r="X493"/>
      <c r="Y493"/>
      <c r="Z493"/>
      <c r="AA493"/>
    </row>
    <row r="494" spans="2:27" s="25" customFormat="1" ht="15.75" customHeight="1" x14ac:dyDescent="0.2">
      <c r="B494" s="89"/>
      <c r="C494"/>
      <c r="D494"/>
      <c r="E494" s="69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  <c r="W494"/>
      <c r="X494"/>
      <c r="Y494"/>
      <c r="Z494"/>
      <c r="AA494"/>
    </row>
    <row r="495" spans="2:27" s="25" customFormat="1" ht="15.75" customHeight="1" x14ac:dyDescent="0.2">
      <c r="B495" s="89"/>
      <c r="C495"/>
      <c r="D495"/>
      <c r="E495" s="69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  <c r="V495"/>
      <c r="W495"/>
      <c r="X495"/>
      <c r="Y495"/>
      <c r="Z495"/>
      <c r="AA495"/>
    </row>
    <row r="496" spans="2:27" s="25" customFormat="1" ht="15.75" customHeight="1" x14ac:dyDescent="0.2">
      <c r="B496" s="89"/>
      <c r="C496"/>
      <c r="D496"/>
      <c r="E496" s="69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  <c r="W496"/>
      <c r="X496"/>
      <c r="Y496"/>
      <c r="Z496"/>
      <c r="AA496"/>
    </row>
    <row r="497" spans="2:27" s="25" customFormat="1" ht="15.75" customHeight="1" x14ac:dyDescent="0.2">
      <c r="B497" s="89"/>
      <c r="C497"/>
      <c r="D497"/>
      <c r="E497" s="69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  <c r="W497"/>
      <c r="X497"/>
      <c r="Y497"/>
      <c r="Z497"/>
      <c r="AA497"/>
    </row>
    <row r="498" spans="2:27" s="25" customFormat="1" ht="15.75" customHeight="1" x14ac:dyDescent="0.2">
      <c r="B498" s="89"/>
      <c r="C498"/>
      <c r="D498"/>
      <c r="E498" s="69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  <c r="W498"/>
      <c r="X498"/>
      <c r="Y498"/>
      <c r="Z498"/>
      <c r="AA498"/>
    </row>
    <row r="499" spans="2:27" s="25" customFormat="1" ht="15.75" customHeight="1" x14ac:dyDescent="0.2">
      <c r="B499" s="89"/>
      <c r="C499"/>
      <c r="D499"/>
      <c r="E499" s="6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  <c r="W499"/>
      <c r="X499"/>
      <c r="Y499"/>
      <c r="Z499"/>
      <c r="AA499"/>
    </row>
    <row r="500" spans="2:27" s="25" customFormat="1" ht="15.75" customHeight="1" x14ac:dyDescent="0.2">
      <c r="B500" s="89"/>
      <c r="C500"/>
      <c r="D500"/>
      <c r="E500" s="69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  <c r="AA500"/>
    </row>
    <row r="501" spans="2:27" s="25" customFormat="1" ht="15.75" customHeight="1" x14ac:dyDescent="0.2">
      <c r="B501" s="89"/>
      <c r="C501"/>
      <c r="D501"/>
      <c r="E501" s="69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/>
      <c r="W501"/>
      <c r="X501"/>
      <c r="Y501"/>
      <c r="Z501"/>
      <c r="AA501"/>
    </row>
    <row r="502" spans="2:27" s="25" customFormat="1" ht="15.75" customHeight="1" x14ac:dyDescent="0.2">
      <c r="B502" s="89"/>
      <c r="C502"/>
      <c r="D502"/>
      <c r="E502" s="69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  <c r="W502"/>
      <c r="X502"/>
      <c r="Y502"/>
      <c r="Z502"/>
      <c r="AA502"/>
    </row>
    <row r="503" spans="2:27" s="25" customFormat="1" ht="15.75" customHeight="1" x14ac:dyDescent="0.2">
      <c r="B503" s="89"/>
      <c r="C503"/>
      <c r="D503"/>
      <c r="E503" s="69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  <c r="AA503"/>
    </row>
    <row r="504" spans="2:27" s="25" customFormat="1" ht="15.75" customHeight="1" x14ac:dyDescent="0.2">
      <c r="B504" s="89"/>
      <c r="C504"/>
      <c r="D504"/>
      <c r="E504" s="69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  <c r="V504"/>
      <c r="W504"/>
      <c r="X504"/>
      <c r="Y504"/>
      <c r="Z504"/>
      <c r="AA504"/>
    </row>
    <row r="505" spans="2:27" s="25" customFormat="1" ht="15.75" customHeight="1" x14ac:dyDescent="0.2">
      <c r="B505" s="89"/>
      <c r="C505"/>
      <c r="D505"/>
      <c r="E505" s="69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  <c r="V505"/>
      <c r="W505"/>
      <c r="X505"/>
      <c r="Y505"/>
      <c r="Z505"/>
      <c r="AA505"/>
    </row>
    <row r="506" spans="2:27" s="25" customFormat="1" ht="15.75" customHeight="1" x14ac:dyDescent="0.2">
      <c r="B506" s="89"/>
      <c r="C506"/>
      <c r="D506"/>
      <c r="E506" s="69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  <c r="V506"/>
      <c r="W506"/>
      <c r="X506"/>
      <c r="Y506"/>
      <c r="Z506"/>
      <c r="AA506"/>
    </row>
    <row r="507" spans="2:27" s="25" customFormat="1" ht="15.75" customHeight="1" x14ac:dyDescent="0.2">
      <c r="B507" s="89"/>
      <c r="C507"/>
      <c r="D507"/>
      <c r="E507" s="69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  <c r="V507"/>
      <c r="W507"/>
      <c r="X507"/>
      <c r="Y507"/>
      <c r="Z507"/>
      <c r="AA507"/>
    </row>
    <row r="508" spans="2:27" s="25" customFormat="1" ht="15.75" customHeight="1" x14ac:dyDescent="0.2">
      <c r="B508" s="89"/>
      <c r="C508"/>
      <c r="D508"/>
      <c r="E508" s="69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  <c r="V508"/>
      <c r="W508"/>
      <c r="X508"/>
      <c r="Y508"/>
      <c r="Z508"/>
      <c r="AA508"/>
    </row>
    <row r="509" spans="2:27" s="25" customFormat="1" ht="15.75" customHeight="1" x14ac:dyDescent="0.2">
      <c r="B509" s="89"/>
      <c r="C509"/>
      <c r="D509"/>
      <c r="E509" s="6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  <c r="V509"/>
      <c r="W509"/>
      <c r="X509"/>
      <c r="Y509"/>
      <c r="Z509"/>
      <c r="AA509"/>
    </row>
    <row r="510" spans="2:27" s="25" customFormat="1" ht="15.75" customHeight="1" x14ac:dyDescent="0.2">
      <c r="B510" s="89"/>
      <c r="C510"/>
      <c r="D510"/>
      <c r="E510" s="69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  <c r="V510"/>
      <c r="W510"/>
      <c r="X510"/>
      <c r="Y510"/>
      <c r="Z510"/>
      <c r="AA510"/>
    </row>
    <row r="511" spans="2:27" s="25" customFormat="1" ht="15.75" customHeight="1" x14ac:dyDescent="0.2">
      <c r="B511" s="89"/>
      <c r="C511"/>
      <c r="D511"/>
      <c r="E511" s="69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  <c r="V511"/>
      <c r="W511"/>
      <c r="X511"/>
      <c r="Y511"/>
      <c r="Z511"/>
      <c r="AA511"/>
    </row>
    <row r="512" spans="2:27" s="25" customFormat="1" ht="15.75" customHeight="1" x14ac:dyDescent="0.2">
      <c r="B512" s="89"/>
      <c r="C512"/>
      <c r="D512"/>
      <c r="E512" s="69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  <c r="V512"/>
      <c r="W512"/>
      <c r="X512"/>
      <c r="Y512"/>
      <c r="Z512"/>
      <c r="AA512"/>
    </row>
    <row r="513" spans="2:27" s="25" customFormat="1" ht="15.75" customHeight="1" x14ac:dyDescent="0.2">
      <c r="B513" s="89"/>
      <c r="C513"/>
      <c r="D513"/>
      <c r="E513" s="69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  <c r="V513"/>
      <c r="W513"/>
      <c r="X513"/>
      <c r="Y513"/>
      <c r="Z513"/>
      <c r="AA513"/>
    </row>
    <row r="514" spans="2:27" s="25" customFormat="1" ht="15.75" customHeight="1" x14ac:dyDescent="0.2">
      <c r="B514" s="89"/>
      <c r="C514"/>
      <c r="D514"/>
      <c r="E514" s="69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  <c r="V514"/>
      <c r="W514"/>
      <c r="X514"/>
      <c r="Y514"/>
      <c r="Z514"/>
      <c r="AA514"/>
    </row>
    <row r="515" spans="2:27" s="25" customFormat="1" ht="15.75" customHeight="1" x14ac:dyDescent="0.2">
      <c r="B515" s="89"/>
      <c r="C515"/>
      <c r="D515"/>
      <c r="E515" s="69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  <c r="V515"/>
      <c r="W515"/>
      <c r="X515"/>
      <c r="Y515"/>
      <c r="Z515"/>
      <c r="AA515"/>
    </row>
    <row r="516" spans="2:27" s="25" customFormat="1" ht="15.75" customHeight="1" x14ac:dyDescent="0.2">
      <c r="B516" s="89"/>
      <c r="C516"/>
      <c r="D516"/>
      <c r="E516" s="69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  <c r="V516"/>
      <c r="W516"/>
      <c r="X516"/>
      <c r="Y516"/>
      <c r="Z516"/>
      <c r="AA516"/>
    </row>
    <row r="517" spans="2:27" s="25" customFormat="1" ht="15.75" customHeight="1" x14ac:dyDescent="0.2">
      <c r="B517" s="89"/>
      <c r="C517"/>
      <c r="D517"/>
      <c r="E517" s="69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  <c r="V517"/>
      <c r="W517"/>
      <c r="X517"/>
      <c r="Y517"/>
      <c r="Z517"/>
      <c r="AA517"/>
    </row>
    <row r="518" spans="2:27" s="25" customFormat="1" ht="15.75" customHeight="1" x14ac:dyDescent="0.2">
      <c r="B518" s="89"/>
      <c r="C518"/>
      <c r="D518"/>
      <c r="E518" s="69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  <c r="V518"/>
      <c r="W518"/>
      <c r="X518"/>
      <c r="Y518"/>
      <c r="Z518"/>
      <c r="AA518"/>
    </row>
    <row r="519" spans="2:27" s="25" customFormat="1" ht="15.75" customHeight="1" x14ac:dyDescent="0.2">
      <c r="B519" s="89"/>
      <c r="C519"/>
      <c r="D519"/>
      <c r="E519" s="6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  <c r="V519"/>
      <c r="W519"/>
      <c r="X519"/>
      <c r="Y519"/>
      <c r="Z519"/>
      <c r="AA519"/>
    </row>
    <row r="520" spans="2:27" s="25" customFormat="1" ht="15.75" customHeight="1" x14ac:dyDescent="0.2">
      <c r="B520" s="89"/>
      <c r="C520"/>
      <c r="D520"/>
      <c r="E520" s="69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  <c r="V520"/>
      <c r="W520"/>
      <c r="X520"/>
      <c r="Y520"/>
      <c r="Z520"/>
      <c r="AA520"/>
    </row>
    <row r="521" spans="2:27" s="25" customFormat="1" ht="15.75" customHeight="1" x14ac:dyDescent="0.2">
      <c r="B521" s="89"/>
      <c r="C521"/>
      <c r="D521"/>
      <c r="E521" s="69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  <c r="V521"/>
      <c r="W521"/>
      <c r="X521"/>
      <c r="Y521"/>
      <c r="Z521"/>
      <c r="AA521"/>
    </row>
    <row r="522" spans="2:27" s="25" customFormat="1" ht="15.75" customHeight="1" x14ac:dyDescent="0.2">
      <c r="B522" s="89"/>
      <c r="C522"/>
      <c r="D522"/>
      <c r="E522" s="69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  <c r="V522"/>
      <c r="W522"/>
      <c r="X522"/>
      <c r="Y522"/>
      <c r="Z522"/>
      <c r="AA522"/>
    </row>
    <row r="523" spans="2:27" s="25" customFormat="1" ht="15.75" customHeight="1" x14ac:dyDescent="0.2">
      <c r="B523" s="89"/>
      <c r="C523"/>
      <c r="D523"/>
      <c r="E523" s="69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  <c r="V523"/>
      <c r="W523"/>
      <c r="X523"/>
      <c r="Y523"/>
      <c r="Z523"/>
      <c r="AA523"/>
    </row>
    <row r="524" spans="2:27" s="25" customFormat="1" ht="15.75" customHeight="1" x14ac:dyDescent="0.2">
      <c r="B524" s="89"/>
      <c r="C524"/>
      <c r="D524"/>
      <c r="E524" s="69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  <c r="V524"/>
      <c r="W524"/>
      <c r="X524"/>
      <c r="Y524"/>
      <c r="Z524"/>
      <c r="AA524"/>
    </row>
    <row r="525" spans="2:27" s="25" customFormat="1" ht="15.75" customHeight="1" x14ac:dyDescent="0.2">
      <c r="B525" s="89"/>
      <c r="C525"/>
      <c r="D525"/>
      <c r="E525" s="69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  <c r="V525"/>
      <c r="W525"/>
      <c r="X525"/>
      <c r="Y525"/>
      <c r="Z525"/>
      <c r="AA525"/>
    </row>
    <row r="526" spans="2:27" s="25" customFormat="1" ht="15.75" customHeight="1" x14ac:dyDescent="0.2">
      <c r="B526" s="89"/>
      <c r="C526"/>
      <c r="D526"/>
      <c r="E526" s="69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  <c r="V526"/>
      <c r="W526"/>
      <c r="X526"/>
      <c r="Y526"/>
      <c r="Z526"/>
      <c r="AA526"/>
    </row>
    <row r="527" spans="2:27" s="25" customFormat="1" ht="15.75" customHeight="1" x14ac:dyDescent="0.2">
      <c r="B527" s="89"/>
      <c r="C527"/>
      <c r="D527"/>
      <c r="E527" s="69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  <c r="V527"/>
      <c r="W527"/>
      <c r="X527"/>
      <c r="Y527"/>
      <c r="Z527"/>
      <c r="AA527"/>
    </row>
    <row r="528" spans="2:27" s="25" customFormat="1" ht="15.75" customHeight="1" x14ac:dyDescent="0.2">
      <c r="B528" s="89"/>
      <c r="C528"/>
      <c r="D528"/>
      <c r="E528" s="69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  <c r="V528"/>
      <c r="W528"/>
      <c r="X528"/>
      <c r="Y528"/>
      <c r="Z528"/>
      <c r="AA528"/>
    </row>
    <row r="529" spans="2:27" s="25" customFormat="1" ht="15.75" customHeight="1" x14ac:dyDescent="0.2">
      <c r="B529" s="89"/>
      <c r="C529"/>
      <c r="D529"/>
      <c r="E529" s="6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  <c r="V529"/>
      <c r="W529"/>
      <c r="X529"/>
      <c r="Y529"/>
      <c r="Z529"/>
      <c r="AA529"/>
    </row>
    <row r="530" spans="2:27" s="25" customFormat="1" ht="15.75" customHeight="1" x14ac:dyDescent="0.2">
      <c r="B530" s="89"/>
      <c r="C530"/>
      <c r="D530"/>
      <c r="E530" s="69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  <c r="V530"/>
      <c r="W530"/>
      <c r="X530"/>
      <c r="Y530"/>
      <c r="Z530"/>
      <c r="AA530"/>
    </row>
    <row r="531" spans="2:27" s="25" customFormat="1" ht="15.75" customHeight="1" x14ac:dyDescent="0.2">
      <c r="B531" s="89"/>
      <c r="C531"/>
      <c r="D531"/>
      <c r="E531" s="69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  <c r="V531"/>
      <c r="W531"/>
      <c r="X531"/>
      <c r="Y531"/>
      <c r="Z531"/>
      <c r="AA531"/>
    </row>
    <row r="532" spans="2:27" s="25" customFormat="1" ht="15.75" customHeight="1" x14ac:dyDescent="0.2">
      <c r="B532" s="89"/>
      <c r="C532"/>
      <c r="D532"/>
      <c r="E532" s="69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  <c r="V532"/>
      <c r="W532"/>
      <c r="X532"/>
      <c r="Y532"/>
      <c r="Z532"/>
      <c r="AA532"/>
    </row>
    <row r="533" spans="2:27" s="25" customFormat="1" ht="15.75" customHeight="1" x14ac:dyDescent="0.2">
      <c r="B533" s="89"/>
      <c r="C533"/>
      <c r="D533"/>
      <c r="E533" s="69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  <c r="V533"/>
      <c r="W533"/>
      <c r="X533"/>
      <c r="Y533"/>
      <c r="Z533"/>
      <c r="AA533"/>
    </row>
    <row r="534" spans="2:27" s="25" customFormat="1" ht="15.75" customHeight="1" x14ac:dyDescent="0.2">
      <c r="B534" s="89"/>
      <c r="C534"/>
      <c r="D534"/>
      <c r="E534" s="69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  <c r="V534"/>
      <c r="W534"/>
      <c r="X534"/>
      <c r="Y534"/>
      <c r="Z534"/>
      <c r="AA534"/>
    </row>
    <row r="535" spans="2:27" s="25" customFormat="1" ht="15.75" customHeight="1" x14ac:dyDescent="0.2">
      <c r="B535" s="89"/>
      <c r="C535"/>
      <c r="D535"/>
      <c r="E535" s="69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  <c r="V535"/>
      <c r="W535"/>
      <c r="X535"/>
      <c r="Y535"/>
      <c r="Z535"/>
      <c r="AA535"/>
    </row>
    <row r="536" spans="2:27" s="25" customFormat="1" ht="15.75" customHeight="1" x14ac:dyDescent="0.2">
      <c r="B536" s="89"/>
      <c r="C536"/>
      <c r="D536"/>
      <c r="E536" s="69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  <c r="V536"/>
      <c r="W536"/>
      <c r="X536"/>
      <c r="Y536"/>
      <c r="Z536"/>
      <c r="AA536"/>
    </row>
    <row r="537" spans="2:27" s="25" customFormat="1" ht="15.75" customHeight="1" x14ac:dyDescent="0.2">
      <c r="B537" s="89"/>
      <c r="C537"/>
      <c r="D537"/>
      <c r="E537" s="69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  <c r="V537"/>
      <c r="W537"/>
      <c r="X537"/>
      <c r="Y537"/>
      <c r="Z537"/>
      <c r="AA537"/>
    </row>
    <row r="538" spans="2:27" s="25" customFormat="1" ht="15.75" customHeight="1" x14ac:dyDescent="0.2">
      <c r="B538" s="89"/>
      <c r="C538"/>
      <c r="D538"/>
      <c r="E538" s="69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  <c r="V538"/>
      <c r="W538"/>
      <c r="X538"/>
      <c r="Y538"/>
      <c r="Z538"/>
      <c r="AA538"/>
    </row>
    <row r="539" spans="2:27" s="25" customFormat="1" ht="15.75" customHeight="1" x14ac:dyDescent="0.2">
      <c r="B539" s="89"/>
      <c r="C539"/>
      <c r="D539"/>
      <c r="E539" s="6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  <c r="V539"/>
      <c r="W539"/>
      <c r="X539"/>
      <c r="Y539"/>
      <c r="Z539"/>
      <c r="AA539"/>
    </row>
    <row r="540" spans="2:27" s="25" customFormat="1" ht="15.75" customHeight="1" x14ac:dyDescent="0.2">
      <c r="B540" s="89"/>
      <c r="C540"/>
      <c r="D540"/>
      <c r="E540" s="69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  <c r="V540"/>
      <c r="W540"/>
      <c r="X540"/>
      <c r="Y540"/>
      <c r="Z540"/>
      <c r="AA540"/>
    </row>
    <row r="541" spans="2:27" s="25" customFormat="1" ht="15.75" customHeight="1" x14ac:dyDescent="0.2">
      <c r="B541" s="89"/>
      <c r="C541"/>
      <c r="D541"/>
      <c r="E541" s="69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  <c r="V541"/>
      <c r="W541"/>
      <c r="X541"/>
      <c r="Y541"/>
      <c r="Z541"/>
      <c r="AA541"/>
    </row>
    <row r="542" spans="2:27" s="25" customFormat="1" ht="15.75" customHeight="1" x14ac:dyDescent="0.2">
      <c r="B542" s="89"/>
      <c r="C542"/>
      <c r="D542"/>
      <c r="E542" s="69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  <c r="V542"/>
      <c r="W542"/>
      <c r="X542"/>
      <c r="Y542"/>
      <c r="Z542"/>
      <c r="AA542"/>
    </row>
    <row r="543" spans="2:27" s="25" customFormat="1" ht="15.75" customHeight="1" x14ac:dyDescent="0.2">
      <c r="B543" s="89"/>
      <c r="C543"/>
      <c r="D543"/>
      <c r="E543" s="69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  <c r="V543"/>
      <c r="W543"/>
      <c r="X543"/>
      <c r="Y543"/>
      <c r="Z543"/>
      <c r="AA543"/>
    </row>
    <row r="544" spans="2:27" s="25" customFormat="1" ht="15.75" customHeight="1" x14ac:dyDescent="0.2">
      <c r="B544" s="89"/>
      <c r="C544"/>
      <c r="D544"/>
      <c r="E544" s="69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  <c r="V544"/>
      <c r="W544"/>
      <c r="X544"/>
      <c r="Y544"/>
      <c r="Z544"/>
      <c r="AA544"/>
    </row>
    <row r="545" spans="2:27" s="25" customFormat="1" ht="15.75" customHeight="1" x14ac:dyDescent="0.2">
      <c r="B545" s="89"/>
      <c r="C545"/>
      <c r="D545"/>
      <c r="E545" s="69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  <c r="V545"/>
      <c r="W545"/>
      <c r="X545"/>
      <c r="Y545"/>
      <c r="Z545"/>
      <c r="AA545"/>
    </row>
    <row r="546" spans="2:27" s="25" customFormat="1" ht="15.75" customHeight="1" x14ac:dyDescent="0.2">
      <c r="B546" s="89"/>
      <c r="C546"/>
      <c r="D546"/>
      <c r="E546" s="69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  <c r="V546"/>
      <c r="W546"/>
      <c r="X546"/>
      <c r="Y546"/>
      <c r="Z546"/>
      <c r="AA546"/>
    </row>
    <row r="547" spans="2:27" s="25" customFormat="1" ht="15.75" customHeight="1" x14ac:dyDescent="0.2">
      <c r="B547" s="89"/>
      <c r="C547"/>
      <c r="D547"/>
      <c r="E547" s="69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  <c r="V547"/>
      <c r="W547"/>
      <c r="X547"/>
      <c r="Y547"/>
      <c r="Z547"/>
      <c r="AA547"/>
    </row>
    <row r="548" spans="2:27" s="25" customFormat="1" ht="15.75" customHeight="1" x14ac:dyDescent="0.2">
      <c r="B548" s="89"/>
      <c r="C548"/>
      <c r="D548"/>
      <c r="E548" s="69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  <c r="V548"/>
      <c r="W548"/>
      <c r="X548"/>
      <c r="Y548"/>
      <c r="Z548"/>
      <c r="AA548"/>
    </row>
    <row r="549" spans="2:27" s="25" customFormat="1" ht="15.75" customHeight="1" x14ac:dyDescent="0.2">
      <c r="B549" s="89"/>
      <c r="C549"/>
      <c r="D549"/>
      <c r="E549" s="6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  <c r="U549"/>
      <c r="V549"/>
      <c r="W549"/>
      <c r="X549"/>
      <c r="Y549"/>
      <c r="Z549"/>
      <c r="AA549"/>
    </row>
    <row r="550" spans="2:27" s="25" customFormat="1" ht="15.75" customHeight="1" x14ac:dyDescent="0.2">
      <c r="B550" s="89"/>
      <c r="C550"/>
      <c r="D550"/>
      <c r="E550" s="69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  <c r="V550"/>
      <c r="W550"/>
      <c r="X550"/>
      <c r="Y550"/>
      <c r="Z550"/>
      <c r="AA550"/>
    </row>
    <row r="551" spans="2:27" s="25" customFormat="1" ht="15.75" customHeight="1" x14ac:dyDescent="0.2">
      <c r="B551" s="89"/>
      <c r="C551"/>
      <c r="D551"/>
      <c r="E551" s="69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  <c r="V551"/>
      <c r="W551"/>
      <c r="X551"/>
      <c r="Y551"/>
      <c r="Z551"/>
      <c r="AA551"/>
    </row>
    <row r="552" spans="2:27" s="25" customFormat="1" ht="15.75" customHeight="1" x14ac:dyDescent="0.2">
      <c r="B552" s="89"/>
      <c r="C552"/>
      <c r="D552"/>
      <c r="E552" s="69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  <c r="V552"/>
      <c r="W552"/>
      <c r="X552"/>
      <c r="Y552"/>
      <c r="Z552"/>
      <c r="AA552"/>
    </row>
    <row r="553" spans="2:27" s="25" customFormat="1" ht="15.75" customHeight="1" x14ac:dyDescent="0.2">
      <c r="B553" s="89"/>
      <c r="C553"/>
      <c r="D553"/>
      <c r="E553" s="69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  <c r="V553"/>
      <c r="W553"/>
      <c r="X553"/>
      <c r="Y553"/>
      <c r="Z553"/>
      <c r="AA553"/>
    </row>
    <row r="554" spans="2:27" s="25" customFormat="1" ht="15.75" customHeight="1" x14ac:dyDescent="0.2">
      <c r="B554" s="89"/>
      <c r="C554"/>
      <c r="D554"/>
      <c r="E554" s="69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  <c r="V554"/>
      <c r="W554"/>
      <c r="X554"/>
      <c r="Y554"/>
      <c r="Z554"/>
      <c r="AA554"/>
    </row>
    <row r="555" spans="2:27" s="25" customFormat="1" ht="15.75" customHeight="1" x14ac:dyDescent="0.2">
      <c r="B555" s="89"/>
      <c r="C555"/>
      <c r="D555"/>
      <c r="E555" s="69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  <c r="V555"/>
      <c r="W555"/>
      <c r="X555"/>
      <c r="Y555"/>
      <c r="Z555"/>
      <c r="AA555"/>
    </row>
    <row r="556" spans="2:27" s="25" customFormat="1" ht="15.75" customHeight="1" x14ac:dyDescent="0.2">
      <c r="B556" s="89"/>
      <c r="C556"/>
      <c r="D556"/>
      <c r="E556" s="69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  <c r="V556"/>
      <c r="W556"/>
      <c r="X556"/>
      <c r="Y556"/>
      <c r="Z556"/>
      <c r="AA556"/>
    </row>
    <row r="557" spans="2:27" s="25" customFormat="1" ht="15.75" customHeight="1" x14ac:dyDescent="0.2">
      <c r="B557" s="89"/>
      <c r="C557"/>
      <c r="D557"/>
      <c r="E557" s="69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  <c r="V557"/>
      <c r="W557"/>
      <c r="X557"/>
      <c r="Y557"/>
      <c r="Z557"/>
      <c r="AA557"/>
    </row>
    <row r="558" spans="2:27" s="25" customFormat="1" ht="15.75" customHeight="1" x14ac:dyDescent="0.2">
      <c r="B558" s="89"/>
      <c r="C558"/>
      <c r="D558"/>
      <c r="E558" s="69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  <c r="V558"/>
      <c r="W558"/>
      <c r="X558"/>
      <c r="Y558"/>
      <c r="Z558"/>
      <c r="AA558"/>
    </row>
    <row r="559" spans="2:27" s="25" customFormat="1" ht="15.75" customHeight="1" x14ac:dyDescent="0.2">
      <c r="B559" s="89"/>
      <c r="C559"/>
      <c r="D559"/>
      <c r="E559" s="6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  <c r="V559"/>
      <c r="W559"/>
      <c r="X559"/>
      <c r="Y559"/>
      <c r="Z559"/>
      <c r="AA559"/>
    </row>
    <row r="560" spans="2:27" s="25" customFormat="1" ht="15.75" customHeight="1" x14ac:dyDescent="0.2">
      <c r="B560" s="89"/>
      <c r="C560"/>
      <c r="D560"/>
      <c r="E560" s="69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  <c r="V560"/>
      <c r="W560"/>
      <c r="X560"/>
      <c r="Y560"/>
      <c r="Z560"/>
      <c r="AA560"/>
    </row>
    <row r="561" spans="2:27" s="25" customFormat="1" ht="15.75" customHeight="1" x14ac:dyDescent="0.2">
      <c r="B561" s="89"/>
      <c r="C561"/>
      <c r="D561"/>
      <c r="E561" s="69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  <c r="V561"/>
      <c r="W561"/>
      <c r="X561"/>
      <c r="Y561"/>
      <c r="Z561"/>
      <c r="AA561"/>
    </row>
    <row r="562" spans="2:27" s="25" customFormat="1" ht="15.75" customHeight="1" x14ac:dyDescent="0.2">
      <c r="B562" s="89"/>
      <c r="C562"/>
      <c r="D562"/>
      <c r="E562" s="69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  <c r="V562"/>
      <c r="W562"/>
      <c r="X562"/>
      <c r="Y562"/>
      <c r="Z562"/>
      <c r="AA562"/>
    </row>
    <row r="563" spans="2:27" s="25" customFormat="1" ht="15.75" customHeight="1" x14ac:dyDescent="0.2">
      <c r="B563" s="89"/>
      <c r="C563"/>
      <c r="D563"/>
      <c r="E563" s="69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  <c r="V563"/>
      <c r="W563"/>
      <c r="X563"/>
      <c r="Y563"/>
      <c r="Z563"/>
      <c r="AA563"/>
    </row>
    <row r="564" spans="2:27" s="25" customFormat="1" ht="15.75" customHeight="1" x14ac:dyDescent="0.2">
      <c r="B564" s="89"/>
      <c r="C564"/>
      <c r="D564"/>
      <c r="E564" s="69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  <c r="V564"/>
      <c r="W564"/>
      <c r="X564"/>
      <c r="Y564"/>
      <c r="Z564"/>
      <c r="AA564"/>
    </row>
    <row r="565" spans="2:27" s="25" customFormat="1" ht="15.75" customHeight="1" x14ac:dyDescent="0.2">
      <c r="B565" s="89"/>
      <c r="C565"/>
      <c r="D565"/>
      <c r="E565" s="69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  <c r="V565"/>
      <c r="W565"/>
      <c r="X565"/>
      <c r="Y565"/>
      <c r="Z565"/>
      <c r="AA565"/>
    </row>
    <row r="566" spans="2:27" s="25" customFormat="1" ht="15.75" customHeight="1" x14ac:dyDescent="0.2">
      <c r="B566" s="89"/>
      <c r="C566"/>
      <c r="D566"/>
      <c r="E566" s="69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  <c r="V566"/>
      <c r="W566"/>
      <c r="X566"/>
      <c r="Y566"/>
      <c r="Z566"/>
      <c r="AA566"/>
    </row>
    <row r="567" spans="2:27" s="25" customFormat="1" ht="15.75" customHeight="1" x14ac:dyDescent="0.2">
      <c r="B567" s="89"/>
      <c r="C567"/>
      <c r="D567"/>
      <c r="E567" s="69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  <c r="V567"/>
      <c r="W567"/>
      <c r="X567"/>
      <c r="Y567"/>
      <c r="Z567"/>
      <c r="AA567"/>
    </row>
    <row r="568" spans="2:27" s="25" customFormat="1" ht="15.75" customHeight="1" x14ac:dyDescent="0.2">
      <c r="B568" s="89"/>
      <c r="C568"/>
      <c r="D568"/>
      <c r="E568" s="69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  <c r="V568"/>
      <c r="W568"/>
      <c r="X568"/>
      <c r="Y568"/>
      <c r="Z568"/>
      <c r="AA568"/>
    </row>
    <row r="569" spans="2:27" s="25" customFormat="1" ht="15.75" customHeight="1" x14ac:dyDescent="0.2">
      <c r="B569" s="89"/>
      <c r="C569"/>
      <c r="D569"/>
      <c r="E569" s="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  <c r="V569"/>
      <c r="W569"/>
      <c r="X569"/>
      <c r="Y569"/>
      <c r="Z569"/>
      <c r="AA569"/>
    </row>
    <row r="570" spans="2:27" s="25" customFormat="1" ht="15.75" customHeight="1" x14ac:dyDescent="0.2">
      <c r="B570" s="89"/>
      <c r="C570"/>
      <c r="D570"/>
      <c r="E570" s="69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  <c r="V570"/>
      <c r="W570"/>
      <c r="X570"/>
      <c r="Y570"/>
      <c r="Z570"/>
      <c r="AA570"/>
    </row>
    <row r="571" spans="2:27" s="25" customFormat="1" ht="15.75" customHeight="1" x14ac:dyDescent="0.2">
      <c r="B571" s="89"/>
      <c r="C571"/>
      <c r="D571"/>
      <c r="E571" s="69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  <c r="V571"/>
      <c r="W571"/>
      <c r="X571"/>
      <c r="Y571"/>
      <c r="Z571"/>
      <c r="AA571"/>
    </row>
    <row r="572" spans="2:27" s="25" customFormat="1" ht="15.75" customHeight="1" x14ac:dyDescent="0.2">
      <c r="B572" s="89"/>
      <c r="C572"/>
      <c r="D572"/>
      <c r="E572" s="69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  <c r="V572"/>
      <c r="W572"/>
      <c r="X572"/>
      <c r="Y572"/>
      <c r="Z572"/>
      <c r="AA572"/>
    </row>
    <row r="573" spans="2:27" s="25" customFormat="1" ht="15.75" customHeight="1" x14ac:dyDescent="0.2">
      <c r="B573" s="89"/>
      <c r="C573"/>
      <c r="D573"/>
      <c r="E573" s="69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  <c r="V573"/>
      <c r="W573"/>
      <c r="X573"/>
      <c r="Y573"/>
      <c r="Z573"/>
      <c r="AA573"/>
    </row>
    <row r="574" spans="2:27" s="25" customFormat="1" ht="15.75" customHeight="1" x14ac:dyDescent="0.2">
      <c r="B574" s="89"/>
      <c r="C574"/>
      <c r="D574"/>
      <c r="E574" s="69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  <c r="V574"/>
      <c r="W574"/>
      <c r="X574"/>
      <c r="Y574"/>
      <c r="Z574"/>
      <c r="AA574"/>
    </row>
    <row r="575" spans="2:27" s="25" customFormat="1" ht="15.75" customHeight="1" x14ac:dyDescent="0.2">
      <c r="B575" s="89"/>
      <c r="C575"/>
      <c r="D575"/>
      <c r="E575" s="69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  <c r="V575"/>
      <c r="W575"/>
      <c r="X575"/>
      <c r="Y575"/>
      <c r="Z575"/>
      <c r="AA575"/>
    </row>
    <row r="576" spans="2:27" s="25" customFormat="1" ht="15.75" customHeight="1" x14ac:dyDescent="0.2">
      <c r="B576" s="89"/>
      <c r="C576"/>
      <c r="D576"/>
      <c r="E576" s="69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  <c r="V576"/>
      <c r="W576"/>
      <c r="X576"/>
      <c r="Y576"/>
      <c r="Z576"/>
      <c r="AA576"/>
    </row>
    <row r="577" spans="2:27" s="25" customFormat="1" ht="15.75" customHeight="1" x14ac:dyDescent="0.2">
      <c r="B577" s="89"/>
      <c r="C577"/>
      <c r="D577"/>
      <c r="E577" s="69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  <c r="V577"/>
      <c r="W577"/>
      <c r="X577"/>
      <c r="Y577"/>
      <c r="Z577"/>
      <c r="AA577"/>
    </row>
    <row r="578" spans="2:27" s="25" customFormat="1" ht="15.75" customHeight="1" x14ac:dyDescent="0.2">
      <c r="B578" s="89"/>
      <c r="C578"/>
      <c r="D578"/>
      <c r="E578" s="69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  <c r="V578"/>
      <c r="W578"/>
      <c r="X578"/>
      <c r="Y578"/>
      <c r="Z578"/>
      <c r="AA578"/>
    </row>
    <row r="579" spans="2:27" s="25" customFormat="1" ht="15.75" customHeight="1" x14ac:dyDescent="0.2">
      <c r="B579" s="89"/>
      <c r="C579"/>
      <c r="D579"/>
      <c r="E579" s="6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  <c r="V579"/>
      <c r="W579"/>
      <c r="X579"/>
      <c r="Y579"/>
      <c r="Z579"/>
      <c r="AA579"/>
    </row>
    <row r="580" spans="2:27" s="25" customFormat="1" ht="15.75" customHeight="1" x14ac:dyDescent="0.2">
      <c r="B580" s="89"/>
      <c r="C580"/>
      <c r="D580"/>
      <c r="E580" s="69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  <c r="V580"/>
      <c r="W580"/>
      <c r="X580"/>
      <c r="Y580"/>
      <c r="Z580"/>
      <c r="AA580"/>
    </row>
    <row r="581" spans="2:27" s="25" customFormat="1" ht="15.75" customHeight="1" x14ac:dyDescent="0.2">
      <c r="B581" s="89"/>
      <c r="C581"/>
      <c r="D581"/>
      <c r="E581" s="69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  <c r="V581"/>
      <c r="W581"/>
      <c r="X581"/>
      <c r="Y581"/>
      <c r="Z581"/>
      <c r="AA581"/>
    </row>
    <row r="582" spans="2:27" s="25" customFormat="1" ht="15.75" customHeight="1" x14ac:dyDescent="0.2">
      <c r="B582" s="89"/>
      <c r="C582"/>
      <c r="D582"/>
      <c r="E582" s="69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  <c r="V582"/>
      <c r="W582"/>
      <c r="X582"/>
      <c r="Y582"/>
      <c r="Z582"/>
      <c r="AA582"/>
    </row>
    <row r="583" spans="2:27" s="25" customFormat="1" ht="15.75" customHeight="1" x14ac:dyDescent="0.2">
      <c r="B583" s="89"/>
      <c r="C583"/>
      <c r="D583"/>
      <c r="E583" s="69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  <c r="U583"/>
      <c r="V583"/>
      <c r="W583"/>
      <c r="X583"/>
      <c r="Y583"/>
      <c r="Z583"/>
      <c r="AA583"/>
    </row>
    <row r="584" spans="2:27" s="25" customFormat="1" ht="15.75" customHeight="1" x14ac:dyDescent="0.2">
      <c r="B584" s="89"/>
      <c r="C584"/>
      <c r="D584"/>
      <c r="E584" s="69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  <c r="V584"/>
      <c r="W584"/>
      <c r="X584"/>
      <c r="Y584"/>
      <c r="Z584"/>
      <c r="AA584"/>
    </row>
    <row r="585" spans="2:27" s="25" customFormat="1" ht="15.75" customHeight="1" x14ac:dyDescent="0.2">
      <c r="B585" s="89"/>
      <c r="C585"/>
      <c r="D585"/>
      <c r="E585" s="69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  <c r="V585"/>
      <c r="W585"/>
      <c r="X585"/>
      <c r="Y585"/>
      <c r="Z585"/>
      <c r="AA585"/>
    </row>
    <row r="586" spans="2:27" s="25" customFormat="1" ht="15.75" customHeight="1" x14ac:dyDescent="0.2">
      <c r="B586" s="89"/>
      <c r="C586"/>
      <c r="D586"/>
      <c r="E586" s="69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  <c r="V586"/>
      <c r="W586"/>
      <c r="X586"/>
      <c r="Y586"/>
      <c r="Z586"/>
      <c r="AA586"/>
    </row>
    <row r="587" spans="2:27" s="25" customFormat="1" ht="15.75" customHeight="1" x14ac:dyDescent="0.2">
      <c r="B587" s="89"/>
      <c r="C587"/>
      <c r="D587"/>
      <c r="E587" s="69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  <c r="V587"/>
      <c r="W587"/>
      <c r="X587"/>
      <c r="Y587"/>
      <c r="Z587"/>
      <c r="AA587"/>
    </row>
    <row r="588" spans="2:27" s="25" customFormat="1" ht="15.75" customHeight="1" x14ac:dyDescent="0.2">
      <c r="B588" s="89"/>
      <c r="C588"/>
      <c r="D588"/>
      <c r="E588" s="69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  <c r="V588"/>
      <c r="W588"/>
      <c r="X588"/>
      <c r="Y588"/>
      <c r="Z588"/>
      <c r="AA588"/>
    </row>
    <row r="589" spans="2:27" s="25" customFormat="1" ht="15.75" customHeight="1" x14ac:dyDescent="0.2">
      <c r="B589" s="89"/>
      <c r="C589"/>
      <c r="D589"/>
      <c r="E589" s="6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  <c r="V589"/>
      <c r="W589"/>
      <c r="X589"/>
      <c r="Y589"/>
      <c r="Z589"/>
      <c r="AA589"/>
    </row>
    <row r="590" spans="2:27" s="25" customFormat="1" ht="15.75" customHeight="1" x14ac:dyDescent="0.2">
      <c r="B590" s="89"/>
      <c r="C590"/>
      <c r="D590"/>
      <c r="E590" s="69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  <c r="V590"/>
      <c r="W590"/>
      <c r="X590"/>
      <c r="Y590"/>
      <c r="Z590"/>
      <c r="AA590"/>
    </row>
    <row r="591" spans="2:27" s="25" customFormat="1" ht="15.75" customHeight="1" x14ac:dyDescent="0.2">
      <c r="B591" s="89"/>
      <c r="C591"/>
      <c r="D591"/>
      <c r="E591" s="69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  <c r="U591"/>
      <c r="V591"/>
      <c r="W591"/>
      <c r="X591"/>
      <c r="Y591"/>
      <c r="Z591"/>
      <c r="AA591"/>
    </row>
    <row r="592" spans="2:27" s="25" customFormat="1" ht="15.75" customHeight="1" x14ac:dyDescent="0.2">
      <c r="B592" s="89"/>
      <c r="C592"/>
      <c r="D592"/>
      <c r="E592" s="69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  <c r="V592"/>
      <c r="W592"/>
      <c r="X592"/>
      <c r="Y592"/>
      <c r="Z592"/>
      <c r="AA592"/>
    </row>
    <row r="593" spans="2:27" s="25" customFormat="1" ht="15.75" customHeight="1" x14ac:dyDescent="0.2">
      <c r="B593" s="89"/>
      <c r="C593"/>
      <c r="D593"/>
      <c r="E593" s="69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  <c r="V593"/>
      <c r="W593"/>
      <c r="X593"/>
      <c r="Y593"/>
      <c r="Z593"/>
      <c r="AA593"/>
    </row>
    <row r="594" spans="2:27" s="25" customFormat="1" ht="15.75" customHeight="1" x14ac:dyDescent="0.2">
      <c r="B594" s="89"/>
      <c r="C594"/>
      <c r="D594"/>
      <c r="E594" s="69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  <c r="V594"/>
      <c r="W594"/>
      <c r="X594"/>
      <c r="Y594"/>
      <c r="Z594"/>
      <c r="AA594"/>
    </row>
    <row r="595" spans="2:27" s="25" customFormat="1" ht="15.75" customHeight="1" x14ac:dyDescent="0.2">
      <c r="B595" s="89"/>
      <c r="C595"/>
      <c r="D595"/>
      <c r="E595" s="69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  <c r="V595"/>
      <c r="W595"/>
      <c r="X595"/>
      <c r="Y595"/>
      <c r="Z595"/>
      <c r="AA595"/>
    </row>
    <row r="596" spans="2:27" s="25" customFormat="1" ht="15.75" customHeight="1" x14ac:dyDescent="0.2">
      <c r="B596" s="89"/>
      <c r="C596"/>
      <c r="D596"/>
      <c r="E596" s="69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  <c r="V596"/>
      <c r="W596"/>
      <c r="X596"/>
      <c r="Y596"/>
      <c r="Z596"/>
      <c r="AA596"/>
    </row>
    <row r="597" spans="2:27" s="25" customFormat="1" ht="15.75" customHeight="1" x14ac:dyDescent="0.2">
      <c r="B597" s="89"/>
      <c r="C597"/>
      <c r="D597"/>
      <c r="E597" s="69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  <c r="V597"/>
      <c r="W597"/>
      <c r="X597"/>
      <c r="Y597"/>
      <c r="Z597"/>
      <c r="AA597"/>
    </row>
    <row r="598" spans="2:27" s="25" customFormat="1" ht="15.75" customHeight="1" x14ac:dyDescent="0.2">
      <c r="B598" s="89"/>
      <c r="C598"/>
      <c r="D598"/>
      <c r="E598" s="69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  <c r="V598"/>
      <c r="W598"/>
      <c r="X598"/>
      <c r="Y598"/>
      <c r="Z598"/>
      <c r="AA598"/>
    </row>
    <row r="599" spans="2:27" s="25" customFormat="1" ht="15.75" customHeight="1" x14ac:dyDescent="0.2">
      <c r="B599" s="89"/>
      <c r="C599"/>
      <c r="D599"/>
      <c r="E599" s="6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  <c r="V599"/>
      <c r="W599"/>
      <c r="X599"/>
      <c r="Y599"/>
      <c r="Z599"/>
      <c r="AA599"/>
    </row>
    <row r="600" spans="2:27" s="25" customFormat="1" ht="15.75" customHeight="1" x14ac:dyDescent="0.2">
      <c r="B600" s="89"/>
      <c r="C600"/>
      <c r="D600"/>
      <c r="E600" s="69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  <c r="V600"/>
      <c r="W600"/>
      <c r="X600"/>
      <c r="Y600"/>
      <c r="Z600"/>
      <c r="AA600"/>
    </row>
    <row r="601" spans="2:27" s="25" customFormat="1" ht="15.75" customHeight="1" x14ac:dyDescent="0.2">
      <c r="B601" s="89"/>
      <c r="C601"/>
      <c r="D601"/>
      <c r="E601" s="69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  <c r="V601"/>
      <c r="W601"/>
      <c r="X601"/>
      <c r="Y601"/>
      <c r="Z601"/>
      <c r="AA601"/>
    </row>
    <row r="602" spans="2:27" s="25" customFormat="1" ht="15.75" customHeight="1" x14ac:dyDescent="0.2">
      <c r="B602" s="89"/>
      <c r="C602"/>
      <c r="D602"/>
      <c r="E602" s="69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  <c r="V602"/>
      <c r="W602"/>
      <c r="X602"/>
      <c r="Y602"/>
      <c r="Z602"/>
      <c r="AA602"/>
    </row>
    <row r="603" spans="2:27" s="25" customFormat="1" ht="15.75" customHeight="1" x14ac:dyDescent="0.2">
      <c r="B603" s="89"/>
      <c r="C603"/>
      <c r="D603"/>
      <c r="E603" s="69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  <c r="V603"/>
      <c r="W603"/>
      <c r="X603"/>
      <c r="Y603"/>
      <c r="Z603"/>
      <c r="AA603"/>
    </row>
    <row r="604" spans="2:27" s="25" customFormat="1" ht="15.75" customHeight="1" x14ac:dyDescent="0.2">
      <c r="B604" s="89"/>
      <c r="C604"/>
      <c r="D604"/>
      <c r="E604" s="69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  <c r="V604"/>
      <c r="W604"/>
      <c r="X604"/>
      <c r="Y604"/>
      <c r="Z604"/>
      <c r="AA604"/>
    </row>
    <row r="605" spans="2:27" s="25" customFormat="1" ht="15.75" customHeight="1" x14ac:dyDescent="0.2">
      <c r="B605" s="89"/>
      <c r="C605"/>
      <c r="D605"/>
      <c r="E605" s="69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  <c r="V605"/>
      <c r="W605"/>
      <c r="X605"/>
      <c r="Y605"/>
      <c r="Z605"/>
      <c r="AA605"/>
    </row>
    <row r="606" spans="2:27" s="25" customFormat="1" ht="15.75" customHeight="1" x14ac:dyDescent="0.2">
      <c r="B606" s="89"/>
      <c r="C606"/>
      <c r="D606"/>
      <c r="E606" s="69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  <c r="U606"/>
      <c r="V606"/>
      <c r="W606"/>
      <c r="X606"/>
      <c r="Y606"/>
      <c r="Z606"/>
      <c r="AA606"/>
    </row>
    <row r="607" spans="2:27" s="25" customFormat="1" ht="15.75" customHeight="1" x14ac:dyDescent="0.2">
      <c r="B607" s="89"/>
      <c r="C607"/>
      <c r="D607"/>
      <c r="E607" s="69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  <c r="U607"/>
      <c r="V607"/>
      <c r="W607"/>
      <c r="X607"/>
      <c r="Y607"/>
      <c r="Z607"/>
      <c r="AA607"/>
    </row>
    <row r="608" spans="2:27" s="25" customFormat="1" ht="15.75" customHeight="1" x14ac:dyDescent="0.2">
      <c r="B608" s="89"/>
      <c r="C608"/>
      <c r="D608"/>
      <c r="E608" s="69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  <c r="V608"/>
      <c r="W608"/>
      <c r="X608"/>
      <c r="Y608"/>
      <c r="Z608"/>
      <c r="AA608"/>
    </row>
    <row r="609" spans="2:27" s="25" customFormat="1" ht="15.75" customHeight="1" x14ac:dyDescent="0.2">
      <c r="B609" s="89"/>
      <c r="C609"/>
      <c r="D609"/>
      <c r="E609" s="6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  <c r="V609"/>
      <c r="W609"/>
      <c r="X609"/>
      <c r="Y609"/>
      <c r="Z609"/>
      <c r="AA609"/>
    </row>
    <row r="610" spans="2:27" s="25" customFormat="1" ht="15.75" customHeight="1" x14ac:dyDescent="0.2">
      <c r="B610" s="89"/>
      <c r="C610"/>
      <c r="D610"/>
      <c r="E610" s="69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  <c r="V610"/>
      <c r="W610"/>
      <c r="X610"/>
      <c r="Y610"/>
      <c r="Z610"/>
      <c r="AA610"/>
    </row>
    <row r="611" spans="2:27" s="25" customFormat="1" ht="15.75" customHeight="1" x14ac:dyDescent="0.2">
      <c r="B611" s="89"/>
      <c r="C611"/>
      <c r="D611"/>
      <c r="E611" s="69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  <c r="V611"/>
      <c r="W611"/>
      <c r="X611"/>
      <c r="Y611"/>
      <c r="Z611"/>
      <c r="AA611"/>
    </row>
    <row r="612" spans="2:27" s="25" customFormat="1" ht="15.75" customHeight="1" x14ac:dyDescent="0.2">
      <c r="B612" s="89"/>
      <c r="C612"/>
      <c r="D612"/>
      <c r="E612" s="69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  <c r="V612"/>
      <c r="W612"/>
      <c r="X612"/>
      <c r="Y612"/>
      <c r="Z612"/>
      <c r="AA612"/>
    </row>
    <row r="613" spans="2:27" s="25" customFormat="1" ht="15.75" customHeight="1" x14ac:dyDescent="0.2">
      <c r="B613" s="89"/>
      <c r="C613"/>
      <c r="D613"/>
      <c r="E613" s="69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  <c r="V613"/>
      <c r="W613"/>
      <c r="X613"/>
      <c r="Y613"/>
      <c r="Z613"/>
      <c r="AA613"/>
    </row>
    <row r="614" spans="2:27" s="25" customFormat="1" ht="15.75" customHeight="1" x14ac:dyDescent="0.2">
      <c r="B614" s="89"/>
      <c r="C614"/>
      <c r="D614"/>
      <c r="E614" s="69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  <c r="V614"/>
      <c r="W614"/>
      <c r="X614"/>
      <c r="Y614"/>
      <c r="Z614"/>
      <c r="AA614"/>
    </row>
    <row r="615" spans="2:27" s="25" customFormat="1" ht="15.75" customHeight="1" x14ac:dyDescent="0.2">
      <c r="B615" s="89"/>
      <c r="C615"/>
      <c r="D615"/>
      <c r="E615" s="69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  <c r="V615"/>
      <c r="W615"/>
      <c r="X615"/>
      <c r="Y615"/>
      <c r="Z615"/>
      <c r="AA615"/>
    </row>
    <row r="616" spans="2:27" s="25" customFormat="1" ht="15.75" customHeight="1" x14ac:dyDescent="0.2">
      <c r="B616" s="89"/>
      <c r="C616"/>
      <c r="D616"/>
      <c r="E616" s="69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  <c r="V616"/>
      <c r="W616"/>
      <c r="X616"/>
      <c r="Y616"/>
      <c r="Z616"/>
      <c r="AA616"/>
    </row>
    <row r="617" spans="2:27" s="25" customFormat="1" ht="15.75" customHeight="1" x14ac:dyDescent="0.2">
      <c r="B617" s="89"/>
      <c r="C617"/>
      <c r="D617"/>
      <c r="E617" s="69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  <c r="V617"/>
      <c r="W617"/>
      <c r="X617"/>
      <c r="Y617"/>
      <c r="Z617"/>
      <c r="AA617"/>
    </row>
    <row r="618" spans="2:27" s="25" customFormat="1" ht="15.75" customHeight="1" x14ac:dyDescent="0.2">
      <c r="B618" s="89"/>
      <c r="C618"/>
      <c r="D618"/>
      <c r="E618" s="69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  <c r="V618"/>
      <c r="W618"/>
      <c r="X618"/>
      <c r="Y618"/>
      <c r="Z618"/>
      <c r="AA618"/>
    </row>
    <row r="619" spans="2:27" s="25" customFormat="1" ht="15.75" customHeight="1" x14ac:dyDescent="0.2">
      <c r="B619" s="89"/>
      <c r="C619"/>
      <c r="D619"/>
      <c r="E619" s="6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  <c r="V619"/>
      <c r="W619"/>
      <c r="X619"/>
      <c r="Y619"/>
      <c r="Z619"/>
      <c r="AA619"/>
    </row>
    <row r="620" spans="2:27" s="25" customFormat="1" ht="15.75" customHeight="1" x14ac:dyDescent="0.2">
      <c r="B620" s="89"/>
      <c r="C620"/>
      <c r="D620"/>
      <c r="E620" s="69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  <c r="V620"/>
      <c r="W620"/>
      <c r="X620"/>
      <c r="Y620"/>
      <c r="Z620"/>
      <c r="AA620"/>
    </row>
    <row r="621" spans="2:27" s="25" customFormat="1" ht="15.75" customHeight="1" x14ac:dyDescent="0.2">
      <c r="B621" s="89"/>
      <c r="C621"/>
      <c r="D621"/>
      <c r="E621" s="69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  <c r="V621"/>
      <c r="W621"/>
      <c r="X621"/>
      <c r="Y621"/>
      <c r="Z621"/>
      <c r="AA621"/>
    </row>
    <row r="622" spans="2:27" s="25" customFormat="1" ht="15.75" customHeight="1" x14ac:dyDescent="0.2">
      <c r="B622" s="89"/>
      <c r="C622"/>
      <c r="D622"/>
      <c r="E622" s="69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  <c r="V622"/>
      <c r="W622"/>
      <c r="X622"/>
      <c r="Y622"/>
      <c r="Z622"/>
      <c r="AA622"/>
    </row>
    <row r="623" spans="2:27" s="25" customFormat="1" ht="15.75" customHeight="1" x14ac:dyDescent="0.2">
      <c r="B623" s="89"/>
      <c r="C623"/>
      <c r="D623"/>
      <c r="E623" s="69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  <c r="V623"/>
      <c r="W623"/>
      <c r="X623"/>
      <c r="Y623"/>
      <c r="Z623"/>
      <c r="AA623"/>
    </row>
    <row r="624" spans="2:27" s="25" customFormat="1" ht="15.75" customHeight="1" x14ac:dyDescent="0.2">
      <c r="B624" s="89"/>
      <c r="C624"/>
      <c r="D624"/>
      <c r="E624" s="69"/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  <c r="T624"/>
      <c r="U624"/>
      <c r="V624"/>
      <c r="W624"/>
      <c r="X624"/>
      <c r="Y624"/>
      <c r="Z624"/>
      <c r="AA624"/>
    </row>
    <row r="625" spans="2:27" s="25" customFormat="1" ht="15.75" customHeight="1" x14ac:dyDescent="0.2">
      <c r="B625" s="89"/>
      <c r="C625"/>
      <c r="D625"/>
      <c r="E625" s="69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  <c r="V625"/>
      <c r="W625"/>
      <c r="X625"/>
      <c r="Y625"/>
      <c r="Z625"/>
      <c r="AA625"/>
    </row>
    <row r="626" spans="2:27" s="25" customFormat="1" ht="15.75" customHeight="1" x14ac:dyDescent="0.2">
      <c r="B626" s="89"/>
      <c r="C626"/>
      <c r="D626"/>
      <c r="E626" s="69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  <c r="V626"/>
      <c r="W626"/>
      <c r="X626"/>
      <c r="Y626"/>
      <c r="Z626"/>
      <c r="AA626"/>
    </row>
    <row r="627" spans="2:27" s="25" customFormat="1" ht="15.75" customHeight="1" x14ac:dyDescent="0.2">
      <c r="B627" s="89"/>
      <c r="C627"/>
      <c r="D627"/>
      <c r="E627" s="69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  <c r="V627"/>
      <c r="W627"/>
      <c r="X627"/>
      <c r="Y627"/>
      <c r="Z627"/>
      <c r="AA627"/>
    </row>
    <row r="628" spans="2:27" s="25" customFormat="1" ht="15.75" customHeight="1" x14ac:dyDescent="0.2">
      <c r="B628" s="89"/>
      <c r="C628"/>
      <c r="D628"/>
      <c r="E628" s="69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  <c r="V628"/>
      <c r="W628"/>
      <c r="X628"/>
      <c r="Y628"/>
      <c r="Z628"/>
      <c r="AA628"/>
    </row>
    <row r="629" spans="2:27" s="25" customFormat="1" ht="15.75" customHeight="1" x14ac:dyDescent="0.2">
      <c r="B629" s="89"/>
      <c r="C629"/>
      <c r="D629"/>
      <c r="E629" s="6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  <c r="V629"/>
      <c r="W629"/>
      <c r="X629"/>
      <c r="Y629"/>
      <c r="Z629"/>
      <c r="AA629"/>
    </row>
    <row r="630" spans="2:27" s="25" customFormat="1" ht="15.75" customHeight="1" x14ac:dyDescent="0.2">
      <c r="B630" s="89"/>
      <c r="C630"/>
      <c r="D630"/>
      <c r="E630" s="69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  <c r="V630"/>
      <c r="W630"/>
      <c r="X630"/>
      <c r="Y630"/>
      <c r="Z630"/>
      <c r="AA630"/>
    </row>
    <row r="631" spans="2:27" s="25" customFormat="1" ht="15.75" customHeight="1" x14ac:dyDescent="0.2">
      <c r="B631" s="89"/>
      <c r="C631"/>
      <c r="D631"/>
      <c r="E631" s="69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  <c r="V631"/>
      <c r="W631"/>
      <c r="X631"/>
      <c r="Y631"/>
      <c r="Z631"/>
      <c r="AA631"/>
    </row>
    <row r="632" spans="2:27" s="25" customFormat="1" ht="15.75" customHeight="1" x14ac:dyDescent="0.2">
      <c r="B632" s="89"/>
      <c r="C632"/>
      <c r="D632"/>
      <c r="E632" s="69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  <c r="V632"/>
      <c r="W632"/>
      <c r="X632"/>
      <c r="Y632"/>
      <c r="Z632"/>
      <c r="AA632"/>
    </row>
    <row r="633" spans="2:27" s="25" customFormat="1" ht="15.75" customHeight="1" x14ac:dyDescent="0.2">
      <c r="B633" s="89"/>
      <c r="C633"/>
      <c r="D633"/>
      <c r="E633" s="69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  <c r="V633"/>
      <c r="W633"/>
      <c r="X633"/>
      <c r="Y633"/>
      <c r="Z633"/>
      <c r="AA633"/>
    </row>
    <row r="634" spans="2:27" s="25" customFormat="1" ht="15.75" customHeight="1" x14ac:dyDescent="0.2">
      <c r="B634" s="89"/>
      <c r="C634"/>
      <c r="D634"/>
      <c r="E634" s="69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  <c r="V634"/>
      <c r="W634"/>
      <c r="X634"/>
      <c r="Y634"/>
      <c r="Z634"/>
      <c r="AA634"/>
    </row>
    <row r="635" spans="2:27" s="25" customFormat="1" ht="15.75" customHeight="1" x14ac:dyDescent="0.2">
      <c r="B635" s="89"/>
      <c r="C635"/>
      <c r="D635"/>
      <c r="E635" s="69"/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  <c r="V635"/>
      <c r="W635"/>
      <c r="X635"/>
      <c r="Y635"/>
      <c r="Z635"/>
      <c r="AA635"/>
    </row>
    <row r="636" spans="2:27" s="25" customFormat="1" ht="15.75" customHeight="1" x14ac:dyDescent="0.2">
      <c r="B636" s="89"/>
      <c r="C636"/>
      <c r="D636"/>
      <c r="E636" s="69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  <c r="V636"/>
      <c r="W636"/>
      <c r="X636"/>
      <c r="Y636"/>
      <c r="Z636"/>
      <c r="AA636"/>
    </row>
    <row r="637" spans="2:27" s="25" customFormat="1" ht="15.75" customHeight="1" x14ac:dyDescent="0.2">
      <c r="B637" s="89"/>
      <c r="C637"/>
      <c r="D637"/>
      <c r="E637" s="69"/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  <c r="V637"/>
      <c r="W637"/>
      <c r="X637"/>
      <c r="Y637"/>
      <c r="Z637"/>
      <c r="AA637"/>
    </row>
    <row r="638" spans="2:27" s="25" customFormat="1" ht="15.75" customHeight="1" x14ac:dyDescent="0.2">
      <c r="B638" s="89"/>
      <c r="C638"/>
      <c r="D638"/>
      <c r="E638" s="69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  <c r="V638"/>
      <c r="W638"/>
      <c r="X638"/>
      <c r="Y638"/>
      <c r="Z638"/>
      <c r="AA638"/>
    </row>
    <row r="639" spans="2:27" s="25" customFormat="1" ht="15.75" customHeight="1" x14ac:dyDescent="0.2">
      <c r="B639" s="89"/>
      <c r="C639"/>
      <c r="D639"/>
      <c r="E639" s="69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  <c r="U639"/>
      <c r="V639"/>
      <c r="W639"/>
      <c r="X639"/>
      <c r="Y639"/>
      <c r="Z639"/>
      <c r="AA639"/>
    </row>
    <row r="640" spans="2:27" s="25" customFormat="1" ht="15.75" customHeight="1" x14ac:dyDescent="0.2">
      <c r="B640" s="89"/>
      <c r="C640"/>
      <c r="D640"/>
      <c r="E640" s="69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  <c r="V640"/>
      <c r="W640"/>
      <c r="X640"/>
      <c r="Y640"/>
      <c r="Z640"/>
      <c r="AA640"/>
    </row>
    <row r="641" spans="2:27" s="25" customFormat="1" ht="15.75" customHeight="1" x14ac:dyDescent="0.2">
      <c r="B641" s="89"/>
      <c r="C641"/>
      <c r="D641"/>
      <c r="E641" s="69"/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/>
      <c r="U641"/>
      <c r="V641"/>
      <c r="W641"/>
      <c r="X641"/>
      <c r="Y641"/>
      <c r="Z641"/>
      <c r="AA641"/>
    </row>
    <row r="642" spans="2:27" s="25" customFormat="1" ht="15.75" customHeight="1" x14ac:dyDescent="0.2">
      <c r="B642" s="89"/>
      <c r="C642"/>
      <c r="D642"/>
      <c r="E642" s="69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  <c r="V642"/>
      <c r="W642"/>
      <c r="X642"/>
      <c r="Y642"/>
      <c r="Z642"/>
      <c r="AA642"/>
    </row>
    <row r="643" spans="2:27" s="25" customFormat="1" ht="15.75" customHeight="1" x14ac:dyDescent="0.2">
      <c r="B643" s="89"/>
      <c r="C643"/>
      <c r="D643"/>
      <c r="E643" s="69"/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  <c r="T643"/>
      <c r="U643"/>
      <c r="V643"/>
      <c r="W643"/>
      <c r="X643"/>
      <c r="Y643"/>
      <c r="Z643"/>
      <c r="AA643"/>
    </row>
    <row r="644" spans="2:27" s="25" customFormat="1" ht="15.75" customHeight="1" x14ac:dyDescent="0.2">
      <c r="B644" s="89"/>
      <c r="C644"/>
      <c r="D644"/>
      <c r="E644" s="69"/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  <c r="U644"/>
      <c r="V644"/>
      <c r="W644"/>
      <c r="X644"/>
      <c r="Y644"/>
      <c r="Z644"/>
      <c r="AA644"/>
    </row>
    <row r="645" spans="2:27" s="25" customFormat="1" ht="15.75" customHeight="1" x14ac:dyDescent="0.2">
      <c r="B645" s="89"/>
      <c r="C645"/>
      <c r="D645"/>
      <c r="E645" s="69"/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  <c r="T645"/>
      <c r="U645"/>
      <c r="V645"/>
      <c r="W645"/>
      <c r="X645"/>
      <c r="Y645"/>
      <c r="Z645"/>
      <c r="AA645"/>
    </row>
    <row r="646" spans="2:27" s="25" customFormat="1" ht="15.75" customHeight="1" x14ac:dyDescent="0.2">
      <c r="B646" s="89"/>
      <c r="C646"/>
      <c r="D646"/>
      <c r="E646" s="69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  <c r="U646"/>
      <c r="V646"/>
      <c r="W646"/>
      <c r="X646"/>
      <c r="Y646"/>
      <c r="Z646"/>
      <c r="AA646"/>
    </row>
    <row r="647" spans="2:27" s="25" customFormat="1" ht="15.75" customHeight="1" x14ac:dyDescent="0.2">
      <c r="B647" s="89"/>
      <c r="C647"/>
      <c r="D647"/>
      <c r="E647" s="69"/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  <c r="V647"/>
      <c r="W647"/>
      <c r="X647"/>
      <c r="Y647"/>
      <c r="Z647"/>
      <c r="AA647"/>
    </row>
    <row r="648" spans="2:27" s="25" customFormat="1" ht="15.75" customHeight="1" x14ac:dyDescent="0.2">
      <c r="B648" s="89"/>
      <c r="C648"/>
      <c r="D648"/>
      <c r="E648" s="69"/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  <c r="U648"/>
      <c r="V648"/>
      <c r="W648"/>
      <c r="X648"/>
      <c r="Y648"/>
      <c r="Z648"/>
      <c r="AA648"/>
    </row>
    <row r="649" spans="2:27" s="25" customFormat="1" ht="15.75" customHeight="1" x14ac:dyDescent="0.2">
      <c r="B649" s="89"/>
      <c r="C649"/>
      <c r="D649"/>
      <c r="E649" s="69"/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  <c r="T649"/>
      <c r="U649"/>
      <c r="V649"/>
      <c r="W649"/>
      <c r="X649"/>
      <c r="Y649"/>
      <c r="Z649"/>
      <c r="AA649"/>
    </row>
    <row r="650" spans="2:27" s="25" customFormat="1" ht="15.75" customHeight="1" x14ac:dyDescent="0.2">
      <c r="B650" s="89"/>
      <c r="C650"/>
      <c r="D650"/>
      <c r="E650" s="69"/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  <c r="T650"/>
      <c r="U650"/>
      <c r="V650"/>
      <c r="W650"/>
      <c r="X650"/>
      <c r="Y650"/>
      <c r="Z650"/>
      <c r="AA650"/>
    </row>
    <row r="651" spans="2:27" s="25" customFormat="1" ht="15.75" customHeight="1" x14ac:dyDescent="0.2">
      <c r="B651" s="89"/>
      <c r="C651"/>
      <c r="D651"/>
      <c r="E651" s="69"/>
      <c r="F651"/>
      <c r="G651"/>
      <c r="H651"/>
      <c r="I651"/>
      <c r="J651"/>
      <c r="K651"/>
      <c r="L651"/>
      <c r="M651"/>
      <c r="N651"/>
      <c r="O651"/>
      <c r="P651"/>
      <c r="Q651"/>
      <c r="R651"/>
      <c r="S651"/>
      <c r="T651"/>
      <c r="U651"/>
      <c r="V651"/>
      <c r="W651"/>
      <c r="X651"/>
      <c r="Y651"/>
      <c r="Z651"/>
      <c r="AA651"/>
    </row>
    <row r="652" spans="2:27" s="25" customFormat="1" ht="15.75" customHeight="1" x14ac:dyDescent="0.2">
      <c r="B652" s="89"/>
      <c r="C652"/>
      <c r="D652"/>
      <c r="E652" s="69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  <c r="V652"/>
      <c r="W652"/>
      <c r="X652"/>
      <c r="Y652"/>
      <c r="Z652"/>
      <c r="AA652"/>
    </row>
    <row r="653" spans="2:27" s="25" customFormat="1" ht="15.75" customHeight="1" x14ac:dyDescent="0.2">
      <c r="B653" s="89"/>
      <c r="C653"/>
      <c r="D653"/>
      <c r="E653" s="69"/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  <c r="T653"/>
      <c r="U653"/>
      <c r="V653"/>
      <c r="W653"/>
      <c r="X653"/>
      <c r="Y653"/>
      <c r="Z653"/>
      <c r="AA653"/>
    </row>
    <row r="654" spans="2:27" s="25" customFormat="1" ht="15.75" customHeight="1" x14ac:dyDescent="0.2">
      <c r="B654" s="89"/>
      <c r="C654"/>
      <c r="D654"/>
      <c r="E654" s="69"/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  <c r="T654"/>
      <c r="U654"/>
      <c r="V654"/>
      <c r="W654"/>
      <c r="X654"/>
      <c r="Y654"/>
      <c r="Z654"/>
      <c r="AA654"/>
    </row>
    <row r="655" spans="2:27" s="25" customFormat="1" ht="15.75" customHeight="1" x14ac:dyDescent="0.2">
      <c r="B655" s="89"/>
      <c r="C655"/>
      <c r="D655"/>
      <c r="E655" s="69"/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  <c r="V655"/>
      <c r="W655"/>
      <c r="X655"/>
      <c r="Y655"/>
      <c r="Z655"/>
      <c r="AA655"/>
    </row>
    <row r="656" spans="2:27" s="25" customFormat="1" ht="15.75" customHeight="1" x14ac:dyDescent="0.2">
      <c r="B656" s="89"/>
      <c r="C656"/>
      <c r="D656"/>
      <c r="E656" s="69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/>
      <c r="U656"/>
      <c r="V656"/>
      <c r="W656"/>
      <c r="X656"/>
      <c r="Y656"/>
      <c r="Z656"/>
      <c r="AA656"/>
    </row>
    <row r="657" spans="2:27" s="25" customFormat="1" ht="15.75" customHeight="1" x14ac:dyDescent="0.2">
      <c r="B657" s="89"/>
      <c r="C657"/>
      <c r="D657"/>
      <c r="E657" s="69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  <c r="V657"/>
      <c r="W657"/>
      <c r="X657"/>
      <c r="Y657"/>
      <c r="Z657"/>
      <c r="AA657"/>
    </row>
    <row r="658" spans="2:27" s="25" customFormat="1" ht="15.75" customHeight="1" x14ac:dyDescent="0.2">
      <c r="B658" s="89"/>
      <c r="C658"/>
      <c r="D658"/>
      <c r="E658" s="69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  <c r="U658"/>
      <c r="V658"/>
      <c r="W658"/>
      <c r="X658"/>
      <c r="Y658"/>
      <c r="Z658"/>
      <c r="AA658"/>
    </row>
    <row r="659" spans="2:27" s="25" customFormat="1" ht="15.75" customHeight="1" x14ac:dyDescent="0.2">
      <c r="B659" s="89"/>
      <c r="C659"/>
      <c r="D659"/>
      <c r="E659" s="69"/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  <c r="V659"/>
      <c r="W659"/>
      <c r="X659"/>
      <c r="Y659"/>
      <c r="Z659"/>
      <c r="AA659"/>
    </row>
    <row r="660" spans="2:27" s="25" customFormat="1" ht="15.75" customHeight="1" x14ac:dyDescent="0.2">
      <c r="B660" s="89"/>
      <c r="C660"/>
      <c r="D660"/>
      <c r="E660" s="69"/>
      <c r="F660"/>
      <c r="G660"/>
      <c r="H660"/>
      <c r="I660"/>
      <c r="J660"/>
      <c r="K660"/>
      <c r="L660"/>
      <c r="M660"/>
      <c r="N660"/>
      <c r="O660"/>
      <c r="P660"/>
      <c r="Q660"/>
      <c r="R660"/>
      <c r="S660"/>
      <c r="T660"/>
      <c r="U660"/>
      <c r="V660"/>
      <c r="W660"/>
      <c r="X660"/>
      <c r="Y660"/>
      <c r="Z660"/>
      <c r="AA660"/>
    </row>
    <row r="661" spans="2:27" s="25" customFormat="1" ht="15.75" customHeight="1" x14ac:dyDescent="0.2">
      <c r="B661" s="89"/>
      <c r="C661"/>
      <c r="D661"/>
      <c r="E661" s="69"/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  <c r="V661"/>
      <c r="W661"/>
      <c r="X661"/>
      <c r="Y661"/>
      <c r="Z661"/>
      <c r="AA661"/>
    </row>
    <row r="662" spans="2:27" s="25" customFormat="1" ht="15.75" customHeight="1" x14ac:dyDescent="0.2">
      <c r="B662" s="89"/>
      <c r="C662"/>
      <c r="D662"/>
      <c r="E662" s="69"/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  <c r="T662"/>
      <c r="U662"/>
      <c r="V662"/>
      <c r="W662"/>
      <c r="X662"/>
      <c r="Y662"/>
      <c r="Z662"/>
      <c r="AA662"/>
    </row>
    <row r="663" spans="2:27" s="25" customFormat="1" ht="15.75" customHeight="1" x14ac:dyDescent="0.2">
      <c r="B663" s="89"/>
      <c r="C663"/>
      <c r="D663"/>
      <c r="E663" s="69"/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  <c r="T663"/>
      <c r="U663"/>
      <c r="V663"/>
      <c r="W663"/>
      <c r="X663"/>
      <c r="Y663"/>
      <c r="Z663"/>
      <c r="AA663"/>
    </row>
    <row r="664" spans="2:27" s="25" customFormat="1" ht="15.75" customHeight="1" x14ac:dyDescent="0.2">
      <c r="B664" s="89"/>
      <c r="C664"/>
      <c r="D664"/>
      <c r="E664" s="69"/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/>
      <c r="U664"/>
      <c r="V664"/>
      <c r="W664"/>
      <c r="X664"/>
      <c r="Y664"/>
      <c r="Z664"/>
      <c r="AA664"/>
    </row>
    <row r="665" spans="2:27" s="25" customFormat="1" ht="15.75" customHeight="1" x14ac:dyDescent="0.2">
      <c r="B665" s="89"/>
      <c r="C665"/>
      <c r="D665"/>
      <c r="E665" s="69"/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  <c r="T665"/>
      <c r="U665"/>
      <c r="V665"/>
      <c r="W665"/>
      <c r="X665"/>
      <c r="Y665"/>
      <c r="Z665"/>
      <c r="AA665"/>
    </row>
    <row r="666" spans="2:27" s="25" customFormat="1" ht="15.75" customHeight="1" x14ac:dyDescent="0.2">
      <c r="B666" s="89"/>
      <c r="C666"/>
      <c r="D666"/>
      <c r="E666" s="69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  <c r="V666"/>
      <c r="W666"/>
      <c r="X666"/>
      <c r="Y666"/>
      <c r="Z666"/>
      <c r="AA666"/>
    </row>
    <row r="667" spans="2:27" s="25" customFormat="1" ht="15.75" customHeight="1" x14ac:dyDescent="0.2">
      <c r="B667" s="89"/>
      <c r="C667"/>
      <c r="D667"/>
      <c r="E667" s="69"/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  <c r="T667"/>
      <c r="U667"/>
      <c r="V667"/>
      <c r="W667"/>
      <c r="X667"/>
      <c r="Y667"/>
      <c r="Z667"/>
      <c r="AA667"/>
    </row>
    <row r="668" spans="2:27" s="25" customFormat="1" ht="15.75" customHeight="1" x14ac:dyDescent="0.2">
      <c r="B668" s="89"/>
      <c r="C668"/>
      <c r="D668"/>
      <c r="E668" s="69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  <c r="V668"/>
      <c r="W668"/>
      <c r="X668"/>
      <c r="Y668"/>
      <c r="Z668"/>
      <c r="AA668"/>
    </row>
    <row r="669" spans="2:27" s="25" customFormat="1" ht="15.75" customHeight="1" x14ac:dyDescent="0.2">
      <c r="B669" s="89"/>
      <c r="C669"/>
      <c r="D669"/>
      <c r="E669" s="69"/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  <c r="V669"/>
      <c r="W669"/>
      <c r="X669"/>
      <c r="Y669"/>
      <c r="Z669"/>
      <c r="AA669"/>
    </row>
    <row r="670" spans="2:27" s="25" customFormat="1" ht="15.75" customHeight="1" x14ac:dyDescent="0.2">
      <c r="B670" s="89"/>
      <c r="C670"/>
      <c r="D670"/>
      <c r="E670" s="69"/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  <c r="U670"/>
      <c r="V670"/>
      <c r="W670"/>
      <c r="X670"/>
      <c r="Y670"/>
      <c r="Z670"/>
      <c r="AA670"/>
    </row>
    <row r="671" spans="2:27" s="25" customFormat="1" ht="15.75" customHeight="1" x14ac:dyDescent="0.2">
      <c r="B671" s="89"/>
      <c r="C671"/>
      <c r="D671"/>
      <c r="E671" s="69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  <c r="V671"/>
      <c r="W671"/>
      <c r="X671"/>
      <c r="Y671"/>
      <c r="Z671"/>
      <c r="AA671"/>
    </row>
    <row r="672" spans="2:27" s="25" customFormat="1" ht="15.75" customHeight="1" x14ac:dyDescent="0.2">
      <c r="B672" s="89"/>
      <c r="C672"/>
      <c r="D672"/>
      <c r="E672" s="69"/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  <c r="T672"/>
      <c r="U672"/>
      <c r="V672"/>
      <c r="W672"/>
      <c r="X672"/>
      <c r="Y672"/>
      <c r="Z672"/>
      <c r="AA672"/>
    </row>
    <row r="673" spans="2:27" s="25" customFormat="1" ht="15.75" customHeight="1" x14ac:dyDescent="0.2">
      <c r="B673" s="89"/>
      <c r="C673"/>
      <c r="D673"/>
      <c r="E673" s="69"/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  <c r="T673"/>
      <c r="U673"/>
      <c r="V673"/>
      <c r="W673"/>
      <c r="X673"/>
      <c r="Y673"/>
      <c r="Z673"/>
      <c r="AA673"/>
    </row>
    <row r="674" spans="2:27" s="25" customFormat="1" ht="15.75" customHeight="1" x14ac:dyDescent="0.2">
      <c r="B674" s="89"/>
      <c r="C674"/>
      <c r="D674"/>
      <c r="E674" s="69"/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  <c r="U674"/>
      <c r="V674"/>
      <c r="W674"/>
      <c r="X674"/>
      <c r="Y674"/>
      <c r="Z674"/>
      <c r="AA674"/>
    </row>
    <row r="675" spans="2:27" s="25" customFormat="1" ht="15.75" customHeight="1" x14ac:dyDescent="0.2">
      <c r="B675" s="89"/>
      <c r="C675"/>
      <c r="D675"/>
      <c r="E675" s="69"/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  <c r="U675"/>
      <c r="V675"/>
      <c r="W675"/>
      <c r="X675"/>
      <c r="Y675"/>
      <c r="Z675"/>
      <c r="AA675"/>
    </row>
    <row r="676" spans="2:27" s="25" customFormat="1" ht="15.75" customHeight="1" x14ac:dyDescent="0.2">
      <c r="B676" s="89"/>
      <c r="C676"/>
      <c r="D676"/>
      <c r="E676" s="69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  <c r="V676"/>
      <c r="W676"/>
      <c r="X676"/>
      <c r="Y676"/>
      <c r="Z676"/>
      <c r="AA676"/>
    </row>
    <row r="677" spans="2:27" s="25" customFormat="1" ht="15.75" customHeight="1" x14ac:dyDescent="0.2">
      <c r="B677" s="89"/>
      <c r="C677"/>
      <c r="D677"/>
      <c r="E677" s="69"/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  <c r="V677"/>
      <c r="W677"/>
      <c r="X677"/>
      <c r="Y677"/>
      <c r="Z677"/>
      <c r="AA677"/>
    </row>
    <row r="678" spans="2:27" s="25" customFormat="1" ht="15.75" customHeight="1" x14ac:dyDescent="0.2">
      <c r="B678" s="89"/>
      <c r="C678"/>
      <c r="D678"/>
      <c r="E678" s="69"/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  <c r="T678"/>
      <c r="U678"/>
      <c r="V678"/>
      <c r="W678"/>
      <c r="X678"/>
      <c r="Y678"/>
      <c r="Z678"/>
      <c r="AA678"/>
    </row>
    <row r="679" spans="2:27" s="25" customFormat="1" ht="15.75" customHeight="1" x14ac:dyDescent="0.2">
      <c r="B679" s="89"/>
      <c r="C679"/>
      <c r="D679"/>
      <c r="E679" s="69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  <c r="V679"/>
      <c r="W679"/>
      <c r="X679"/>
      <c r="Y679"/>
      <c r="Z679"/>
      <c r="AA679"/>
    </row>
    <row r="680" spans="2:27" s="25" customFormat="1" ht="15.75" customHeight="1" x14ac:dyDescent="0.2">
      <c r="B680" s="89"/>
      <c r="C680"/>
      <c r="D680"/>
      <c r="E680" s="69"/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  <c r="U680"/>
      <c r="V680"/>
      <c r="W680"/>
      <c r="X680"/>
      <c r="Y680"/>
      <c r="Z680"/>
      <c r="AA680"/>
    </row>
    <row r="681" spans="2:27" s="25" customFormat="1" ht="15.75" customHeight="1" x14ac:dyDescent="0.2">
      <c r="B681" s="89"/>
      <c r="C681"/>
      <c r="D681"/>
      <c r="E681" s="69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  <c r="U681"/>
      <c r="V681"/>
      <c r="W681"/>
      <c r="X681"/>
      <c r="Y681"/>
      <c r="Z681"/>
      <c r="AA681"/>
    </row>
    <row r="682" spans="2:27" s="25" customFormat="1" ht="15.75" customHeight="1" x14ac:dyDescent="0.2">
      <c r="B682" s="89"/>
      <c r="C682"/>
      <c r="D682"/>
      <c r="E682" s="69"/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  <c r="T682"/>
      <c r="U682"/>
      <c r="V682"/>
      <c r="W682"/>
      <c r="X682"/>
      <c r="Y682"/>
      <c r="Z682"/>
      <c r="AA682"/>
    </row>
    <row r="683" spans="2:27" s="25" customFormat="1" ht="15.75" customHeight="1" x14ac:dyDescent="0.2">
      <c r="B683" s="89"/>
      <c r="C683"/>
      <c r="D683"/>
      <c r="E683" s="69"/>
      <c r="F683"/>
      <c r="G683"/>
      <c r="H683"/>
      <c r="I683"/>
      <c r="J683"/>
      <c r="K683"/>
      <c r="L683"/>
      <c r="M683"/>
      <c r="N683"/>
      <c r="O683"/>
      <c r="P683"/>
      <c r="Q683"/>
      <c r="R683"/>
      <c r="S683"/>
      <c r="T683"/>
      <c r="U683"/>
      <c r="V683"/>
      <c r="W683"/>
      <c r="X683"/>
      <c r="Y683"/>
      <c r="Z683"/>
      <c r="AA683"/>
    </row>
    <row r="684" spans="2:27" s="25" customFormat="1" ht="15.75" customHeight="1" x14ac:dyDescent="0.2">
      <c r="B684" s="89"/>
      <c r="C684"/>
      <c r="D684"/>
      <c r="E684" s="69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  <c r="V684"/>
      <c r="W684"/>
      <c r="X684"/>
      <c r="Y684"/>
      <c r="Z684"/>
      <c r="AA684"/>
    </row>
    <row r="685" spans="2:27" s="25" customFormat="1" ht="15.75" customHeight="1" x14ac:dyDescent="0.2">
      <c r="B685" s="89"/>
      <c r="C685"/>
      <c r="D685"/>
      <c r="E685" s="69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  <c r="V685"/>
      <c r="W685"/>
      <c r="X685"/>
      <c r="Y685"/>
      <c r="Z685"/>
      <c r="AA685"/>
    </row>
    <row r="686" spans="2:27" s="25" customFormat="1" ht="15.75" customHeight="1" x14ac:dyDescent="0.2">
      <c r="B686" s="89"/>
      <c r="C686"/>
      <c r="D686"/>
      <c r="E686" s="69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  <c r="U686"/>
      <c r="V686"/>
      <c r="W686"/>
      <c r="X686"/>
      <c r="Y686"/>
      <c r="Z686"/>
      <c r="AA686"/>
    </row>
    <row r="687" spans="2:27" s="25" customFormat="1" ht="15.75" customHeight="1" x14ac:dyDescent="0.2">
      <c r="B687" s="89"/>
      <c r="C687"/>
      <c r="D687"/>
      <c r="E687" s="69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  <c r="V687"/>
      <c r="W687"/>
      <c r="X687"/>
      <c r="Y687"/>
      <c r="Z687"/>
      <c r="AA687"/>
    </row>
    <row r="688" spans="2:27" s="25" customFormat="1" ht="15.75" customHeight="1" x14ac:dyDescent="0.2">
      <c r="B688" s="89"/>
      <c r="C688"/>
      <c r="D688"/>
      <c r="E688" s="69"/>
      <c r="F688"/>
      <c r="G688"/>
      <c r="H688"/>
      <c r="I688"/>
      <c r="J688"/>
      <c r="K688"/>
      <c r="L688"/>
      <c r="M688"/>
      <c r="N688"/>
      <c r="O688"/>
      <c r="P688"/>
      <c r="Q688"/>
      <c r="R688"/>
      <c r="S688"/>
      <c r="T688"/>
      <c r="U688"/>
      <c r="V688"/>
      <c r="W688"/>
      <c r="X688"/>
      <c r="Y688"/>
      <c r="Z688"/>
      <c r="AA688"/>
    </row>
    <row r="689" spans="2:27" s="25" customFormat="1" ht="15.75" customHeight="1" x14ac:dyDescent="0.2">
      <c r="B689" s="89"/>
      <c r="C689"/>
      <c r="D689"/>
      <c r="E689" s="6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  <c r="V689"/>
      <c r="W689"/>
      <c r="X689"/>
      <c r="Y689"/>
      <c r="Z689"/>
      <c r="AA689"/>
    </row>
    <row r="690" spans="2:27" s="25" customFormat="1" ht="15.75" customHeight="1" x14ac:dyDescent="0.2">
      <c r="B690" s="89"/>
      <c r="C690"/>
      <c r="D690"/>
      <c r="E690" s="69"/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  <c r="T690"/>
      <c r="U690"/>
      <c r="V690"/>
      <c r="W690"/>
      <c r="X690"/>
      <c r="Y690"/>
      <c r="Z690"/>
      <c r="AA690"/>
    </row>
    <row r="691" spans="2:27" s="25" customFormat="1" ht="15.75" customHeight="1" x14ac:dyDescent="0.2">
      <c r="B691" s="89"/>
      <c r="C691"/>
      <c r="D691"/>
      <c r="E691" s="69"/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  <c r="U691"/>
      <c r="V691"/>
      <c r="W691"/>
      <c r="X691"/>
      <c r="Y691"/>
      <c r="Z691"/>
      <c r="AA691"/>
    </row>
    <row r="692" spans="2:27" s="25" customFormat="1" ht="15.75" customHeight="1" x14ac:dyDescent="0.2">
      <c r="B692" s="89"/>
      <c r="C692"/>
      <c r="D692"/>
      <c r="E692" s="69"/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  <c r="T692"/>
      <c r="U692"/>
      <c r="V692"/>
      <c r="W692"/>
      <c r="X692"/>
      <c r="Y692"/>
      <c r="Z692"/>
      <c r="AA692"/>
    </row>
    <row r="693" spans="2:27" s="25" customFormat="1" ht="15.75" customHeight="1" x14ac:dyDescent="0.2">
      <c r="B693" s="89"/>
      <c r="C693"/>
      <c r="D693"/>
      <c r="E693" s="69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  <c r="U693"/>
      <c r="V693"/>
      <c r="W693"/>
      <c r="X693"/>
      <c r="Y693"/>
      <c r="Z693"/>
      <c r="AA693"/>
    </row>
    <row r="694" spans="2:27" s="25" customFormat="1" ht="15.75" customHeight="1" x14ac:dyDescent="0.2">
      <c r="B694" s="89"/>
      <c r="C694"/>
      <c r="D694"/>
      <c r="E694" s="69"/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  <c r="V694"/>
      <c r="W694"/>
      <c r="X694"/>
      <c r="Y694"/>
      <c r="Z694"/>
      <c r="AA694"/>
    </row>
    <row r="695" spans="2:27" s="25" customFormat="1" ht="15.75" customHeight="1" x14ac:dyDescent="0.2">
      <c r="B695" s="89"/>
      <c r="C695"/>
      <c r="D695"/>
      <c r="E695" s="69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  <c r="V695"/>
      <c r="W695"/>
      <c r="X695"/>
      <c r="Y695"/>
      <c r="Z695"/>
      <c r="AA695"/>
    </row>
    <row r="696" spans="2:27" s="25" customFormat="1" ht="15.75" customHeight="1" x14ac:dyDescent="0.2">
      <c r="B696" s="89"/>
      <c r="C696"/>
      <c r="D696"/>
      <c r="E696" s="69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  <c r="U696"/>
      <c r="V696"/>
      <c r="W696"/>
      <c r="X696"/>
      <c r="Y696"/>
      <c r="Z696"/>
      <c r="AA696"/>
    </row>
    <row r="697" spans="2:27" s="25" customFormat="1" ht="15.75" customHeight="1" x14ac:dyDescent="0.2">
      <c r="B697" s="89"/>
      <c r="C697"/>
      <c r="D697"/>
      <c r="E697" s="69"/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  <c r="V697"/>
      <c r="W697"/>
      <c r="X697"/>
      <c r="Y697"/>
      <c r="Z697"/>
      <c r="AA697"/>
    </row>
    <row r="698" spans="2:27" s="25" customFormat="1" ht="15.75" customHeight="1" x14ac:dyDescent="0.2">
      <c r="B698" s="89"/>
      <c r="C698"/>
      <c r="D698"/>
      <c r="E698" s="69"/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  <c r="V698"/>
      <c r="W698"/>
      <c r="X698"/>
      <c r="Y698"/>
      <c r="Z698"/>
      <c r="AA698"/>
    </row>
    <row r="699" spans="2:27" s="25" customFormat="1" ht="15.75" customHeight="1" x14ac:dyDescent="0.2">
      <c r="B699" s="89"/>
      <c r="C699"/>
      <c r="D699"/>
      <c r="E699" s="69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  <c r="V699"/>
      <c r="W699"/>
      <c r="X699"/>
      <c r="Y699"/>
      <c r="Z699"/>
      <c r="AA699"/>
    </row>
    <row r="700" spans="2:27" s="25" customFormat="1" ht="15.75" customHeight="1" x14ac:dyDescent="0.2">
      <c r="B700" s="89"/>
      <c r="C700"/>
      <c r="D700"/>
      <c r="E700" s="69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  <c r="V700"/>
      <c r="W700"/>
      <c r="X700"/>
      <c r="Y700"/>
      <c r="Z700"/>
      <c r="AA700"/>
    </row>
    <row r="701" spans="2:27" s="25" customFormat="1" ht="15.75" customHeight="1" x14ac:dyDescent="0.2">
      <c r="B701" s="89"/>
      <c r="C701"/>
      <c r="D701"/>
      <c r="E701" s="69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  <c r="V701"/>
      <c r="W701"/>
      <c r="X701"/>
      <c r="Y701"/>
      <c r="Z701"/>
      <c r="AA701"/>
    </row>
    <row r="702" spans="2:27" s="25" customFormat="1" ht="15.75" customHeight="1" x14ac:dyDescent="0.2">
      <c r="B702" s="89"/>
      <c r="C702"/>
      <c r="D702"/>
      <c r="E702" s="69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  <c r="V702"/>
      <c r="W702"/>
      <c r="X702"/>
      <c r="Y702"/>
      <c r="Z702"/>
      <c r="AA702"/>
    </row>
    <row r="703" spans="2:27" s="25" customFormat="1" ht="15.75" customHeight="1" x14ac:dyDescent="0.2">
      <c r="B703" s="89"/>
      <c r="C703"/>
      <c r="D703"/>
      <c r="E703" s="69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  <c r="V703"/>
      <c r="W703"/>
      <c r="X703"/>
      <c r="Y703"/>
      <c r="Z703"/>
      <c r="AA703"/>
    </row>
    <row r="704" spans="2:27" s="25" customFormat="1" ht="15.75" customHeight="1" x14ac:dyDescent="0.2">
      <c r="B704" s="89"/>
      <c r="C704"/>
      <c r="D704"/>
      <c r="E704" s="69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  <c r="V704"/>
      <c r="W704"/>
      <c r="X704"/>
      <c r="Y704"/>
      <c r="Z704"/>
      <c r="AA704"/>
    </row>
    <row r="705" spans="2:27" s="25" customFormat="1" ht="15.75" customHeight="1" x14ac:dyDescent="0.2">
      <c r="B705" s="89"/>
      <c r="C705"/>
      <c r="D705"/>
      <c r="E705" s="69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  <c r="V705"/>
      <c r="W705"/>
      <c r="X705"/>
      <c r="Y705"/>
      <c r="Z705"/>
      <c r="AA705"/>
    </row>
    <row r="706" spans="2:27" s="25" customFormat="1" ht="15.75" customHeight="1" x14ac:dyDescent="0.2">
      <c r="B706" s="89"/>
      <c r="C706"/>
      <c r="D706"/>
      <c r="E706" s="69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  <c r="V706"/>
      <c r="W706"/>
      <c r="X706"/>
      <c r="Y706"/>
      <c r="Z706"/>
      <c r="AA706"/>
    </row>
    <row r="707" spans="2:27" s="25" customFormat="1" ht="15.75" customHeight="1" x14ac:dyDescent="0.2">
      <c r="B707" s="89"/>
      <c r="C707"/>
      <c r="D707"/>
      <c r="E707" s="69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  <c r="V707"/>
      <c r="W707"/>
      <c r="X707"/>
      <c r="Y707"/>
      <c r="Z707"/>
      <c r="AA707"/>
    </row>
    <row r="708" spans="2:27" s="25" customFormat="1" ht="15.75" customHeight="1" x14ac:dyDescent="0.2">
      <c r="B708" s="89"/>
      <c r="C708"/>
      <c r="D708"/>
      <c r="E708" s="69"/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  <c r="V708"/>
      <c r="W708"/>
      <c r="X708"/>
      <c r="Y708"/>
      <c r="Z708"/>
      <c r="AA708"/>
    </row>
    <row r="709" spans="2:27" s="25" customFormat="1" ht="15.75" customHeight="1" x14ac:dyDescent="0.2">
      <c r="B709" s="89"/>
      <c r="C709"/>
      <c r="D709"/>
      <c r="E709" s="69"/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  <c r="T709"/>
      <c r="U709"/>
      <c r="V709"/>
      <c r="W709"/>
      <c r="X709"/>
      <c r="Y709"/>
      <c r="Z709"/>
      <c r="AA709"/>
    </row>
    <row r="710" spans="2:27" s="25" customFormat="1" ht="15.75" customHeight="1" x14ac:dyDescent="0.2">
      <c r="B710" s="89"/>
      <c r="C710"/>
      <c r="D710"/>
      <c r="E710" s="69"/>
      <c r="F710"/>
      <c r="G710"/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  <c r="V710"/>
      <c r="W710"/>
      <c r="X710"/>
      <c r="Y710"/>
      <c r="Z710"/>
      <c r="AA710"/>
    </row>
    <row r="711" spans="2:27" s="25" customFormat="1" ht="15.75" customHeight="1" x14ac:dyDescent="0.2">
      <c r="B711" s="89"/>
      <c r="C711"/>
      <c r="D711"/>
      <c r="E711" s="69"/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  <c r="U711"/>
      <c r="V711"/>
      <c r="W711"/>
      <c r="X711"/>
      <c r="Y711"/>
      <c r="Z711"/>
      <c r="AA711"/>
    </row>
    <row r="712" spans="2:27" s="25" customFormat="1" ht="15.75" customHeight="1" x14ac:dyDescent="0.2">
      <c r="B712" s="89"/>
      <c r="C712"/>
      <c r="D712"/>
      <c r="E712" s="69"/>
      <c r="F712"/>
      <c r="G712"/>
      <c r="H712"/>
      <c r="I712"/>
      <c r="J712"/>
      <c r="K712"/>
      <c r="L712"/>
      <c r="M712"/>
      <c r="N712"/>
      <c r="O712"/>
      <c r="P712"/>
      <c r="Q712"/>
      <c r="R712"/>
      <c r="S712"/>
      <c r="T712"/>
      <c r="U712"/>
      <c r="V712"/>
      <c r="W712"/>
      <c r="X712"/>
      <c r="Y712"/>
      <c r="Z712"/>
      <c r="AA712"/>
    </row>
    <row r="713" spans="2:27" s="25" customFormat="1" ht="15.75" customHeight="1" x14ac:dyDescent="0.2">
      <c r="B713" s="89"/>
      <c r="C713"/>
      <c r="D713"/>
      <c r="E713" s="69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  <c r="V713"/>
      <c r="W713"/>
      <c r="X713"/>
      <c r="Y713"/>
      <c r="Z713"/>
      <c r="AA713"/>
    </row>
    <row r="714" spans="2:27" s="25" customFormat="1" ht="15.75" customHeight="1" x14ac:dyDescent="0.2">
      <c r="B714" s="89"/>
      <c r="C714"/>
      <c r="D714"/>
      <c r="E714" s="69"/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  <c r="U714"/>
      <c r="V714"/>
      <c r="W714"/>
      <c r="X714"/>
      <c r="Y714"/>
      <c r="Z714"/>
      <c r="AA714"/>
    </row>
    <row r="715" spans="2:27" s="25" customFormat="1" ht="15.75" customHeight="1" x14ac:dyDescent="0.2">
      <c r="B715" s="89"/>
      <c r="C715"/>
      <c r="D715"/>
      <c r="E715" s="69"/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  <c r="V715"/>
      <c r="W715"/>
      <c r="X715"/>
      <c r="Y715"/>
      <c r="Z715"/>
      <c r="AA715"/>
    </row>
    <row r="716" spans="2:27" s="25" customFormat="1" ht="15.75" customHeight="1" x14ac:dyDescent="0.2">
      <c r="B716" s="89"/>
      <c r="C716"/>
      <c r="D716"/>
      <c r="E716" s="69"/>
      <c r="F716"/>
      <c r="G716"/>
      <c r="H716"/>
      <c r="I716"/>
      <c r="J716"/>
      <c r="K716"/>
      <c r="L716"/>
      <c r="M716"/>
      <c r="N716"/>
      <c r="O716"/>
      <c r="P716"/>
      <c r="Q716"/>
      <c r="R716"/>
      <c r="S716"/>
      <c r="T716"/>
      <c r="U716"/>
      <c r="V716"/>
      <c r="W716"/>
      <c r="X716"/>
      <c r="Y716"/>
      <c r="Z716"/>
      <c r="AA716"/>
    </row>
    <row r="717" spans="2:27" s="25" customFormat="1" ht="15.75" customHeight="1" x14ac:dyDescent="0.2">
      <c r="B717" s="89"/>
      <c r="C717"/>
      <c r="D717"/>
      <c r="E717" s="69"/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  <c r="V717"/>
      <c r="W717"/>
      <c r="X717"/>
      <c r="Y717"/>
      <c r="Z717"/>
      <c r="AA717"/>
    </row>
    <row r="718" spans="2:27" s="25" customFormat="1" ht="15.75" customHeight="1" x14ac:dyDescent="0.2">
      <c r="B718" s="89"/>
      <c r="C718"/>
      <c r="D718"/>
      <c r="E718" s="69"/>
      <c r="F718"/>
      <c r="G718"/>
      <c r="H718"/>
      <c r="I718"/>
      <c r="J718"/>
      <c r="K718"/>
      <c r="L718"/>
      <c r="M718"/>
      <c r="N718"/>
      <c r="O718"/>
      <c r="P718"/>
      <c r="Q718"/>
      <c r="R718"/>
      <c r="S718"/>
      <c r="T718"/>
      <c r="U718"/>
      <c r="V718"/>
      <c r="W718"/>
      <c r="X718"/>
      <c r="Y718"/>
      <c r="Z718"/>
      <c r="AA718"/>
    </row>
    <row r="719" spans="2:27" s="25" customFormat="1" ht="15.75" customHeight="1" x14ac:dyDescent="0.2">
      <c r="B719" s="89"/>
      <c r="C719"/>
      <c r="D719"/>
      <c r="E719" s="69"/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  <c r="T719"/>
      <c r="U719"/>
      <c r="V719"/>
      <c r="W719"/>
      <c r="X719"/>
      <c r="Y719"/>
      <c r="Z719"/>
      <c r="AA719"/>
    </row>
    <row r="720" spans="2:27" s="25" customFormat="1" ht="15.75" customHeight="1" x14ac:dyDescent="0.2">
      <c r="B720" s="89"/>
      <c r="C720"/>
      <c r="D720"/>
      <c r="E720" s="69"/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  <c r="U720"/>
      <c r="V720"/>
      <c r="W720"/>
      <c r="X720"/>
      <c r="Y720"/>
      <c r="Z720"/>
      <c r="AA720"/>
    </row>
    <row r="721" spans="2:27" s="25" customFormat="1" ht="15.75" customHeight="1" x14ac:dyDescent="0.2">
      <c r="B721" s="89"/>
      <c r="C721"/>
      <c r="D721"/>
      <c r="E721" s="69"/>
      <c r="F721"/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  <c r="V721"/>
      <c r="W721"/>
      <c r="X721"/>
      <c r="Y721"/>
      <c r="Z721"/>
      <c r="AA721"/>
    </row>
    <row r="722" spans="2:27" s="25" customFormat="1" ht="15.75" customHeight="1" x14ac:dyDescent="0.2">
      <c r="B722" s="89"/>
      <c r="C722"/>
      <c r="D722"/>
      <c r="E722" s="69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  <c r="V722"/>
      <c r="W722"/>
      <c r="X722"/>
      <c r="Y722"/>
      <c r="Z722"/>
      <c r="AA722"/>
    </row>
    <row r="723" spans="2:27" s="25" customFormat="1" ht="15.75" customHeight="1" x14ac:dyDescent="0.2">
      <c r="B723" s="89"/>
      <c r="C723"/>
      <c r="D723"/>
      <c r="E723" s="69"/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  <c r="U723"/>
      <c r="V723"/>
      <c r="W723"/>
      <c r="X723"/>
      <c r="Y723"/>
      <c r="Z723"/>
      <c r="AA723"/>
    </row>
    <row r="724" spans="2:27" s="25" customFormat="1" ht="15.75" customHeight="1" x14ac:dyDescent="0.2">
      <c r="B724" s="89"/>
      <c r="C724"/>
      <c r="D724"/>
      <c r="E724" s="69"/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  <c r="U724"/>
      <c r="V724"/>
      <c r="W724"/>
      <c r="X724"/>
      <c r="Y724"/>
      <c r="Z724"/>
      <c r="AA724"/>
    </row>
    <row r="725" spans="2:27" s="25" customFormat="1" ht="15.75" customHeight="1" x14ac:dyDescent="0.2">
      <c r="B725" s="89"/>
      <c r="C725"/>
      <c r="D725"/>
      <c r="E725" s="69"/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/>
      <c r="U725"/>
      <c r="V725"/>
      <c r="W725"/>
      <c r="X725"/>
      <c r="Y725"/>
      <c r="Z725"/>
      <c r="AA725"/>
    </row>
    <row r="726" spans="2:27" s="25" customFormat="1" ht="15.75" customHeight="1" x14ac:dyDescent="0.2">
      <c r="B726" s="89"/>
      <c r="C726"/>
      <c r="D726"/>
      <c r="E726" s="69"/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  <c r="U726"/>
      <c r="V726"/>
      <c r="W726"/>
      <c r="X726"/>
      <c r="Y726"/>
      <c r="Z726"/>
      <c r="AA726"/>
    </row>
    <row r="727" spans="2:27" s="25" customFormat="1" ht="15.75" customHeight="1" x14ac:dyDescent="0.2">
      <c r="B727" s="89"/>
      <c r="C727"/>
      <c r="D727"/>
      <c r="E727" s="69"/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  <c r="V727"/>
      <c r="W727"/>
      <c r="X727"/>
      <c r="Y727"/>
      <c r="Z727"/>
      <c r="AA727"/>
    </row>
    <row r="728" spans="2:27" s="25" customFormat="1" ht="15.75" customHeight="1" x14ac:dyDescent="0.2">
      <c r="B728" s="89"/>
      <c r="C728"/>
      <c r="D728"/>
      <c r="E728" s="69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  <c r="V728"/>
      <c r="W728"/>
      <c r="X728"/>
      <c r="Y728"/>
      <c r="Z728"/>
      <c r="AA728"/>
    </row>
    <row r="729" spans="2:27" s="25" customFormat="1" ht="15.75" customHeight="1" x14ac:dyDescent="0.2">
      <c r="B729" s="89"/>
      <c r="C729"/>
      <c r="D729"/>
      <c r="E729" s="69"/>
      <c r="F729"/>
      <c r="G729"/>
      <c r="H729"/>
      <c r="I729"/>
      <c r="J729"/>
      <c r="K729"/>
      <c r="L729"/>
      <c r="M729"/>
      <c r="N729"/>
      <c r="O729"/>
      <c r="P729"/>
      <c r="Q729"/>
      <c r="R729"/>
      <c r="S729"/>
      <c r="T729"/>
      <c r="U729"/>
      <c r="V729"/>
      <c r="W729"/>
      <c r="X729"/>
      <c r="Y729"/>
      <c r="Z729"/>
      <c r="AA729"/>
    </row>
    <row r="730" spans="2:27" s="25" customFormat="1" ht="15.75" customHeight="1" x14ac:dyDescent="0.2">
      <c r="B730" s="89"/>
      <c r="C730"/>
      <c r="D730"/>
      <c r="E730" s="69"/>
      <c r="F730"/>
      <c r="G730"/>
      <c r="H730"/>
      <c r="I730"/>
      <c r="J730"/>
      <c r="K730"/>
      <c r="L730"/>
      <c r="M730"/>
      <c r="N730"/>
      <c r="O730"/>
      <c r="P730"/>
      <c r="Q730"/>
      <c r="R730"/>
      <c r="S730"/>
      <c r="T730"/>
      <c r="U730"/>
      <c r="V730"/>
      <c r="W730"/>
      <c r="X730"/>
      <c r="Y730"/>
      <c r="Z730"/>
      <c r="AA730"/>
    </row>
    <row r="731" spans="2:27" s="25" customFormat="1" ht="15.75" customHeight="1" x14ac:dyDescent="0.2">
      <c r="B731" s="89"/>
      <c r="C731"/>
      <c r="D731"/>
      <c r="E731" s="69"/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  <c r="V731"/>
      <c r="W731"/>
      <c r="X731"/>
      <c r="Y731"/>
      <c r="Z731"/>
      <c r="AA731"/>
    </row>
    <row r="732" spans="2:27" s="25" customFormat="1" ht="15.75" customHeight="1" x14ac:dyDescent="0.2">
      <c r="B732" s="89"/>
      <c r="C732"/>
      <c r="D732"/>
      <c r="E732" s="69"/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  <c r="U732"/>
      <c r="V732"/>
      <c r="W732"/>
      <c r="X732"/>
      <c r="Y732"/>
      <c r="Z732"/>
      <c r="AA732"/>
    </row>
    <row r="733" spans="2:27" s="25" customFormat="1" ht="15.75" customHeight="1" x14ac:dyDescent="0.2">
      <c r="B733" s="89"/>
      <c r="C733"/>
      <c r="D733"/>
      <c r="E733" s="69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  <c r="V733"/>
      <c r="W733"/>
      <c r="X733"/>
      <c r="Y733"/>
      <c r="Z733"/>
      <c r="AA733"/>
    </row>
    <row r="734" spans="2:27" s="25" customFormat="1" ht="15.75" customHeight="1" x14ac:dyDescent="0.2">
      <c r="B734" s="89"/>
      <c r="C734"/>
      <c r="D734"/>
      <c r="E734" s="69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  <c r="V734"/>
      <c r="W734"/>
      <c r="X734"/>
      <c r="Y734"/>
      <c r="Z734"/>
      <c r="AA734"/>
    </row>
    <row r="735" spans="2:27" s="25" customFormat="1" ht="15.75" customHeight="1" x14ac:dyDescent="0.2">
      <c r="B735" s="89"/>
      <c r="C735"/>
      <c r="D735"/>
      <c r="E735" s="69"/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  <c r="U735"/>
      <c r="V735"/>
      <c r="W735"/>
      <c r="X735"/>
      <c r="Y735"/>
      <c r="Z735"/>
      <c r="AA735"/>
    </row>
    <row r="736" spans="2:27" s="25" customFormat="1" ht="15.75" customHeight="1" x14ac:dyDescent="0.2">
      <c r="B736" s="89"/>
      <c r="C736"/>
      <c r="D736"/>
      <c r="E736" s="69"/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  <c r="U736"/>
      <c r="V736"/>
      <c r="W736"/>
      <c r="X736"/>
      <c r="Y736"/>
      <c r="Z736"/>
      <c r="AA736"/>
    </row>
    <row r="737" spans="2:27" s="25" customFormat="1" ht="15.75" customHeight="1" x14ac:dyDescent="0.2">
      <c r="B737" s="89"/>
      <c r="C737"/>
      <c r="D737"/>
      <c r="E737" s="69"/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  <c r="U737"/>
      <c r="V737"/>
      <c r="W737"/>
      <c r="X737"/>
      <c r="Y737"/>
      <c r="Z737"/>
      <c r="AA737"/>
    </row>
    <row r="738" spans="2:27" s="25" customFormat="1" ht="15.75" customHeight="1" x14ac:dyDescent="0.2">
      <c r="B738" s="89"/>
      <c r="C738"/>
      <c r="D738"/>
      <c r="E738" s="69"/>
      <c r="F738"/>
      <c r="G738"/>
      <c r="H738"/>
      <c r="I738"/>
      <c r="J738"/>
      <c r="K738"/>
      <c r="L738"/>
      <c r="M738"/>
      <c r="N738"/>
      <c r="O738"/>
      <c r="P738"/>
      <c r="Q738"/>
      <c r="R738"/>
      <c r="S738"/>
      <c r="T738"/>
      <c r="U738"/>
      <c r="V738"/>
      <c r="W738"/>
      <c r="X738"/>
      <c r="Y738"/>
      <c r="Z738"/>
      <c r="AA738"/>
    </row>
    <row r="739" spans="2:27" s="25" customFormat="1" ht="15.75" customHeight="1" x14ac:dyDescent="0.2">
      <c r="B739" s="89"/>
      <c r="C739"/>
      <c r="D739"/>
      <c r="E739" s="69"/>
      <c r="F739"/>
      <c r="G739"/>
      <c r="H739"/>
      <c r="I739"/>
      <c r="J739"/>
      <c r="K739"/>
      <c r="L739"/>
      <c r="M739"/>
      <c r="N739"/>
      <c r="O739"/>
      <c r="P739"/>
      <c r="Q739"/>
      <c r="R739"/>
      <c r="S739"/>
      <c r="T739"/>
      <c r="U739"/>
      <c r="V739"/>
      <c r="W739"/>
      <c r="X739"/>
      <c r="Y739"/>
      <c r="Z739"/>
      <c r="AA739"/>
    </row>
    <row r="740" spans="2:27" s="25" customFormat="1" ht="15.75" customHeight="1" x14ac:dyDescent="0.2">
      <c r="B740" s="89"/>
      <c r="C740"/>
      <c r="D740"/>
      <c r="E740" s="69"/>
      <c r="F740"/>
      <c r="G740"/>
      <c r="H740"/>
      <c r="I740"/>
      <c r="J740"/>
      <c r="K740"/>
      <c r="L740"/>
      <c r="M740"/>
      <c r="N740"/>
      <c r="O740"/>
      <c r="P740"/>
      <c r="Q740"/>
      <c r="R740"/>
      <c r="S740"/>
      <c r="T740"/>
      <c r="U740"/>
      <c r="V740"/>
      <c r="W740"/>
      <c r="X740"/>
      <c r="Y740"/>
      <c r="Z740"/>
      <c r="AA740"/>
    </row>
    <row r="741" spans="2:27" s="25" customFormat="1" ht="15.75" customHeight="1" x14ac:dyDescent="0.2">
      <c r="B741" s="89"/>
      <c r="C741"/>
      <c r="D741"/>
      <c r="E741" s="69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  <c r="V741"/>
      <c r="W741"/>
      <c r="X741"/>
      <c r="Y741"/>
      <c r="Z741"/>
      <c r="AA741"/>
    </row>
    <row r="742" spans="2:27" s="25" customFormat="1" ht="15.75" customHeight="1" x14ac:dyDescent="0.2">
      <c r="B742" s="89"/>
      <c r="C742"/>
      <c r="D742"/>
      <c r="E742" s="69"/>
      <c r="F742"/>
      <c r="G742"/>
      <c r="H742"/>
      <c r="I742"/>
      <c r="J742"/>
      <c r="K742"/>
      <c r="L742"/>
      <c r="M742"/>
      <c r="N742"/>
      <c r="O742"/>
      <c r="P742"/>
      <c r="Q742"/>
      <c r="R742"/>
      <c r="S742"/>
      <c r="T742"/>
      <c r="U742"/>
      <c r="V742"/>
      <c r="W742"/>
      <c r="X742"/>
      <c r="Y742"/>
      <c r="Z742"/>
      <c r="AA742"/>
    </row>
    <row r="743" spans="2:27" s="25" customFormat="1" ht="15.75" customHeight="1" x14ac:dyDescent="0.2">
      <c r="B743" s="89"/>
      <c r="C743"/>
      <c r="D743"/>
      <c r="E743" s="69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  <c r="V743"/>
      <c r="W743"/>
      <c r="X743"/>
      <c r="Y743"/>
      <c r="Z743"/>
      <c r="AA743"/>
    </row>
    <row r="744" spans="2:27" s="25" customFormat="1" ht="15.75" customHeight="1" x14ac:dyDescent="0.2">
      <c r="B744" s="89"/>
      <c r="C744"/>
      <c r="D744"/>
      <c r="E744" s="69"/>
      <c r="F744"/>
      <c r="G744"/>
      <c r="H744"/>
      <c r="I744"/>
      <c r="J744"/>
      <c r="K744"/>
      <c r="L744"/>
      <c r="M744"/>
      <c r="N744"/>
      <c r="O744"/>
      <c r="P744"/>
      <c r="Q744"/>
      <c r="R744"/>
      <c r="S744"/>
      <c r="T744"/>
      <c r="U744"/>
      <c r="V744"/>
      <c r="W744"/>
      <c r="X744"/>
      <c r="Y744"/>
      <c r="Z744"/>
      <c r="AA744"/>
    </row>
    <row r="745" spans="2:27" s="25" customFormat="1" ht="15.75" customHeight="1" x14ac:dyDescent="0.2">
      <c r="B745" s="89"/>
      <c r="C745"/>
      <c r="D745"/>
      <c r="E745" s="69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  <c r="V745"/>
      <c r="W745"/>
      <c r="X745"/>
      <c r="Y745"/>
      <c r="Z745"/>
      <c r="AA745"/>
    </row>
    <row r="746" spans="2:27" s="25" customFormat="1" ht="15.75" customHeight="1" x14ac:dyDescent="0.2">
      <c r="B746" s="89"/>
      <c r="C746"/>
      <c r="D746"/>
      <c r="E746" s="69"/>
      <c r="F746"/>
      <c r="G746"/>
      <c r="H746"/>
      <c r="I746"/>
      <c r="J746"/>
      <c r="K746"/>
      <c r="L746"/>
      <c r="M746"/>
      <c r="N746"/>
      <c r="O746"/>
      <c r="P746"/>
      <c r="Q746"/>
      <c r="R746"/>
      <c r="S746"/>
      <c r="T746"/>
      <c r="U746"/>
      <c r="V746"/>
      <c r="W746"/>
      <c r="X746"/>
      <c r="Y746"/>
      <c r="Z746"/>
      <c r="AA746"/>
    </row>
    <row r="747" spans="2:27" s="25" customFormat="1" ht="15.75" customHeight="1" x14ac:dyDescent="0.2">
      <c r="B747" s="89"/>
      <c r="C747"/>
      <c r="D747"/>
      <c r="E747" s="69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  <c r="U747"/>
      <c r="V747"/>
      <c r="W747"/>
      <c r="X747"/>
      <c r="Y747"/>
      <c r="Z747"/>
      <c r="AA747"/>
    </row>
    <row r="748" spans="2:27" s="25" customFormat="1" ht="15.75" customHeight="1" x14ac:dyDescent="0.2">
      <c r="B748" s="89"/>
      <c r="C748"/>
      <c r="D748"/>
      <c r="E748" s="69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  <c r="V748"/>
      <c r="W748"/>
      <c r="X748"/>
      <c r="Y748"/>
      <c r="Z748"/>
      <c r="AA748"/>
    </row>
    <row r="749" spans="2:27" s="25" customFormat="1" ht="15.75" customHeight="1" x14ac:dyDescent="0.2">
      <c r="B749" s="89"/>
      <c r="C749"/>
      <c r="D749"/>
      <c r="E749" s="69"/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  <c r="T749"/>
      <c r="U749"/>
      <c r="V749"/>
      <c r="W749"/>
      <c r="X749"/>
      <c r="Y749"/>
      <c r="Z749"/>
      <c r="AA749"/>
    </row>
    <row r="750" spans="2:27" s="25" customFormat="1" ht="15.75" customHeight="1" x14ac:dyDescent="0.2">
      <c r="B750" s="89"/>
      <c r="C750"/>
      <c r="D750"/>
      <c r="E750" s="69"/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  <c r="V750"/>
      <c r="W750"/>
      <c r="X750"/>
      <c r="Y750"/>
      <c r="Z750"/>
      <c r="AA750"/>
    </row>
    <row r="751" spans="2:27" s="25" customFormat="1" ht="15.75" customHeight="1" x14ac:dyDescent="0.2">
      <c r="B751" s="89"/>
      <c r="C751"/>
      <c r="D751"/>
      <c r="E751" s="69"/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  <c r="V751"/>
      <c r="W751"/>
      <c r="X751"/>
      <c r="Y751"/>
      <c r="Z751"/>
      <c r="AA751"/>
    </row>
    <row r="752" spans="2:27" s="25" customFormat="1" ht="15.75" customHeight="1" x14ac:dyDescent="0.2">
      <c r="B752" s="89"/>
      <c r="C752"/>
      <c r="D752"/>
      <c r="E752" s="69"/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  <c r="V752"/>
      <c r="W752"/>
      <c r="X752"/>
      <c r="Y752"/>
      <c r="Z752"/>
      <c r="AA752"/>
    </row>
    <row r="753" spans="2:27" s="25" customFormat="1" ht="15.75" customHeight="1" x14ac:dyDescent="0.2">
      <c r="B753" s="89"/>
      <c r="C753"/>
      <c r="D753"/>
      <c r="E753" s="69"/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  <c r="T753"/>
      <c r="U753"/>
      <c r="V753"/>
      <c r="W753"/>
      <c r="X753"/>
      <c r="Y753"/>
      <c r="Z753"/>
      <c r="AA753"/>
    </row>
    <row r="754" spans="2:27" s="25" customFormat="1" ht="15.75" customHeight="1" x14ac:dyDescent="0.2">
      <c r="B754" s="89"/>
      <c r="C754"/>
      <c r="D754"/>
      <c r="E754" s="69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  <c r="T754"/>
      <c r="U754"/>
      <c r="V754"/>
      <c r="W754"/>
      <c r="X754"/>
      <c r="Y754"/>
      <c r="Z754"/>
      <c r="AA754"/>
    </row>
    <row r="755" spans="2:27" s="25" customFormat="1" ht="15.75" customHeight="1" x14ac:dyDescent="0.2">
      <c r="B755" s="89"/>
      <c r="C755"/>
      <c r="D755"/>
      <c r="E755" s="69"/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  <c r="V755"/>
      <c r="W755"/>
      <c r="X755"/>
      <c r="Y755"/>
      <c r="Z755"/>
      <c r="AA755"/>
    </row>
    <row r="756" spans="2:27" s="25" customFormat="1" ht="15.75" customHeight="1" x14ac:dyDescent="0.2">
      <c r="B756" s="89"/>
      <c r="C756"/>
      <c r="D756"/>
      <c r="E756" s="69"/>
      <c r="F756"/>
      <c r="G756"/>
      <c r="H756"/>
      <c r="I756"/>
      <c r="J756"/>
      <c r="K756"/>
      <c r="L756"/>
      <c r="M756"/>
      <c r="N756"/>
      <c r="O756"/>
      <c r="P756"/>
      <c r="Q756"/>
      <c r="R756"/>
      <c r="S756"/>
      <c r="T756"/>
      <c r="U756"/>
      <c r="V756"/>
      <c r="W756"/>
      <c r="X756"/>
      <c r="Y756"/>
      <c r="Z756"/>
      <c r="AA756"/>
    </row>
    <row r="757" spans="2:27" s="25" customFormat="1" ht="15.75" customHeight="1" x14ac:dyDescent="0.2">
      <c r="B757" s="89"/>
      <c r="C757"/>
      <c r="D757"/>
      <c r="E757" s="69"/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  <c r="T757"/>
      <c r="U757"/>
      <c r="V757"/>
      <c r="W757"/>
      <c r="X757"/>
      <c r="Y757"/>
      <c r="Z757"/>
      <c r="AA757"/>
    </row>
    <row r="758" spans="2:27" s="25" customFormat="1" ht="15.75" customHeight="1" x14ac:dyDescent="0.2">
      <c r="B758" s="89"/>
      <c r="C758"/>
      <c r="D758"/>
      <c r="E758" s="69"/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  <c r="T758"/>
      <c r="U758"/>
      <c r="V758"/>
      <c r="W758"/>
      <c r="X758"/>
      <c r="Y758"/>
      <c r="Z758"/>
      <c r="AA758"/>
    </row>
    <row r="759" spans="2:27" s="25" customFormat="1" ht="15.75" customHeight="1" x14ac:dyDescent="0.2">
      <c r="B759" s="89"/>
      <c r="C759"/>
      <c r="D759"/>
      <c r="E759" s="69"/>
      <c r="F759"/>
      <c r="G759"/>
      <c r="H759"/>
      <c r="I759"/>
      <c r="J759"/>
      <c r="K759"/>
      <c r="L759"/>
      <c r="M759"/>
      <c r="N759"/>
      <c r="O759"/>
      <c r="P759"/>
      <c r="Q759"/>
      <c r="R759"/>
      <c r="S759"/>
      <c r="T759"/>
      <c r="U759"/>
      <c r="V759"/>
      <c r="W759"/>
      <c r="X759"/>
      <c r="Y759"/>
      <c r="Z759"/>
      <c r="AA759"/>
    </row>
    <row r="760" spans="2:27" s="25" customFormat="1" ht="15.75" customHeight="1" x14ac:dyDescent="0.2">
      <c r="B760" s="89"/>
      <c r="C760"/>
      <c r="D760"/>
      <c r="E760" s="69"/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  <c r="T760"/>
      <c r="U760"/>
      <c r="V760"/>
      <c r="W760"/>
      <c r="X760"/>
      <c r="Y760"/>
      <c r="Z760"/>
      <c r="AA760"/>
    </row>
    <row r="761" spans="2:27" s="25" customFormat="1" ht="15.75" customHeight="1" x14ac:dyDescent="0.2">
      <c r="B761" s="89"/>
      <c r="C761"/>
      <c r="D761"/>
      <c r="E761" s="69"/>
      <c r="F761"/>
      <c r="G761"/>
      <c r="H761"/>
      <c r="I761"/>
      <c r="J761"/>
      <c r="K761"/>
      <c r="L761"/>
      <c r="M761"/>
      <c r="N761"/>
      <c r="O761"/>
      <c r="P761"/>
      <c r="Q761"/>
      <c r="R761"/>
      <c r="S761"/>
      <c r="T761"/>
      <c r="U761"/>
      <c r="V761"/>
      <c r="W761"/>
      <c r="X761"/>
      <c r="Y761"/>
      <c r="Z761"/>
      <c r="AA761"/>
    </row>
    <row r="762" spans="2:27" s="25" customFormat="1" ht="15.75" customHeight="1" x14ac:dyDescent="0.2">
      <c r="B762" s="89"/>
      <c r="C762"/>
      <c r="D762"/>
      <c r="E762" s="69"/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  <c r="U762"/>
      <c r="V762"/>
      <c r="W762"/>
      <c r="X762"/>
      <c r="Y762"/>
      <c r="Z762"/>
      <c r="AA762"/>
    </row>
    <row r="763" spans="2:27" s="25" customFormat="1" ht="15.75" customHeight="1" x14ac:dyDescent="0.2">
      <c r="B763" s="89"/>
      <c r="C763"/>
      <c r="D763"/>
      <c r="E763" s="69"/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  <c r="V763"/>
      <c r="W763"/>
      <c r="X763"/>
      <c r="Y763"/>
      <c r="Z763"/>
      <c r="AA763"/>
    </row>
    <row r="764" spans="2:27" s="25" customFormat="1" ht="15.75" customHeight="1" x14ac:dyDescent="0.2">
      <c r="B764" s="89"/>
      <c r="C764"/>
      <c r="D764"/>
      <c r="E764" s="69"/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  <c r="V764"/>
      <c r="W764"/>
      <c r="X764"/>
      <c r="Y764"/>
      <c r="Z764"/>
      <c r="AA764"/>
    </row>
    <row r="765" spans="2:27" s="25" customFormat="1" ht="15.75" customHeight="1" x14ac:dyDescent="0.2">
      <c r="B765" s="89"/>
      <c r="C765"/>
      <c r="D765"/>
      <c r="E765" s="69"/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  <c r="U765"/>
      <c r="V765"/>
      <c r="W765"/>
      <c r="X765"/>
      <c r="Y765"/>
      <c r="Z765"/>
      <c r="AA765"/>
    </row>
    <row r="766" spans="2:27" s="25" customFormat="1" ht="15.75" customHeight="1" x14ac:dyDescent="0.2">
      <c r="B766" s="89"/>
      <c r="C766"/>
      <c r="D766"/>
      <c r="E766" s="69"/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  <c r="T766"/>
      <c r="U766"/>
      <c r="V766"/>
      <c r="W766"/>
      <c r="X766"/>
      <c r="Y766"/>
      <c r="Z766"/>
      <c r="AA766"/>
    </row>
    <row r="767" spans="2:27" s="25" customFormat="1" ht="15.75" customHeight="1" x14ac:dyDescent="0.2">
      <c r="B767" s="89"/>
      <c r="C767"/>
      <c r="D767"/>
      <c r="E767" s="69"/>
      <c r="F767"/>
      <c r="G767"/>
      <c r="H767"/>
      <c r="I767"/>
      <c r="J767"/>
      <c r="K767"/>
      <c r="L767"/>
      <c r="M767"/>
      <c r="N767"/>
      <c r="O767"/>
      <c r="P767"/>
      <c r="Q767"/>
      <c r="R767"/>
      <c r="S767"/>
      <c r="T767"/>
      <c r="U767"/>
      <c r="V767"/>
      <c r="W767"/>
      <c r="X767"/>
      <c r="Y767"/>
      <c r="Z767"/>
      <c r="AA767"/>
    </row>
    <row r="768" spans="2:27" s="25" customFormat="1" ht="15.75" customHeight="1" x14ac:dyDescent="0.2">
      <c r="B768" s="89"/>
      <c r="C768"/>
      <c r="D768"/>
      <c r="E768" s="69"/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  <c r="U768"/>
      <c r="V768"/>
      <c r="W768"/>
      <c r="X768"/>
      <c r="Y768"/>
      <c r="Z768"/>
      <c r="AA768"/>
    </row>
    <row r="769" spans="2:27" s="25" customFormat="1" ht="15.75" customHeight="1" x14ac:dyDescent="0.2">
      <c r="B769" s="89"/>
      <c r="C769"/>
      <c r="D769"/>
      <c r="E769" s="69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  <c r="V769"/>
      <c r="W769"/>
      <c r="X769"/>
      <c r="Y769"/>
      <c r="Z769"/>
      <c r="AA769"/>
    </row>
    <row r="770" spans="2:27" s="25" customFormat="1" ht="15.75" customHeight="1" x14ac:dyDescent="0.2">
      <c r="B770" s="89"/>
      <c r="C770"/>
      <c r="D770"/>
      <c r="E770" s="69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  <c r="V770"/>
      <c r="W770"/>
      <c r="X770"/>
      <c r="Y770"/>
      <c r="Z770"/>
      <c r="AA770"/>
    </row>
    <row r="771" spans="2:27" s="25" customFormat="1" ht="15.75" customHeight="1" x14ac:dyDescent="0.2">
      <c r="B771" s="89"/>
      <c r="C771"/>
      <c r="D771"/>
      <c r="E771" s="69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  <c r="V771"/>
      <c r="W771"/>
      <c r="X771"/>
      <c r="Y771"/>
      <c r="Z771"/>
      <c r="AA771"/>
    </row>
    <row r="772" spans="2:27" s="25" customFormat="1" ht="15.75" customHeight="1" x14ac:dyDescent="0.2">
      <c r="B772" s="89"/>
      <c r="C772"/>
      <c r="D772"/>
      <c r="E772" s="69"/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  <c r="V772"/>
      <c r="W772"/>
      <c r="X772"/>
      <c r="Y772"/>
      <c r="Z772"/>
      <c r="AA772"/>
    </row>
    <row r="773" spans="2:27" s="25" customFormat="1" ht="15.75" customHeight="1" x14ac:dyDescent="0.2">
      <c r="B773" s="89"/>
      <c r="C773"/>
      <c r="D773"/>
      <c r="E773" s="69"/>
      <c r="F773"/>
      <c r="G773"/>
      <c r="H773"/>
      <c r="I773"/>
      <c r="J773"/>
      <c r="K773"/>
      <c r="L773"/>
      <c r="M773"/>
      <c r="N773"/>
      <c r="O773"/>
      <c r="P773"/>
      <c r="Q773"/>
      <c r="R773"/>
      <c r="S773"/>
      <c r="T773"/>
      <c r="U773"/>
      <c r="V773"/>
      <c r="W773"/>
      <c r="X773"/>
      <c r="Y773"/>
      <c r="Z773"/>
      <c r="AA773"/>
    </row>
    <row r="774" spans="2:27" s="25" customFormat="1" ht="15.75" customHeight="1" x14ac:dyDescent="0.2">
      <c r="B774" s="89"/>
      <c r="C774"/>
      <c r="D774"/>
      <c r="E774" s="69"/>
      <c r="F774"/>
      <c r="G774"/>
      <c r="H774"/>
      <c r="I774"/>
      <c r="J774"/>
      <c r="K774"/>
      <c r="L774"/>
      <c r="M774"/>
      <c r="N774"/>
      <c r="O774"/>
      <c r="P774"/>
      <c r="Q774"/>
      <c r="R774"/>
      <c r="S774"/>
      <c r="T774"/>
      <c r="U774"/>
      <c r="V774"/>
      <c r="W774"/>
      <c r="X774"/>
      <c r="Y774"/>
      <c r="Z774"/>
      <c r="AA774"/>
    </row>
    <row r="775" spans="2:27" s="25" customFormat="1" ht="15.75" customHeight="1" x14ac:dyDescent="0.2">
      <c r="B775" s="89"/>
      <c r="C775"/>
      <c r="D775"/>
      <c r="E775" s="69"/>
      <c r="F775"/>
      <c r="G775"/>
      <c r="H775"/>
      <c r="I775"/>
      <c r="J775"/>
      <c r="K775"/>
      <c r="L775"/>
      <c r="M775"/>
      <c r="N775"/>
      <c r="O775"/>
      <c r="P775"/>
      <c r="Q775"/>
      <c r="R775"/>
      <c r="S775"/>
      <c r="T775"/>
      <c r="U775"/>
      <c r="V775"/>
      <c r="W775"/>
      <c r="X775"/>
      <c r="Y775"/>
      <c r="Z775"/>
      <c r="AA775"/>
    </row>
    <row r="776" spans="2:27" s="25" customFormat="1" ht="15.75" customHeight="1" x14ac:dyDescent="0.2">
      <c r="B776" s="89"/>
      <c r="C776"/>
      <c r="D776"/>
      <c r="E776" s="69"/>
      <c r="F776"/>
      <c r="G776"/>
      <c r="H776"/>
      <c r="I776"/>
      <c r="J776"/>
      <c r="K776"/>
      <c r="L776"/>
      <c r="M776"/>
      <c r="N776"/>
      <c r="O776"/>
      <c r="P776"/>
      <c r="Q776"/>
      <c r="R776"/>
      <c r="S776"/>
      <c r="T776"/>
      <c r="U776"/>
      <c r="V776"/>
      <c r="W776"/>
      <c r="X776"/>
      <c r="Y776"/>
      <c r="Z776"/>
      <c r="AA776"/>
    </row>
    <row r="777" spans="2:27" s="25" customFormat="1" ht="15.75" customHeight="1" x14ac:dyDescent="0.2">
      <c r="B777" s="89"/>
      <c r="C777"/>
      <c r="D777"/>
      <c r="E777" s="69"/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  <c r="V777"/>
      <c r="W777"/>
      <c r="X777"/>
      <c r="Y777"/>
      <c r="Z777"/>
      <c r="AA777"/>
    </row>
    <row r="778" spans="2:27" s="25" customFormat="1" ht="15.75" customHeight="1" x14ac:dyDescent="0.2">
      <c r="B778" s="89"/>
      <c r="C778"/>
      <c r="D778"/>
      <c r="E778" s="69"/>
      <c r="F778"/>
      <c r="G778"/>
      <c r="H778"/>
      <c r="I778"/>
      <c r="J778"/>
      <c r="K778"/>
      <c r="L778"/>
      <c r="M778"/>
      <c r="N778"/>
      <c r="O778"/>
      <c r="P778"/>
      <c r="Q778"/>
      <c r="R778"/>
      <c r="S778"/>
      <c r="T778"/>
      <c r="U778"/>
      <c r="V778"/>
      <c r="W778"/>
      <c r="X778"/>
      <c r="Y778"/>
      <c r="Z778"/>
      <c r="AA778"/>
    </row>
    <row r="779" spans="2:27" s="25" customFormat="1" ht="15.75" customHeight="1" x14ac:dyDescent="0.2">
      <c r="B779" s="89"/>
      <c r="C779"/>
      <c r="D779"/>
      <c r="E779" s="69"/>
      <c r="F779"/>
      <c r="G779"/>
      <c r="H779"/>
      <c r="I779"/>
      <c r="J779"/>
      <c r="K779"/>
      <c r="L779"/>
      <c r="M779"/>
      <c r="N779"/>
      <c r="O779"/>
      <c r="P779"/>
      <c r="Q779"/>
      <c r="R779"/>
      <c r="S779"/>
      <c r="T779"/>
      <c r="U779"/>
      <c r="V779"/>
      <c r="W779"/>
      <c r="X779"/>
      <c r="Y779"/>
      <c r="Z779"/>
      <c r="AA779"/>
    </row>
    <row r="780" spans="2:27" s="25" customFormat="1" ht="15.75" customHeight="1" x14ac:dyDescent="0.2">
      <c r="B780" s="89"/>
      <c r="C780"/>
      <c r="D780"/>
      <c r="E780" s="69"/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  <c r="T780"/>
      <c r="U780"/>
      <c r="V780"/>
      <c r="W780"/>
      <c r="X780"/>
      <c r="Y780"/>
      <c r="Z780"/>
      <c r="AA780"/>
    </row>
    <row r="781" spans="2:27" s="25" customFormat="1" ht="15.75" customHeight="1" x14ac:dyDescent="0.2">
      <c r="B781" s="89"/>
      <c r="C781"/>
      <c r="D781"/>
      <c r="E781" s="69"/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  <c r="V781"/>
      <c r="W781"/>
      <c r="X781"/>
      <c r="Y781"/>
      <c r="Z781"/>
      <c r="AA781"/>
    </row>
    <row r="782" spans="2:27" s="25" customFormat="1" ht="15.75" customHeight="1" x14ac:dyDescent="0.2">
      <c r="B782" s="89"/>
      <c r="C782"/>
      <c r="D782"/>
      <c r="E782" s="69"/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  <c r="V782"/>
      <c r="W782"/>
      <c r="X782"/>
      <c r="Y782"/>
      <c r="Z782"/>
      <c r="AA782"/>
    </row>
    <row r="783" spans="2:27" s="25" customFormat="1" ht="15.75" customHeight="1" x14ac:dyDescent="0.2">
      <c r="B783" s="89"/>
      <c r="C783"/>
      <c r="D783"/>
      <c r="E783" s="69"/>
      <c r="F783"/>
      <c r="G783"/>
      <c r="H783"/>
      <c r="I783"/>
      <c r="J783"/>
      <c r="K783"/>
      <c r="L783"/>
      <c r="M783"/>
      <c r="N783"/>
      <c r="O783"/>
      <c r="P783"/>
      <c r="Q783"/>
      <c r="R783"/>
      <c r="S783"/>
      <c r="T783"/>
      <c r="U783"/>
      <c r="V783"/>
      <c r="W783"/>
      <c r="X783"/>
      <c r="Y783"/>
      <c r="Z783"/>
      <c r="AA783"/>
    </row>
    <row r="784" spans="2:27" s="25" customFormat="1" ht="15.75" customHeight="1" x14ac:dyDescent="0.2">
      <c r="B784" s="89"/>
      <c r="C784"/>
      <c r="D784"/>
      <c r="E784" s="69"/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  <c r="T784"/>
      <c r="U784"/>
      <c r="V784"/>
      <c r="W784"/>
      <c r="X784"/>
      <c r="Y784"/>
      <c r="Z784"/>
      <c r="AA784"/>
    </row>
    <row r="785" spans="2:27" s="25" customFormat="1" ht="15.75" customHeight="1" x14ac:dyDescent="0.2">
      <c r="B785" s="89"/>
      <c r="C785"/>
      <c r="D785"/>
      <c r="E785" s="69"/>
      <c r="F785"/>
      <c r="G785"/>
      <c r="H785"/>
      <c r="I785"/>
      <c r="J785"/>
      <c r="K785"/>
      <c r="L785"/>
      <c r="M785"/>
      <c r="N785"/>
      <c r="O785"/>
      <c r="P785"/>
      <c r="Q785"/>
      <c r="R785"/>
      <c r="S785"/>
      <c r="T785"/>
      <c r="U785"/>
      <c r="V785"/>
      <c r="W785"/>
      <c r="X785"/>
      <c r="Y785"/>
      <c r="Z785"/>
      <c r="AA785"/>
    </row>
    <row r="786" spans="2:27" s="25" customFormat="1" ht="15.75" customHeight="1" x14ac:dyDescent="0.2">
      <c r="B786" s="89"/>
      <c r="C786"/>
      <c r="D786"/>
      <c r="E786" s="69"/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  <c r="U786"/>
      <c r="V786"/>
      <c r="W786"/>
      <c r="X786"/>
      <c r="Y786"/>
      <c r="Z786"/>
      <c r="AA786"/>
    </row>
    <row r="787" spans="2:27" s="25" customFormat="1" ht="15.75" customHeight="1" x14ac:dyDescent="0.2">
      <c r="B787" s="89"/>
      <c r="C787"/>
      <c r="D787"/>
      <c r="E787" s="69"/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  <c r="V787"/>
      <c r="W787"/>
      <c r="X787"/>
      <c r="Y787"/>
      <c r="Z787"/>
      <c r="AA787"/>
    </row>
    <row r="788" spans="2:27" s="25" customFormat="1" ht="15.75" customHeight="1" x14ac:dyDescent="0.2">
      <c r="B788" s="89"/>
      <c r="C788"/>
      <c r="D788"/>
      <c r="E788" s="69"/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  <c r="V788"/>
      <c r="W788"/>
      <c r="X788"/>
      <c r="Y788"/>
      <c r="Z788"/>
      <c r="AA788"/>
    </row>
    <row r="789" spans="2:27" s="25" customFormat="1" ht="15.75" customHeight="1" x14ac:dyDescent="0.2">
      <c r="B789" s="89"/>
      <c r="C789"/>
      <c r="D789"/>
      <c r="E789" s="69"/>
      <c r="F789"/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  <c r="V789"/>
      <c r="W789"/>
      <c r="X789"/>
      <c r="Y789"/>
      <c r="Z789"/>
      <c r="AA789"/>
    </row>
    <row r="790" spans="2:27" s="25" customFormat="1" ht="15.75" customHeight="1" x14ac:dyDescent="0.2">
      <c r="B790" s="89"/>
      <c r="C790"/>
      <c r="D790"/>
      <c r="E790" s="69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  <c r="V790"/>
      <c r="W790"/>
      <c r="X790"/>
      <c r="Y790"/>
      <c r="Z790"/>
      <c r="AA790"/>
    </row>
    <row r="791" spans="2:27" s="25" customFormat="1" ht="15.75" customHeight="1" x14ac:dyDescent="0.2">
      <c r="B791" s="89"/>
      <c r="C791"/>
      <c r="D791"/>
      <c r="E791" s="69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  <c r="V791"/>
      <c r="W791"/>
      <c r="X791"/>
      <c r="Y791"/>
      <c r="Z791"/>
      <c r="AA791"/>
    </row>
    <row r="792" spans="2:27" s="25" customFormat="1" ht="15.75" customHeight="1" x14ac:dyDescent="0.2">
      <c r="B792" s="89"/>
      <c r="C792"/>
      <c r="D792"/>
      <c r="E792" s="69"/>
      <c r="F792"/>
      <c r="G792"/>
      <c r="H792"/>
      <c r="I792"/>
      <c r="J792"/>
      <c r="K792"/>
      <c r="L792"/>
      <c r="M792"/>
      <c r="N792"/>
      <c r="O792"/>
      <c r="P792"/>
      <c r="Q792"/>
      <c r="R792"/>
      <c r="S792"/>
      <c r="T792"/>
      <c r="U792"/>
      <c r="V792"/>
      <c r="W792"/>
      <c r="X792"/>
      <c r="Y792"/>
      <c r="Z792"/>
      <c r="AA792"/>
    </row>
    <row r="793" spans="2:27" s="25" customFormat="1" ht="15.75" customHeight="1" x14ac:dyDescent="0.2">
      <c r="B793" s="89"/>
      <c r="C793"/>
      <c r="D793"/>
      <c r="E793" s="69"/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  <c r="V793"/>
      <c r="W793"/>
      <c r="X793"/>
      <c r="Y793"/>
      <c r="Z793"/>
      <c r="AA793"/>
    </row>
    <row r="794" spans="2:27" s="25" customFormat="1" ht="15.75" customHeight="1" x14ac:dyDescent="0.2">
      <c r="B794" s="89"/>
      <c r="C794"/>
      <c r="D794"/>
      <c r="E794" s="69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  <c r="V794"/>
      <c r="W794"/>
      <c r="X794"/>
      <c r="Y794"/>
      <c r="Z794"/>
      <c r="AA794"/>
    </row>
    <row r="795" spans="2:27" s="25" customFormat="1" ht="15.75" customHeight="1" x14ac:dyDescent="0.2">
      <c r="B795" s="89"/>
      <c r="C795"/>
      <c r="D795"/>
      <c r="E795" s="69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  <c r="V795"/>
      <c r="W795"/>
      <c r="X795"/>
      <c r="Y795"/>
      <c r="Z795"/>
      <c r="AA795"/>
    </row>
    <row r="796" spans="2:27" s="25" customFormat="1" ht="15.75" customHeight="1" x14ac:dyDescent="0.2">
      <c r="B796" s="89"/>
      <c r="C796"/>
      <c r="D796"/>
      <c r="E796" s="69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  <c r="V796"/>
      <c r="W796"/>
      <c r="X796"/>
      <c r="Y796"/>
      <c r="Z796"/>
      <c r="AA796"/>
    </row>
    <row r="797" spans="2:27" s="25" customFormat="1" ht="15.75" customHeight="1" x14ac:dyDescent="0.2">
      <c r="B797" s="89"/>
      <c r="C797"/>
      <c r="D797"/>
      <c r="E797" s="69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  <c r="V797"/>
      <c r="W797"/>
      <c r="X797"/>
      <c r="Y797"/>
      <c r="Z797"/>
      <c r="AA797"/>
    </row>
    <row r="798" spans="2:27" s="25" customFormat="1" ht="15.75" customHeight="1" x14ac:dyDescent="0.2">
      <c r="B798" s="89"/>
      <c r="C798"/>
      <c r="D798"/>
      <c r="E798" s="69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  <c r="V798"/>
      <c r="W798"/>
      <c r="X798"/>
      <c r="Y798"/>
      <c r="Z798"/>
      <c r="AA798"/>
    </row>
    <row r="799" spans="2:27" s="25" customFormat="1" ht="15.75" customHeight="1" x14ac:dyDescent="0.2">
      <c r="B799" s="89"/>
      <c r="C799"/>
      <c r="D799"/>
      <c r="E799" s="6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  <c r="V799"/>
      <c r="W799"/>
      <c r="X799"/>
      <c r="Y799"/>
      <c r="Z799"/>
      <c r="AA799"/>
    </row>
    <row r="800" spans="2:27" s="25" customFormat="1" ht="15.75" customHeight="1" x14ac:dyDescent="0.2">
      <c r="B800" s="89"/>
      <c r="C800"/>
      <c r="D800"/>
      <c r="E800" s="69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  <c r="V800"/>
      <c r="W800"/>
      <c r="X800"/>
      <c r="Y800"/>
      <c r="Z800"/>
      <c r="AA800"/>
    </row>
    <row r="801" spans="2:27" s="25" customFormat="1" ht="15.75" customHeight="1" x14ac:dyDescent="0.2">
      <c r="B801" s="89"/>
      <c r="C801"/>
      <c r="D801"/>
      <c r="E801" s="69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  <c r="V801"/>
      <c r="W801"/>
      <c r="X801"/>
      <c r="Y801"/>
      <c r="Z801"/>
      <c r="AA801"/>
    </row>
    <row r="802" spans="2:27" s="25" customFormat="1" ht="15.75" customHeight="1" x14ac:dyDescent="0.2">
      <c r="B802" s="89"/>
      <c r="C802"/>
      <c r="D802"/>
      <c r="E802" s="69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  <c r="V802"/>
      <c r="W802"/>
      <c r="X802"/>
      <c r="Y802"/>
      <c r="Z802"/>
      <c r="AA802"/>
    </row>
    <row r="803" spans="2:27" s="25" customFormat="1" ht="15.75" customHeight="1" x14ac:dyDescent="0.2">
      <c r="B803" s="89"/>
      <c r="C803"/>
      <c r="D803"/>
      <c r="E803" s="69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  <c r="V803"/>
      <c r="W803"/>
      <c r="X803"/>
      <c r="Y803"/>
      <c r="Z803"/>
      <c r="AA803"/>
    </row>
    <row r="804" spans="2:27" s="25" customFormat="1" ht="15.75" customHeight="1" x14ac:dyDescent="0.2">
      <c r="B804" s="89"/>
      <c r="C804"/>
      <c r="D804"/>
      <c r="E804" s="69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  <c r="V804"/>
      <c r="W804"/>
      <c r="X804"/>
      <c r="Y804"/>
      <c r="Z804"/>
      <c r="AA804"/>
    </row>
    <row r="805" spans="2:27" s="25" customFormat="1" ht="15.75" customHeight="1" x14ac:dyDescent="0.2">
      <c r="B805" s="89"/>
      <c r="C805"/>
      <c r="D805"/>
      <c r="E805" s="69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  <c r="V805"/>
      <c r="W805"/>
      <c r="X805"/>
      <c r="Y805"/>
      <c r="Z805"/>
      <c r="AA805"/>
    </row>
    <row r="806" spans="2:27" s="25" customFormat="1" ht="15.75" customHeight="1" x14ac:dyDescent="0.2">
      <c r="B806" s="89"/>
      <c r="C806"/>
      <c r="D806"/>
      <c r="E806" s="69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  <c r="V806"/>
      <c r="W806"/>
      <c r="X806"/>
      <c r="Y806"/>
      <c r="Z806"/>
      <c r="AA806"/>
    </row>
    <row r="807" spans="2:27" s="25" customFormat="1" ht="15.75" customHeight="1" x14ac:dyDescent="0.2">
      <c r="B807" s="89"/>
      <c r="C807"/>
      <c r="D807"/>
      <c r="E807" s="69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  <c r="V807"/>
      <c r="W807"/>
      <c r="X807"/>
      <c r="Y807"/>
      <c r="Z807"/>
      <c r="AA807"/>
    </row>
    <row r="808" spans="2:27" s="25" customFormat="1" ht="15.75" customHeight="1" x14ac:dyDescent="0.2">
      <c r="B808" s="89"/>
      <c r="C808"/>
      <c r="D808"/>
      <c r="E808" s="69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  <c r="V808"/>
      <c r="W808"/>
      <c r="X808"/>
      <c r="Y808"/>
      <c r="Z808"/>
      <c r="AA808"/>
    </row>
    <row r="809" spans="2:27" s="25" customFormat="1" ht="15.75" customHeight="1" x14ac:dyDescent="0.2">
      <c r="B809" s="89"/>
      <c r="C809"/>
      <c r="D809"/>
      <c r="E809" s="6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  <c r="V809"/>
      <c r="W809"/>
      <c r="X809"/>
      <c r="Y809"/>
      <c r="Z809"/>
      <c r="AA809"/>
    </row>
    <row r="810" spans="2:27" s="25" customFormat="1" ht="15.75" customHeight="1" x14ac:dyDescent="0.2">
      <c r="B810" s="89"/>
      <c r="C810"/>
      <c r="D810"/>
      <c r="E810" s="69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  <c r="V810"/>
      <c r="W810"/>
      <c r="X810"/>
      <c r="Y810"/>
      <c r="Z810"/>
      <c r="AA810"/>
    </row>
    <row r="811" spans="2:27" s="25" customFormat="1" ht="15.75" customHeight="1" x14ac:dyDescent="0.2">
      <c r="B811" s="89"/>
      <c r="C811"/>
      <c r="D811"/>
      <c r="E811" s="69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  <c r="V811"/>
      <c r="W811"/>
      <c r="X811"/>
      <c r="Y811"/>
      <c r="Z811"/>
      <c r="AA811"/>
    </row>
    <row r="812" spans="2:27" s="25" customFormat="1" ht="15.75" customHeight="1" x14ac:dyDescent="0.2">
      <c r="B812" s="89"/>
      <c r="C812"/>
      <c r="D812"/>
      <c r="E812" s="69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  <c r="V812"/>
      <c r="W812"/>
      <c r="X812"/>
      <c r="Y812"/>
      <c r="Z812"/>
      <c r="AA812"/>
    </row>
    <row r="813" spans="2:27" s="25" customFormat="1" ht="15.75" customHeight="1" x14ac:dyDescent="0.2">
      <c r="B813" s="89"/>
      <c r="C813"/>
      <c r="D813"/>
      <c r="E813" s="69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  <c r="V813"/>
      <c r="W813"/>
      <c r="X813"/>
      <c r="Y813"/>
      <c r="Z813"/>
      <c r="AA813"/>
    </row>
    <row r="814" spans="2:27" s="25" customFormat="1" ht="15.75" customHeight="1" x14ac:dyDescent="0.2">
      <c r="B814" s="89"/>
      <c r="C814"/>
      <c r="D814"/>
      <c r="E814" s="69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  <c r="V814"/>
      <c r="W814"/>
      <c r="X814"/>
      <c r="Y814"/>
      <c r="Z814"/>
      <c r="AA814"/>
    </row>
    <row r="815" spans="2:27" s="25" customFormat="1" ht="15.75" customHeight="1" x14ac:dyDescent="0.2">
      <c r="B815" s="89"/>
      <c r="C815"/>
      <c r="D815"/>
      <c r="E815" s="69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  <c r="V815"/>
      <c r="W815"/>
      <c r="X815"/>
      <c r="Y815"/>
      <c r="Z815"/>
      <c r="AA815"/>
    </row>
    <row r="816" spans="2:27" s="25" customFormat="1" ht="15.75" customHeight="1" x14ac:dyDescent="0.2">
      <c r="B816" s="89"/>
      <c r="C816"/>
      <c r="D816"/>
      <c r="E816" s="69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  <c r="V816"/>
      <c r="W816"/>
      <c r="X816"/>
      <c r="Y816"/>
      <c r="Z816"/>
      <c r="AA816"/>
    </row>
    <row r="817" spans="2:27" s="25" customFormat="1" ht="15.75" customHeight="1" x14ac:dyDescent="0.2">
      <c r="B817" s="89"/>
      <c r="C817"/>
      <c r="D817"/>
      <c r="E817" s="69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  <c r="V817"/>
      <c r="W817"/>
      <c r="X817"/>
      <c r="Y817"/>
      <c r="Z817"/>
      <c r="AA817"/>
    </row>
    <row r="818" spans="2:27" s="25" customFormat="1" ht="15.75" customHeight="1" x14ac:dyDescent="0.2">
      <c r="B818" s="89"/>
      <c r="C818"/>
      <c r="D818"/>
      <c r="E818" s="69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  <c r="U818"/>
      <c r="V818"/>
      <c r="W818"/>
      <c r="X818"/>
      <c r="Y818"/>
      <c r="Z818"/>
      <c r="AA818"/>
    </row>
    <row r="819" spans="2:27" s="25" customFormat="1" ht="15.75" customHeight="1" x14ac:dyDescent="0.2">
      <c r="B819" s="89"/>
      <c r="C819"/>
      <c r="D819"/>
      <c r="E819" s="6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/>
      <c r="U819"/>
      <c r="V819"/>
      <c r="W819"/>
      <c r="X819"/>
      <c r="Y819"/>
      <c r="Z819"/>
      <c r="AA819"/>
    </row>
    <row r="820" spans="2:27" s="25" customFormat="1" ht="15.75" customHeight="1" x14ac:dyDescent="0.2">
      <c r="B820" s="89"/>
      <c r="C820"/>
      <c r="D820"/>
      <c r="E820" s="69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  <c r="U820"/>
      <c r="V820"/>
      <c r="W820"/>
      <c r="X820"/>
      <c r="Y820"/>
      <c r="Z820"/>
      <c r="AA820"/>
    </row>
    <row r="821" spans="2:27" s="25" customFormat="1" ht="15.75" customHeight="1" x14ac:dyDescent="0.2">
      <c r="B821" s="89"/>
      <c r="C821"/>
      <c r="D821"/>
      <c r="E821" s="69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  <c r="V821"/>
      <c r="W821"/>
      <c r="X821"/>
      <c r="Y821"/>
      <c r="Z821"/>
      <c r="AA821"/>
    </row>
    <row r="822" spans="2:27" s="25" customFormat="1" ht="15.75" customHeight="1" x14ac:dyDescent="0.2">
      <c r="B822" s="89"/>
      <c r="C822"/>
      <c r="D822"/>
      <c r="E822" s="69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  <c r="V822"/>
      <c r="W822"/>
      <c r="X822"/>
      <c r="Y822"/>
      <c r="Z822"/>
      <c r="AA822"/>
    </row>
    <row r="823" spans="2:27" s="25" customFormat="1" ht="15.75" customHeight="1" x14ac:dyDescent="0.2">
      <c r="B823" s="89"/>
      <c r="C823"/>
      <c r="D823"/>
      <c r="E823" s="69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  <c r="V823"/>
      <c r="W823"/>
      <c r="X823"/>
      <c r="Y823"/>
      <c r="Z823"/>
      <c r="AA823"/>
    </row>
    <row r="824" spans="2:27" s="25" customFormat="1" ht="15.75" customHeight="1" x14ac:dyDescent="0.2">
      <c r="B824" s="89"/>
      <c r="C824"/>
      <c r="D824"/>
      <c r="E824" s="69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  <c r="U824"/>
      <c r="V824"/>
      <c r="W824"/>
      <c r="X824"/>
      <c r="Y824"/>
      <c r="Z824"/>
      <c r="AA824"/>
    </row>
    <row r="825" spans="2:27" s="25" customFormat="1" ht="15.75" customHeight="1" x14ac:dyDescent="0.2">
      <c r="B825" s="89"/>
      <c r="C825"/>
      <c r="D825"/>
      <c r="E825" s="69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  <c r="V825"/>
      <c r="W825"/>
      <c r="X825"/>
      <c r="Y825"/>
      <c r="Z825"/>
      <c r="AA825"/>
    </row>
    <row r="826" spans="2:27" s="25" customFormat="1" ht="15.75" customHeight="1" x14ac:dyDescent="0.2">
      <c r="B826" s="89"/>
      <c r="C826"/>
      <c r="D826"/>
      <c r="E826" s="69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  <c r="U826"/>
      <c r="V826"/>
      <c r="W826"/>
      <c r="X826"/>
      <c r="Y826"/>
      <c r="Z826"/>
      <c r="AA826"/>
    </row>
    <row r="827" spans="2:27" s="25" customFormat="1" ht="15.75" customHeight="1" x14ac:dyDescent="0.2">
      <c r="B827" s="89"/>
      <c r="C827"/>
      <c r="D827"/>
      <c r="E827" s="69"/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  <c r="U827"/>
      <c r="V827"/>
      <c r="W827"/>
      <c r="X827"/>
      <c r="Y827"/>
      <c r="Z827"/>
      <c r="AA827"/>
    </row>
    <row r="828" spans="2:27" s="25" customFormat="1" ht="15.75" customHeight="1" x14ac:dyDescent="0.2">
      <c r="B828" s="89"/>
      <c r="C828"/>
      <c r="D828"/>
      <c r="E828" s="69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  <c r="V828"/>
      <c r="W828"/>
      <c r="X828"/>
      <c r="Y828"/>
      <c r="Z828"/>
      <c r="AA828"/>
    </row>
    <row r="829" spans="2:27" s="25" customFormat="1" ht="15.75" customHeight="1" x14ac:dyDescent="0.2">
      <c r="B829" s="89"/>
      <c r="C829"/>
      <c r="D829"/>
      <c r="E829" s="6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  <c r="V829"/>
      <c r="W829"/>
      <c r="X829"/>
      <c r="Y829"/>
      <c r="Z829"/>
      <c r="AA829"/>
    </row>
    <row r="830" spans="2:27" s="25" customFormat="1" ht="15.75" customHeight="1" x14ac:dyDescent="0.2">
      <c r="B830" s="89"/>
      <c r="C830"/>
      <c r="D830"/>
      <c r="E830" s="69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  <c r="V830"/>
      <c r="W830"/>
      <c r="X830"/>
      <c r="Y830"/>
      <c r="Z830"/>
      <c r="AA830"/>
    </row>
    <row r="831" spans="2:27" s="25" customFormat="1" ht="15.75" customHeight="1" x14ac:dyDescent="0.2">
      <c r="B831" s="89"/>
      <c r="C831"/>
      <c r="D831"/>
      <c r="E831" s="69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  <c r="V831"/>
      <c r="W831"/>
      <c r="X831"/>
      <c r="Y831"/>
      <c r="Z831"/>
      <c r="AA831"/>
    </row>
    <row r="832" spans="2:27" s="25" customFormat="1" ht="15.75" customHeight="1" x14ac:dyDescent="0.2">
      <c r="B832" s="89"/>
      <c r="C832"/>
      <c r="D832"/>
      <c r="E832" s="69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  <c r="V832"/>
      <c r="W832"/>
      <c r="X832"/>
      <c r="Y832"/>
      <c r="Z832"/>
      <c r="AA832"/>
    </row>
    <row r="833" spans="2:27" s="25" customFormat="1" ht="15.75" customHeight="1" x14ac:dyDescent="0.2">
      <c r="B833" s="89"/>
      <c r="C833"/>
      <c r="D833"/>
      <c r="E833" s="69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  <c r="V833"/>
      <c r="W833"/>
      <c r="X833"/>
      <c r="Y833"/>
      <c r="Z833"/>
      <c r="AA833"/>
    </row>
    <row r="834" spans="2:27" s="25" customFormat="1" ht="15.75" customHeight="1" x14ac:dyDescent="0.2">
      <c r="B834" s="89"/>
      <c r="C834"/>
      <c r="D834"/>
      <c r="E834" s="69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  <c r="V834"/>
      <c r="W834"/>
      <c r="X834"/>
      <c r="Y834"/>
      <c r="Z834"/>
      <c r="AA834"/>
    </row>
    <row r="835" spans="2:27" s="25" customFormat="1" ht="15.75" customHeight="1" x14ac:dyDescent="0.2">
      <c r="B835" s="89"/>
      <c r="C835"/>
      <c r="D835"/>
      <c r="E835" s="69"/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  <c r="U835"/>
      <c r="V835"/>
      <c r="W835"/>
      <c r="X835"/>
      <c r="Y835"/>
      <c r="Z835"/>
      <c r="AA835"/>
    </row>
    <row r="836" spans="2:27" s="25" customFormat="1" ht="15.75" customHeight="1" x14ac:dyDescent="0.2">
      <c r="B836" s="89"/>
      <c r="C836"/>
      <c r="D836"/>
      <c r="E836" s="69"/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  <c r="U836"/>
      <c r="V836"/>
      <c r="W836"/>
      <c r="X836"/>
      <c r="Y836"/>
      <c r="Z836"/>
      <c r="AA836"/>
    </row>
    <row r="837" spans="2:27" s="25" customFormat="1" ht="15.75" customHeight="1" x14ac:dyDescent="0.2">
      <c r="B837" s="89"/>
      <c r="C837"/>
      <c r="D837"/>
      <c r="E837" s="69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  <c r="U837"/>
      <c r="V837"/>
      <c r="W837"/>
      <c r="X837"/>
      <c r="Y837"/>
      <c r="Z837"/>
      <c r="AA837"/>
    </row>
    <row r="838" spans="2:27" s="25" customFormat="1" ht="15.75" customHeight="1" x14ac:dyDescent="0.2">
      <c r="B838" s="89"/>
      <c r="C838"/>
      <c r="D838"/>
      <c r="E838" s="69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  <c r="V838"/>
      <c r="W838"/>
      <c r="X838"/>
      <c r="Y838"/>
      <c r="Z838"/>
      <c r="AA838"/>
    </row>
    <row r="839" spans="2:27" s="25" customFormat="1" ht="15.75" customHeight="1" x14ac:dyDescent="0.2">
      <c r="B839" s="89"/>
      <c r="C839"/>
      <c r="D839"/>
      <c r="E839" s="6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  <c r="V839"/>
      <c r="W839"/>
      <c r="X839"/>
      <c r="Y839"/>
      <c r="Z839"/>
      <c r="AA839"/>
    </row>
    <row r="840" spans="2:27" s="25" customFormat="1" ht="15.75" customHeight="1" x14ac:dyDescent="0.2">
      <c r="B840" s="89"/>
      <c r="C840"/>
      <c r="D840"/>
      <c r="E840" s="69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  <c r="V840"/>
      <c r="W840"/>
      <c r="X840"/>
      <c r="Y840"/>
      <c r="Z840"/>
      <c r="AA840"/>
    </row>
    <row r="841" spans="2:27" s="25" customFormat="1" ht="15.75" customHeight="1" x14ac:dyDescent="0.2">
      <c r="B841" s="89"/>
      <c r="C841"/>
      <c r="D841"/>
      <c r="E841" s="69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  <c r="V841"/>
      <c r="W841"/>
      <c r="X841"/>
      <c r="Y841"/>
      <c r="Z841"/>
      <c r="AA841"/>
    </row>
    <row r="842" spans="2:27" s="25" customFormat="1" ht="15.75" customHeight="1" x14ac:dyDescent="0.2">
      <c r="B842" s="89"/>
      <c r="C842"/>
      <c r="D842"/>
      <c r="E842" s="69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  <c r="U842"/>
      <c r="V842"/>
      <c r="W842"/>
      <c r="X842"/>
      <c r="Y842"/>
      <c r="Z842"/>
      <c r="AA842"/>
    </row>
    <row r="843" spans="2:27" s="25" customFormat="1" ht="15.75" customHeight="1" x14ac:dyDescent="0.2">
      <c r="B843" s="89"/>
      <c r="C843"/>
      <c r="D843"/>
      <c r="E843" s="69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  <c r="V843"/>
      <c r="W843"/>
      <c r="X843"/>
      <c r="Y843"/>
      <c r="Z843"/>
      <c r="AA843"/>
    </row>
    <row r="844" spans="2:27" s="25" customFormat="1" ht="15.75" customHeight="1" x14ac:dyDescent="0.2">
      <c r="B844" s="89"/>
      <c r="C844"/>
      <c r="D844"/>
      <c r="E844" s="69"/>
      <c r="F844"/>
      <c r="G844"/>
      <c r="H844"/>
      <c r="I844"/>
      <c r="J844"/>
      <c r="K844"/>
      <c r="L844"/>
      <c r="M844"/>
      <c r="N844"/>
      <c r="O844"/>
      <c r="P844"/>
      <c r="Q844"/>
      <c r="R844"/>
      <c r="S844"/>
      <c r="T844"/>
      <c r="U844"/>
      <c r="V844"/>
      <c r="W844"/>
      <c r="X844"/>
      <c r="Y844"/>
      <c r="Z844"/>
      <c r="AA844"/>
    </row>
    <row r="845" spans="2:27" s="25" customFormat="1" ht="15.75" customHeight="1" x14ac:dyDescent="0.2">
      <c r="B845" s="89"/>
      <c r="C845"/>
      <c r="D845"/>
      <c r="E845" s="69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  <c r="U845"/>
      <c r="V845"/>
      <c r="W845"/>
      <c r="X845"/>
      <c r="Y845"/>
      <c r="Z845"/>
      <c r="AA845"/>
    </row>
    <row r="846" spans="2:27" s="25" customFormat="1" ht="15.75" customHeight="1" x14ac:dyDescent="0.2">
      <c r="B846" s="89"/>
      <c r="C846"/>
      <c r="D846"/>
      <c r="E846" s="69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  <c r="V846"/>
      <c r="W846"/>
      <c r="X846"/>
      <c r="Y846"/>
      <c r="Z846"/>
      <c r="AA846"/>
    </row>
    <row r="847" spans="2:27" s="25" customFormat="1" ht="15.75" customHeight="1" x14ac:dyDescent="0.2">
      <c r="B847" s="89"/>
      <c r="C847"/>
      <c r="D847"/>
      <c r="E847" s="69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  <c r="U847"/>
      <c r="V847"/>
      <c r="W847"/>
      <c r="X847"/>
      <c r="Y847"/>
      <c r="Z847"/>
      <c r="AA847"/>
    </row>
    <row r="848" spans="2:27" s="25" customFormat="1" ht="15.75" customHeight="1" x14ac:dyDescent="0.2">
      <c r="B848" s="89"/>
      <c r="C848"/>
      <c r="D848"/>
      <c r="E848" s="69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/>
      <c r="U848"/>
      <c r="V848"/>
      <c r="W848"/>
      <c r="X848"/>
      <c r="Y848"/>
      <c r="Z848"/>
      <c r="AA848"/>
    </row>
    <row r="849" spans="2:27" s="25" customFormat="1" ht="15.75" customHeight="1" x14ac:dyDescent="0.2">
      <c r="B849" s="89"/>
      <c r="C849"/>
      <c r="D849"/>
      <c r="E849" s="6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  <c r="V849"/>
      <c r="W849"/>
      <c r="X849"/>
      <c r="Y849"/>
      <c r="Z849"/>
      <c r="AA849"/>
    </row>
    <row r="850" spans="2:27" s="25" customFormat="1" ht="15.75" customHeight="1" x14ac:dyDescent="0.2">
      <c r="B850" s="89"/>
      <c r="C850"/>
      <c r="D850"/>
      <c r="E850" s="69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  <c r="V850"/>
      <c r="W850"/>
      <c r="X850"/>
      <c r="Y850"/>
      <c r="Z850"/>
      <c r="AA850"/>
    </row>
    <row r="851" spans="2:27" s="25" customFormat="1" ht="15.75" customHeight="1" x14ac:dyDescent="0.2">
      <c r="B851" s="89"/>
      <c r="C851"/>
      <c r="D851"/>
      <c r="E851" s="69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  <c r="U851"/>
      <c r="V851"/>
      <c r="W851"/>
      <c r="X851"/>
      <c r="Y851"/>
      <c r="Z851"/>
      <c r="AA851"/>
    </row>
    <row r="852" spans="2:27" s="25" customFormat="1" ht="15.75" customHeight="1" x14ac:dyDescent="0.2">
      <c r="B852" s="89"/>
      <c r="C852"/>
      <c r="D852"/>
      <c r="E852" s="69"/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  <c r="U852"/>
      <c r="V852"/>
      <c r="W852"/>
      <c r="X852"/>
      <c r="Y852"/>
      <c r="Z852"/>
      <c r="AA852"/>
    </row>
    <row r="853" spans="2:27" s="25" customFormat="1" ht="15.75" customHeight="1" x14ac:dyDescent="0.2">
      <c r="B853" s="89"/>
      <c r="C853"/>
      <c r="D853"/>
      <c r="E853" s="69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  <c r="V853"/>
      <c r="W853"/>
      <c r="X853"/>
      <c r="Y853"/>
      <c r="Z853"/>
      <c r="AA853"/>
    </row>
    <row r="854" spans="2:27" s="25" customFormat="1" ht="15.75" customHeight="1" x14ac:dyDescent="0.2">
      <c r="B854" s="89"/>
      <c r="C854"/>
      <c r="D854"/>
      <c r="E854" s="69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  <c r="V854"/>
      <c r="W854"/>
      <c r="X854"/>
      <c r="Y854"/>
      <c r="Z854"/>
      <c r="AA854"/>
    </row>
    <row r="855" spans="2:27" s="25" customFormat="1" ht="15.75" customHeight="1" x14ac:dyDescent="0.2">
      <c r="B855" s="89"/>
      <c r="C855"/>
      <c r="D855"/>
      <c r="E855" s="69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  <c r="U855"/>
      <c r="V855"/>
      <c r="W855"/>
      <c r="X855"/>
      <c r="Y855"/>
      <c r="Z855"/>
      <c r="AA855"/>
    </row>
    <row r="856" spans="2:27" s="25" customFormat="1" ht="15.75" customHeight="1" x14ac:dyDescent="0.2">
      <c r="B856" s="89"/>
      <c r="C856"/>
      <c r="D856"/>
      <c r="E856" s="69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  <c r="U856"/>
      <c r="V856"/>
      <c r="W856"/>
      <c r="X856"/>
      <c r="Y856"/>
      <c r="Z856"/>
      <c r="AA856"/>
    </row>
    <row r="857" spans="2:27" s="25" customFormat="1" ht="15.75" customHeight="1" x14ac:dyDescent="0.2">
      <c r="B857" s="89"/>
      <c r="C857"/>
      <c r="D857"/>
      <c r="E857" s="69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  <c r="U857"/>
      <c r="V857"/>
      <c r="W857"/>
      <c r="X857"/>
      <c r="Y857"/>
      <c r="Z857"/>
      <c r="AA857"/>
    </row>
    <row r="858" spans="2:27" s="25" customFormat="1" ht="15.75" customHeight="1" x14ac:dyDescent="0.2">
      <c r="B858" s="89"/>
      <c r="C858"/>
      <c r="D858"/>
      <c r="E858" s="69"/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  <c r="U858"/>
      <c r="V858"/>
      <c r="W858"/>
      <c r="X858"/>
      <c r="Y858"/>
      <c r="Z858"/>
      <c r="AA858"/>
    </row>
    <row r="859" spans="2:27" s="25" customFormat="1" ht="15.75" customHeight="1" x14ac:dyDescent="0.2">
      <c r="B859" s="89"/>
      <c r="C859"/>
      <c r="D859"/>
      <c r="E859" s="69"/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  <c r="U859"/>
      <c r="V859"/>
      <c r="W859"/>
      <c r="X859"/>
      <c r="Y859"/>
      <c r="Z859"/>
      <c r="AA859"/>
    </row>
    <row r="860" spans="2:27" s="25" customFormat="1" ht="15.75" customHeight="1" x14ac:dyDescent="0.2">
      <c r="B860" s="89"/>
      <c r="C860"/>
      <c r="D860"/>
      <c r="E860" s="69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  <c r="U860"/>
      <c r="V860"/>
      <c r="W860"/>
      <c r="X860"/>
      <c r="Y860"/>
      <c r="Z860"/>
      <c r="AA860"/>
    </row>
    <row r="861" spans="2:27" s="25" customFormat="1" ht="15.75" customHeight="1" x14ac:dyDescent="0.2">
      <c r="B861" s="89"/>
      <c r="C861"/>
      <c r="D861"/>
      <c r="E861" s="69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  <c r="V861"/>
      <c r="W861"/>
      <c r="X861"/>
      <c r="Y861"/>
      <c r="Z861"/>
      <c r="AA861"/>
    </row>
    <row r="862" spans="2:27" s="25" customFormat="1" ht="15.75" customHeight="1" x14ac:dyDescent="0.2">
      <c r="B862" s="89"/>
      <c r="C862"/>
      <c r="D862"/>
      <c r="E862" s="69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  <c r="V862"/>
      <c r="W862"/>
      <c r="X862"/>
      <c r="Y862"/>
      <c r="Z862"/>
      <c r="AA862"/>
    </row>
    <row r="863" spans="2:27" s="25" customFormat="1" ht="15.75" customHeight="1" x14ac:dyDescent="0.2">
      <c r="B863" s="89"/>
      <c r="C863"/>
      <c r="D863"/>
      <c r="E863" s="69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  <c r="V863"/>
      <c r="W863"/>
      <c r="X863"/>
      <c r="Y863"/>
      <c r="Z863"/>
      <c r="AA863"/>
    </row>
    <row r="864" spans="2:27" s="25" customFormat="1" ht="15.75" customHeight="1" x14ac:dyDescent="0.2">
      <c r="B864" s="89"/>
      <c r="C864"/>
      <c r="D864"/>
      <c r="E864" s="69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/>
      <c r="U864"/>
      <c r="V864"/>
      <c r="W864"/>
      <c r="X864"/>
      <c r="Y864"/>
      <c r="Z864"/>
      <c r="AA864"/>
    </row>
    <row r="865" spans="2:27" s="25" customFormat="1" ht="15.75" customHeight="1" x14ac:dyDescent="0.2">
      <c r="B865" s="89"/>
      <c r="C865"/>
      <c r="D865"/>
      <c r="E865" s="69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  <c r="V865"/>
      <c r="W865"/>
      <c r="X865"/>
      <c r="Y865"/>
      <c r="Z865"/>
      <c r="AA865"/>
    </row>
    <row r="866" spans="2:27" s="25" customFormat="1" ht="15.75" customHeight="1" x14ac:dyDescent="0.2">
      <c r="B866" s="89"/>
      <c r="C866"/>
      <c r="D866"/>
      <c r="E866" s="69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  <c r="U866"/>
      <c r="V866"/>
      <c r="W866"/>
      <c r="X866"/>
      <c r="Y866"/>
      <c r="Z866"/>
      <c r="AA866"/>
    </row>
    <row r="867" spans="2:27" s="25" customFormat="1" ht="15.75" customHeight="1" x14ac:dyDescent="0.2">
      <c r="B867" s="89"/>
      <c r="C867"/>
      <c r="D867"/>
      <c r="E867" s="69"/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  <c r="T867"/>
      <c r="U867"/>
      <c r="V867"/>
      <c r="W867"/>
      <c r="X867"/>
      <c r="Y867"/>
      <c r="Z867"/>
      <c r="AA867"/>
    </row>
    <row r="868" spans="2:27" s="25" customFormat="1" ht="15.75" customHeight="1" x14ac:dyDescent="0.2">
      <c r="B868" s="89"/>
      <c r="C868"/>
      <c r="D868"/>
      <c r="E868" s="69"/>
      <c r="F868"/>
      <c r="G868"/>
      <c r="H868"/>
      <c r="I868"/>
      <c r="J868"/>
      <c r="K868"/>
      <c r="L868"/>
      <c r="M868"/>
      <c r="N868"/>
      <c r="O868"/>
      <c r="P868"/>
      <c r="Q868"/>
      <c r="R868"/>
      <c r="S868"/>
      <c r="T868"/>
      <c r="U868"/>
      <c r="V868"/>
      <c r="W868"/>
      <c r="X868"/>
      <c r="Y868"/>
      <c r="Z868"/>
      <c r="AA868"/>
    </row>
    <row r="869" spans="2:27" s="25" customFormat="1" ht="15.75" customHeight="1" x14ac:dyDescent="0.2">
      <c r="B869" s="89"/>
      <c r="C869"/>
      <c r="D869"/>
      <c r="E869" s="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  <c r="V869"/>
      <c r="W869"/>
      <c r="X869"/>
      <c r="Y869"/>
      <c r="Z869"/>
      <c r="AA869"/>
    </row>
    <row r="870" spans="2:27" s="25" customFormat="1" ht="15.75" customHeight="1" x14ac:dyDescent="0.2">
      <c r="B870" s="89"/>
      <c r="C870"/>
      <c r="D870"/>
      <c r="E870" s="69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  <c r="V870"/>
      <c r="W870"/>
      <c r="X870"/>
      <c r="Y870"/>
      <c r="Z870"/>
      <c r="AA870"/>
    </row>
    <row r="871" spans="2:27" s="25" customFormat="1" ht="15.75" customHeight="1" x14ac:dyDescent="0.2">
      <c r="B871" s="89"/>
      <c r="C871"/>
      <c r="D871"/>
      <c r="E871" s="69"/>
      <c r="F871"/>
      <c r="G871"/>
      <c r="H871"/>
      <c r="I871"/>
      <c r="J871"/>
      <c r="K871"/>
      <c r="L871"/>
      <c r="M871"/>
      <c r="N871"/>
      <c r="O871"/>
      <c r="P871"/>
      <c r="Q871"/>
      <c r="R871"/>
      <c r="S871"/>
      <c r="T871"/>
      <c r="U871"/>
      <c r="V871"/>
      <c r="W871"/>
      <c r="X871"/>
      <c r="Y871"/>
      <c r="Z871"/>
      <c r="AA871"/>
    </row>
    <row r="872" spans="2:27" s="25" customFormat="1" ht="15.75" customHeight="1" x14ac:dyDescent="0.2">
      <c r="B872" s="89"/>
      <c r="C872"/>
      <c r="D872"/>
      <c r="E872" s="69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  <c r="U872"/>
      <c r="V872"/>
      <c r="W872"/>
      <c r="X872"/>
      <c r="Y872"/>
      <c r="Z872"/>
      <c r="AA872"/>
    </row>
    <row r="873" spans="2:27" s="25" customFormat="1" ht="15.75" customHeight="1" x14ac:dyDescent="0.2">
      <c r="B873" s="89"/>
      <c r="C873"/>
      <c r="D873"/>
      <c r="E873" s="69"/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  <c r="T873"/>
      <c r="U873"/>
      <c r="V873"/>
      <c r="W873"/>
      <c r="X873"/>
      <c r="Y873"/>
      <c r="Z873"/>
      <c r="AA873"/>
    </row>
    <row r="874" spans="2:27" s="25" customFormat="1" ht="15.75" customHeight="1" x14ac:dyDescent="0.2">
      <c r="B874" s="89"/>
      <c r="C874"/>
      <c r="D874"/>
      <c r="E874" s="69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  <c r="V874"/>
      <c r="W874"/>
      <c r="X874"/>
      <c r="Y874"/>
      <c r="Z874"/>
      <c r="AA874"/>
    </row>
    <row r="875" spans="2:27" s="25" customFormat="1" ht="15.75" customHeight="1" x14ac:dyDescent="0.2">
      <c r="B875" s="89"/>
      <c r="C875"/>
      <c r="D875"/>
      <c r="E875" s="69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  <c r="V875"/>
      <c r="W875"/>
      <c r="X875"/>
      <c r="Y875"/>
      <c r="Z875"/>
      <c r="AA875"/>
    </row>
    <row r="876" spans="2:27" s="25" customFormat="1" ht="15.75" customHeight="1" x14ac:dyDescent="0.2">
      <c r="B876" s="89"/>
      <c r="C876"/>
      <c r="D876"/>
      <c r="E876" s="69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  <c r="V876"/>
      <c r="W876"/>
      <c r="X876"/>
      <c r="Y876"/>
      <c r="Z876"/>
      <c r="AA876"/>
    </row>
    <row r="877" spans="2:27" s="25" customFormat="1" ht="15.75" customHeight="1" x14ac:dyDescent="0.2">
      <c r="B877" s="89"/>
      <c r="C877"/>
      <c r="D877"/>
      <c r="E877" s="69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  <c r="U877"/>
      <c r="V877"/>
      <c r="W877"/>
      <c r="X877"/>
      <c r="Y877"/>
      <c r="Z877"/>
      <c r="AA877"/>
    </row>
    <row r="878" spans="2:27" s="25" customFormat="1" ht="15.75" customHeight="1" x14ac:dyDescent="0.2">
      <c r="B878" s="89"/>
      <c r="C878"/>
      <c r="D878"/>
      <c r="E878" s="69"/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  <c r="T878"/>
      <c r="U878"/>
      <c r="V878"/>
      <c r="W878"/>
      <c r="X878"/>
      <c r="Y878"/>
      <c r="Z878"/>
      <c r="AA878"/>
    </row>
    <row r="879" spans="2:27" s="25" customFormat="1" ht="15.75" customHeight="1" x14ac:dyDescent="0.2">
      <c r="B879" s="89"/>
      <c r="C879"/>
      <c r="D879"/>
      <c r="E879" s="6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  <c r="U879"/>
      <c r="V879"/>
      <c r="W879"/>
      <c r="X879"/>
      <c r="Y879"/>
      <c r="Z879"/>
      <c r="AA879"/>
    </row>
    <row r="880" spans="2:27" s="25" customFormat="1" ht="15.75" customHeight="1" x14ac:dyDescent="0.2">
      <c r="B880" s="89"/>
      <c r="C880"/>
      <c r="D880"/>
      <c r="E880" s="69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  <c r="U880"/>
      <c r="V880"/>
      <c r="W880"/>
      <c r="X880"/>
      <c r="Y880"/>
      <c r="Z880"/>
      <c r="AA880"/>
    </row>
    <row r="881" spans="2:27" s="25" customFormat="1" ht="15.75" customHeight="1" x14ac:dyDescent="0.2">
      <c r="B881" s="89"/>
      <c r="C881"/>
      <c r="D881"/>
      <c r="E881" s="69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  <c r="U881"/>
      <c r="V881"/>
      <c r="W881"/>
      <c r="X881"/>
      <c r="Y881"/>
      <c r="Z881"/>
      <c r="AA881"/>
    </row>
    <row r="882" spans="2:27" s="25" customFormat="1" ht="15.75" customHeight="1" x14ac:dyDescent="0.2">
      <c r="B882" s="89"/>
      <c r="C882"/>
      <c r="D882"/>
      <c r="E882" s="69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  <c r="U882"/>
      <c r="V882"/>
      <c r="W882"/>
      <c r="X882"/>
      <c r="Y882"/>
      <c r="Z882"/>
      <c r="AA882"/>
    </row>
    <row r="883" spans="2:27" s="25" customFormat="1" ht="15.75" customHeight="1" x14ac:dyDescent="0.2">
      <c r="B883" s="89"/>
      <c r="C883"/>
      <c r="D883"/>
      <c r="E883" s="69"/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  <c r="T883"/>
      <c r="U883"/>
      <c r="V883"/>
      <c r="W883"/>
      <c r="X883"/>
      <c r="Y883"/>
      <c r="Z883"/>
      <c r="AA883"/>
    </row>
    <row r="884" spans="2:27" s="25" customFormat="1" ht="15.75" customHeight="1" x14ac:dyDescent="0.2">
      <c r="B884" s="89"/>
      <c r="C884"/>
      <c r="D884"/>
      <c r="E884" s="69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  <c r="V884"/>
      <c r="W884"/>
      <c r="X884"/>
      <c r="Y884"/>
      <c r="Z884"/>
      <c r="AA884"/>
    </row>
    <row r="885" spans="2:27" s="25" customFormat="1" ht="15.75" customHeight="1" x14ac:dyDescent="0.2">
      <c r="B885" s="89"/>
      <c r="C885"/>
      <c r="D885"/>
      <c r="E885" s="69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  <c r="V885"/>
      <c r="W885"/>
      <c r="X885"/>
      <c r="Y885"/>
      <c r="Z885"/>
      <c r="AA885"/>
    </row>
    <row r="886" spans="2:27" s="25" customFormat="1" ht="15.75" customHeight="1" x14ac:dyDescent="0.2">
      <c r="B886" s="89"/>
      <c r="C886"/>
      <c r="D886"/>
      <c r="E886" s="69"/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  <c r="T886"/>
      <c r="U886"/>
      <c r="V886"/>
      <c r="W886"/>
      <c r="X886"/>
      <c r="Y886"/>
      <c r="Z886"/>
      <c r="AA886"/>
    </row>
    <row r="887" spans="2:27" s="25" customFormat="1" ht="15.75" customHeight="1" x14ac:dyDescent="0.2">
      <c r="B887" s="89"/>
      <c r="C887"/>
      <c r="D887"/>
      <c r="E887" s="69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  <c r="V887"/>
      <c r="W887"/>
      <c r="X887"/>
      <c r="Y887"/>
      <c r="Z887"/>
      <c r="AA887"/>
    </row>
    <row r="888" spans="2:27" s="25" customFormat="1" ht="15.75" customHeight="1" x14ac:dyDescent="0.2">
      <c r="B888" s="89"/>
      <c r="C888"/>
      <c r="D888"/>
      <c r="E888" s="69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  <c r="U888"/>
      <c r="V888"/>
      <c r="W888"/>
      <c r="X888"/>
      <c r="Y888"/>
      <c r="Z888"/>
      <c r="AA888"/>
    </row>
    <row r="889" spans="2:27" s="25" customFormat="1" ht="15.75" customHeight="1" x14ac:dyDescent="0.2">
      <c r="B889" s="89"/>
      <c r="C889"/>
      <c r="D889"/>
      <c r="E889" s="6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  <c r="V889"/>
      <c r="W889"/>
      <c r="X889"/>
      <c r="Y889"/>
      <c r="Z889"/>
      <c r="AA889"/>
    </row>
    <row r="890" spans="2:27" s="25" customFormat="1" ht="15.75" customHeight="1" x14ac:dyDescent="0.2">
      <c r="B890" s="89"/>
      <c r="C890"/>
      <c r="D890"/>
      <c r="E890" s="69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  <c r="V890"/>
      <c r="W890"/>
      <c r="X890"/>
      <c r="Y890"/>
      <c r="Z890"/>
      <c r="AA890"/>
    </row>
    <row r="891" spans="2:27" s="25" customFormat="1" ht="15.75" customHeight="1" x14ac:dyDescent="0.2">
      <c r="B891" s="89"/>
      <c r="C891"/>
      <c r="D891"/>
      <c r="E891" s="69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  <c r="V891"/>
      <c r="W891"/>
      <c r="X891"/>
      <c r="Y891"/>
      <c r="Z891"/>
      <c r="AA891"/>
    </row>
    <row r="892" spans="2:27" s="25" customFormat="1" ht="15.75" customHeight="1" x14ac:dyDescent="0.2">
      <c r="B892" s="89"/>
      <c r="C892"/>
      <c r="D892"/>
      <c r="E892" s="69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  <c r="V892"/>
      <c r="W892"/>
      <c r="X892"/>
      <c r="Y892"/>
      <c r="Z892"/>
      <c r="AA892"/>
    </row>
    <row r="893" spans="2:27" s="25" customFormat="1" ht="15.75" customHeight="1" x14ac:dyDescent="0.2">
      <c r="B893" s="89"/>
      <c r="C893"/>
      <c r="D893"/>
      <c r="E893" s="69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  <c r="U893"/>
      <c r="V893"/>
      <c r="W893"/>
      <c r="X893"/>
      <c r="Y893"/>
      <c r="Z893"/>
      <c r="AA893"/>
    </row>
    <row r="894" spans="2:27" s="25" customFormat="1" ht="15.75" customHeight="1" x14ac:dyDescent="0.2">
      <c r="B894" s="89"/>
      <c r="C894"/>
      <c r="D894"/>
      <c r="E894" s="69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  <c r="V894"/>
      <c r="W894"/>
      <c r="X894"/>
      <c r="Y894"/>
      <c r="Z894"/>
      <c r="AA894"/>
    </row>
    <row r="895" spans="2:27" s="25" customFormat="1" ht="15.75" customHeight="1" x14ac:dyDescent="0.2">
      <c r="B895" s="89"/>
      <c r="C895"/>
      <c r="D895"/>
      <c r="E895" s="69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  <c r="V895"/>
      <c r="W895"/>
      <c r="X895"/>
      <c r="Y895"/>
      <c r="Z895"/>
      <c r="AA895"/>
    </row>
    <row r="896" spans="2:27" s="25" customFormat="1" ht="15.75" customHeight="1" x14ac:dyDescent="0.2">
      <c r="B896" s="89"/>
      <c r="C896"/>
      <c r="D896"/>
      <c r="E896" s="69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  <c r="V896"/>
      <c r="W896"/>
      <c r="X896"/>
      <c r="Y896"/>
      <c r="Z896"/>
      <c r="AA896"/>
    </row>
    <row r="897" spans="2:27" s="25" customFormat="1" ht="15.75" customHeight="1" x14ac:dyDescent="0.2">
      <c r="B897" s="89"/>
      <c r="C897"/>
      <c r="D897"/>
      <c r="E897" s="69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  <c r="V897"/>
      <c r="W897"/>
      <c r="X897"/>
      <c r="Y897"/>
      <c r="Z897"/>
      <c r="AA897"/>
    </row>
    <row r="898" spans="2:27" s="25" customFormat="1" ht="15.75" customHeight="1" x14ac:dyDescent="0.2">
      <c r="B898" s="89"/>
      <c r="C898"/>
      <c r="D898"/>
      <c r="E898" s="69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  <c r="V898"/>
      <c r="W898"/>
      <c r="X898"/>
      <c r="Y898"/>
      <c r="Z898"/>
      <c r="AA898"/>
    </row>
    <row r="899" spans="2:27" s="25" customFormat="1" ht="15.75" customHeight="1" x14ac:dyDescent="0.2">
      <c r="B899" s="89"/>
      <c r="C899"/>
      <c r="D899"/>
      <c r="E899" s="6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  <c r="V899"/>
      <c r="W899"/>
      <c r="X899"/>
      <c r="Y899"/>
      <c r="Z899"/>
      <c r="AA899"/>
    </row>
    <row r="900" spans="2:27" s="25" customFormat="1" ht="15.75" customHeight="1" x14ac:dyDescent="0.2">
      <c r="B900" s="89"/>
      <c r="C900"/>
      <c r="D900"/>
      <c r="E900" s="69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  <c r="V900"/>
      <c r="W900"/>
      <c r="X900"/>
      <c r="Y900"/>
      <c r="Z900"/>
      <c r="AA900"/>
    </row>
    <row r="901" spans="2:27" s="25" customFormat="1" ht="15.75" customHeight="1" x14ac:dyDescent="0.2">
      <c r="B901" s="89"/>
      <c r="C901"/>
      <c r="D901"/>
      <c r="E901" s="69"/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/>
      <c r="U901"/>
      <c r="V901"/>
      <c r="W901"/>
      <c r="X901"/>
      <c r="Y901"/>
      <c r="Z901"/>
      <c r="AA901"/>
    </row>
    <row r="902" spans="2:27" s="25" customFormat="1" ht="15.75" customHeight="1" x14ac:dyDescent="0.2">
      <c r="B902" s="89"/>
      <c r="C902"/>
      <c r="D902"/>
      <c r="E902" s="69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  <c r="V902"/>
      <c r="W902"/>
      <c r="X902"/>
      <c r="Y902"/>
      <c r="Z902"/>
      <c r="AA902"/>
    </row>
    <row r="903" spans="2:27" s="25" customFormat="1" ht="15.75" customHeight="1" x14ac:dyDescent="0.2">
      <c r="B903" s="89"/>
      <c r="C903"/>
      <c r="D903"/>
      <c r="E903" s="69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  <c r="V903"/>
      <c r="W903"/>
      <c r="X903"/>
      <c r="Y903"/>
      <c r="Z903"/>
      <c r="AA903"/>
    </row>
    <row r="904" spans="2:27" s="25" customFormat="1" ht="15.75" customHeight="1" x14ac:dyDescent="0.2">
      <c r="B904" s="89"/>
      <c r="C904"/>
      <c r="D904"/>
      <c r="E904" s="69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  <c r="V904"/>
      <c r="W904"/>
      <c r="X904"/>
      <c r="Y904"/>
      <c r="Z904"/>
      <c r="AA904"/>
    </row>
    <row r="905" spans="2:27" s="25" customFormat="1" ht="15.75" customHeight="1" x14ac:dyDescent="0.2">
      <c r="B905" s="89"/>
      <c r="C905"/>
      <c r="D905"/>
      <c r="E905" s="69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  <c r="V905"/>
      <c r="W905"/>
      <c r="X905"/>
      <c r="Y905"/>
      <c r="Z905"/>
      <c r="AA905"/>
    </row>
    <row r="906" spans="2:27" s="25" customFormat="1" ht="15.75" customHeight="1" x14ac:dyDescent="0.2">
      <c r="B906" s="89"/>
      <c r="C906"/>
      <c r="D906"/>
      <c r="E906" s="69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  <c r="V906"/>
      <c r="W906"/>
      <c r="X906"/>
      <c r="Y906"/>
      <c r="Z906"/>
      <c r="AA906"/>
    </row>
    <row r="907" spans="2:27" s="25" customFormat="1" ht="15.75" customHeight="1" x14ac:dyDescent="0.2">
      <c r="B907" s="89"/>
      <c r="C907"/>
      <c r="D907"/>
      <c r="E907" s="69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  <c r="V907"/>
      <c r="W907"/>
      <c r="X907"/>
      <c r="Y907"/>
      <c r="Z907"/>
      <c r="AA907"/>
    </row>
    <row r="908" spans="2:27" s="25" customFormat="1" ht="15.75" customHeight="1" x14ac:dyDescent="0.2">
      <c r="B908" s="89"/>
      <c r="C908"/>
      <c r="D908"/>
      <c r="E908" s="69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  <c r="V908"/>
      <c r="W908"/>
      <c r="X908"/>
      <c r="Y908"/>
      <c r="Z908"/>
      <c r="AA908"/>
    </row>
    <row r="909" spans="2:27" s="25" customFormat="1" ht="15.75" customHeight="1" x14ac:dyDescent="0.2">
      <c r="B909" s="89"/>
      <c r="C909"/>
      <c r="D909"/>
      <c r="E909" s="6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  <c r="V909"/>
      <c r="W909"/>
      <c r="X909"/>
      <c r="Y909"/>
      <c r="Z909"/>
      <c r="AA909"/>
    </row>
    <row r="910" spans="2:27" s="25" customFormat="1" ht="15.75" customHeight="1" x14ac:dyDescent="0.2">
      <c r="B910" s="89"/>
      <c r="C910"/>
      <c r="D910"/>
      <c r="E910" s="69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  <c r="V910"/>
      <c r="W910"/>
      <c r="X910"/>
      <c r="Y910"/>
      <c r="Z910"/>
      <c r="AA910"/>
    </row>
    <row r="911" spans="2:27" s="25" customFormat="1" ht="15.75" customHeight="1" x14ac:dyDescent="0.2">
      <c r="B911" s="89"/>
      <c r="C911"/>
      <c r="D911"/>
      <c r="E911" s="69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  <c r="V911"/>
      <c r="W911"/>
      <c r="X911"/>
      <c r="Y911"/>
      <c r="Z911"/>
      <c r="AA911"/>
    </row>
    <row r="912" spans="2:27" s="25" customFormat="1" ht="15.75" customHeight="1" x14ac:dyDescent="0.2">
      <c r="B912" s="89"/>
      <c r="C912"/>
      <c r="D912"/>
      <c r="E912" s="69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  <c r="V912"/>
      <c r="W912"/>
      <c r="X912"/>
      <c r="Y912"/>
      <c r="Z912"/>
      <c r="AA912"/>
    </row>
    <row r="913" spans="2:27" s="25" customFormat="1" ht="15.75" customHeight="1" x14ac:dyDescent="0.2">
      <c r="B913" s="89"/>
      <c r="C913"/>
      <c r="D913"/>
      <c r="E913" s="69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  <c r="V913"/>
      <c r="W913"/>
      <c r="X913"/>
      <c r="Y913"/>
      <c r="Z913"/>
      <c r="AA913"/>
    </row>
    <row r="914" spans="2:27" s="25" customFormat="1" ht="15.75" customHeight="1" x14ac:dyDescent="0.2">
      <c r="B914" s="89"/>
      <c r="C914"/>
      <c r="D914"/>
      <c r="E914" s="69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  <c r="V914"/>
      <c r="W914"/>
      <c r="X914"/>
      <c r="Y914"/>
      <c r="Z914"/>
      <c r="AA914"/>
    </row>
    <row r="915" spans="2:27" s="25" customFormat="1" ht="15.75" customHeight="1" x14ac:dyDescent="0.2">
      <c r="B915" s="89"/>
      <c r="C915"/>
      <c r="D915"/>
      <c r="E915" s="69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  <c r="V915"/>
      <c r="W915"/>
      <c r="X915"/>
      <c r="Y915"/>
      <c r="Z915"/>
      <c r="AA915"/>
    </row>
    <row r="916" spans="2:27" s="25" customFormat="1" ht="15.75" customHeight="1" x14ac:dyDescent="0.2">
      <c r="B916" s="89"/>
      <c r="C916"/>
      <c r="D916"/>
      <c r="E916" s="69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  <c r="V916"/>
      <c r="W916"/>
      <c r="X916"/>
      <c r="Y916"/>
      <c r="Z916"/>
      <c r="AA916"/>
    </row>
    <row r="917" spans="2:27" s="25" customFormat="1" ht="15.75" customHeight="1" x14ac:dyDescent="0.2">
      <c r="B917" s="89"/>
      <c r="C917"/>
      <c r="D917"/>
      <c r="E917" s="69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  <c r="V917"/>
      <c r="W917"/>
      <c r="X917"/>
      <c r="Y917"/>
      <c r="Z917"/>
      <c r="AA917"/>
    </row>
    <row r="918" spans="2:27" s="25" customFormat="1" ht="15.75" customHeight="1" x14ac:dyDescent="0.2">
      <c r="B918" s="89"/>
      <c r="C918"/>
      <c r="D918"/>
      <c r="E918" s="69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  <c r="V918"/>
      <c r="W918"/>
      <c r="X918"/>
      <c r="Y918"/>
      <c r="Z918"/>
      <c r="AA918"/>
    </row>
    <row r="919" spans="2:27" s="25" customFormat="1" ht="15.75" customHeight="1" x14ac:dyDescent="0.2">
      <c r="B919" s="89"/>
      <c r="C919"/>
      <c r="D919"/>
      <c r="E919" s="6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  <c r="V919"/>
      <c r="W919"/>
      <c r="X919"/>
      <c r="Y919"/>
      <c r="Z919"/>
      <c r="AA919"/>
    </row>
    <row r="920" spans="2:27" s="25" customFormat="1" ht="15.75" customHeight="1" x14ac:dyDescent="0.2">
      <c r="B920" s="89"/>
      <c r="C920"/>
      <c r="D920"/>
      <c r="E920" s="69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  <c r="V920"/>
      <c r="W920"/>
      <c r="X920"/>
      <c r="Y920"/>
      <c r="Z920"/>
      <c r="AA920"/>
    </row>
    <row r="921" spans="2:27" s="25" customFormat="1" ht="15.75" customHeight="1" x14ac:dyDescent="0.2">
      <c r="B921" s="89"/>
      <c r="C921"/>
      <c r="D921"/>
      <c r="E921" s="69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  <c r="V921"/>
      <c r="W921"/>
      <c r="X921"/>
      <c r="Y921"/>
      <c r="Z921"/>
      <c r="AA921"/>
    </row>
    <row r="922" spans="2:27" s="25" customFormat="1" ht="15.75" customHeight="1" x14ac:dyDescent="0.2">
      <c r="B922" s="89"/>
      <c r="C922"/>
      <c r="D922"/>
      <c r="E922" s="69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  <c r="V922"/>
      <c r="W922"/>
      <c r="X922"/>
      <c r="Y922"/>
      <c r="Z922"/>
      <c r="AA922"/>
    </row>
    <row r="923" spans="2:27" s="25" customFormat="1" ht="15.75" customHeight="1" x14ac:dyDescent="0.2">
      <c r="B923" s="89"/>
      <c r="C923"/>
      <c r="D923"/>
      <c r="E923" s="69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  <c r="V923"/>
      <c r="W923"/>
      <c r="X923"/>
      <c r="Y923"/>
      <c r="Z923"/>
      <c r="AA923"/>
    </row>
    <row r="924" spans="2:27" s="25" customFormat="1" ht="15.75" customHeight="1" x14ac:dyDescent="0.2">
      <c r="B924" s="89"/>
      <c r="C924"/>
      <c r="D924"/>
      <c r="E924" s="69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  <c r="V924"/>
      <c r="W924"/>
      <c r="X924"/>
      <c r="Y924"/>
      <c r="Z924"/>
      <c r="AA924"/>
    </row>
    <row r="925" spans="2:27" s="25" customFormat="1" ht="15.75" customHeight="1" x14ac:dyDescent="0.2">
      <c r="B925" s="89"/>
      <c r="C925"/>
      <c r="D925"/>
      <c r="E925" s="69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  <c r="V925"/>
      <c r="W925"/>
      <c r="X925"/>
      <c r="Y925"/>
      <c r="Z925"/>
      <c r="AA925"/>
    </row>
    <row r="926" spans="2:27" s="25" customFormat="1" ht="15.75" customHeight="1" x14ac:dyDescent="0.2">
      <c r="B926" s="89"/>
      <c r="C926"/>
      <c r="D926"/>
      <c r="E926" s="69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  <c r="V926"/>
      <c r="W926"/>
      <c r="X926"/>
      <c r="Y926"/>
      <c r="Z926"/>
      <c r="AA926"/>
    </row>
    <row r="927" spans="2:27" s="25" customFormat="1" ht="15.75" customHeight="1" x14ac:dyDescent="0.2">
      <c r="B927" s="89"/>
      <c r="C927"/>
      <c r="D927"/>
      <c r="E927" s="69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  <c r="V927"/>
      <c r="W927"/>
      <c r="X927"/>
      <c r="Y927"/>
      <c r="Z927"/>
      <c r="AA927"/>
    </row>
    <row r="928" spans="2:27" s="25" customFormat="1" ht="15.75" customHeight="1" x14ac:dyDescent="0.2">
      <c r="B928" s="89"/>
      <c r="C928"/>
      <c r="D928"/>
      <c r="E928" s="69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  <c r="V928"/>
      <c r="W928"/>
      <c r="X928"/>
      <c r="Y928"/>
      <c r="Z928"/>
      <c r="AA928"/>
    </row>
    <row r="929" spans="2:27" s="25" customFormat="1" ht="15.75" customHeight="1" x14ac:dyDescent="0.2">
      <c r="B929" s="89"/>
      <c r="C929"/>
      <c r="D929"/>
      <c r="E929" s="6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  <c r="V929"/>
      <c r="W929"/>
      <c r="X929"/>
      <c r="Y929"/>
      <c r="Z929"/>
      <c r="AA929"/>
    </row>
    <row r="930" spans="2:27" s="25" customFormat="1" ht="15.75" customHeight="1" x14ac:dyDescent="0.2">
      <c r="B930" s="89"/>
      <c r="C930"/>
      <c r="D930"/>
      <c r="E930" s="69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  <c r="V930"/>
      <c r="W930"/>
      <c r="X930"/>
      <c r="Y930"/>
      <c r="Z930"/>
      <c r="AA930"/>
    </row>
    <row r="931" spans="2:27" s="25" customFormat="1" ht="15.75" customHeight="1" x14ac:dyDescent="0.2">
      <c r="B931" s="89"/>
      <c r="C931"/>
      <c r="D931"/>
      <c r="E931" s="69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  <c r="V931"/>
      <c r="W931"/>
      <c r="X931"/>
      <c r="Y931"/>
      <c r="Z931"/>
      <c r="AA931"/>
    </row>
    <row r="932" spans="2:27" s="25" customFormat="1" ht="15.75" customHeight="1" x14ac:dyDescent="0.2">
      <c r="B932" s="89"/>
      <c r="C932"/>
      <c r="D932"/>
      <c r="E932" s="69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  <c r="V932"/>
      <c r="W932"/>
      <c r="X932"/>
      <c r="Y932"/>
      <c r="Z932"/>
      <c r="AA932"/>
    </row>
    <row r="933" spans="2:27" s="25" customFormat="1" ht="15.75" customHeight="1" x14ac:dyDescent="0.2">
      <c r="B933" s="89"/>
      <c r="C933"/>
      <c r="D933"/>
      <c r="E933" s="69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  <c r="V933"/>
      <c r="W933"/>
      <c r="X933"/>
      <c r="Y933"/>
      <c r="Z933"/>
      <c r="AA933"/>
    </row>
    <row r="934" spans="2:27" s="25" customFormat="1" ht="15.75" customHeight="1" x14ac:dyDescent="0.2">
      <c r="B934" s="89"/>
      <c r="C934"/>
      <c r="D934"/>
      <c r="E934" s="69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  <c r="V934"/>
      <c r="W934"/>
      <c r="X934"/>
      <c r="Y934"/>
      <c r="Z934"/>
      <c r="AA934"/>
    </row>
    <row r="935" spans="2:27" s="25" customFormat="1" ht="15.75" customHeight="1" x14ac:dyDescent="0.2">
      <c r="B935" s="89"/>
      <c r="C935"/>
      <c r="D935"/>
      <c r="E935" s="69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  <c r="V935"/>
      <c r="W935"/>
      <c r="X935"/>
      <c r="Y935"/>
      <c r="Z935"/>
      <c r="AA935"/>
    </row>
    <row r="936" spans="2:27" s="25" customFormat="1" ht="15.75" customHeight="1" x14ac:dyDescent="0.2">
      <c r="B936" s="89"/>
      <c r="C936"/>
      <c r="D936"/>
      <c r="E936" s="69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  <c r="V936"/>
      <c r="W936"/>
      <c r="X936"/>
      <c r="Y936"/>
      <c r="Z936"/>
      <c r="AA936"/>
    </row>
    <row r="937" spans="2:27" s="25" customFormat="1" ht="15.75" customHeight="1" x14ac:dyDescent="0.2">
      <c r="B937" s="89"/>
      <c r="C937"/>
      <c r="D937"/>
      <c r="E937" s="69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  <c r="V937"/>
      <c r="W937"/>
      <c r="X937"/>
      <c r="Y937"/>
      <c r="Z937"/>
      <c r="AA937"/>
    </row>
    <row r="938" spans="2:27" s="25" customFormat="1" ht="15.75" customHeight="1" x14ac:dyDescent="0.2">
      <c r="B938" s="89"/>
      <c r="C938"/>
      <c r="D938"/>
      <c r="E938" s="69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  <c r="V938"/>
      <c r="W938"/>
      <c r="X938"/>
      <c r="Y938"/>
      <c r="Z938"/>
      <c r="AA938"/>
    </row>
    <row r="939" spans="2:27" s="25" customFormat="1" ht="15.75" customHeight="1" x14ac:dyDescent="0.2">
      <c r="B939" s="89"/>
      <c r="C939"/>
      <c r="D939"/>
      <c r="E939" s="6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  <c r="V939"/>
      <c r="W939"/>
      <c r="X939"/>
      <c r="Y939"/>
      <c r="Z939"/>
      <c r="AA939"/>
    </row>
    <row r="940" spans="2:27" s="25" customFormat="1" ht="15.75" customHeight="1" x14ac:dyDescent="0.2">
      <c r="B940" s="89"/>
      <c r="C940"/>
      <c r="D940"/>
      <c r="E940" s="69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  <c r="V940"/>
      <c r="W940"/>
      <c r="X940"/>
      <c r="Y940"/>
      <c r="Z940"/>
      <c r="AA940"/>
    </row>
    <row r="941" spans="2:27" s="25" customFormat="1" ht="15.75" customHeight="1" x14ac:dyDescent="0.2">
      <c r="B941" s="89"/>
      <c r="C941"/>
      <c r="D941"/>
      <c r="E941" s="69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  <c r="V941"/>
      <c r="W941"/>
      <c r="X941"/>
      <c r="Y941"/>
      <c r="Z941"/>
      <c r="AA941"/>
    </row>
    <row r="942" spans="2:27" s="25" customFormat="1" ht="15.75" customHeight="1" x14ac:dyDescent="0.2">
      <c r="B942" s="89"/>
      <c r="C942"/>
      <c r="D942"/>
      <c r="E942" s="69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  <c r="V942"/>
      <c r="W942"/>
      <c r="X942"/>
      <c r="Y942"/>
      <c r="Z942"/>
      <c r="AA942"/>
    </row>
    <row r="943" spans="2:27" s="25" customFormat="1" ht="15.75" customHeight="1" x14ac:dyDescent="0.2">
      <c r="B943" s="89"/>
      <c r="C943"/>
      <c r="D943"/>
      <c r="E943" s="69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  <c r="V943"/>
      <c r="W943"/>
      <c r="X943"/>
      <c r="Y943"/>
      <c r="Z943"/>
      <c r="AA943"/>
    </row>
    <row r="944" spans="2:27" s="25" customFormat="1" ht="15.75" customHeight="1" x14ac:dyDescent="0.2">
      <c r="B944" s="89"/>
      <c r="C944"/>
      <c r="D944"/>
      <c r="E944" s="69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  <c r="V944"/>
      <c r="W944"/>
      <c r="X944"/>
      <c r="Y944"/>
      <c r="Z944"/>
      <c r="AA944"/>
    </row>
    <row r="945" spans="2:27" s="25" customFormat="1" ht="15.75" customHeight="1" x14ac:dyDescent="0.2">
      <c r="B945" s="89"/>
      <c r="C945"/>
      <c r="D945"/>
      <c r="E945" s="69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  <c r="U945"/>
      <c r="V945"/>
      <c r="W945"/>
      <c r="X945"/>
      <c r="Y945"/>
      <c r="Z945"/>
      <c r="AA945"/>
    </row>
    <row r="946" spans="2:27" s="25" customFormat="1" ht="15.75" customHeight="1" x14ac:dyDescent="0.2">
      <c r="B946" s="89"/>
      <c r="C946"/>
      <c r="D946"/>
      <c r="E946" s="69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  <c r="V946"/>
      <c r="W946"/>
      <c r="X946"/>
      <c r="Y946"/>
      <c r="Z946"/>
      <c r="AA946"/>
    </row>
    <row r="947" spans="2:27" s="25" customFormat="1" ht="15.75" customHeight="1" x14ac:dyDescent="0.2">
      <c r="B947" s="89"/>
      <c r="C947"/>
      <c r="D947"/>
      <c r="E947" s="69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  <c r="U947"/>
      <c r="V947"/>
      <c r="W947"/>
      <c r="X947"/>
      <c r="Y947"/>
      <c r="Z947"/>
      <c r="AA947"/>
    </row>
    <row r="948" spans="2:27" s="25" customFormat="1" ht="15.75" customHeight="1" x14ac:dyDescent="0.2">
      <c r="B948" s="89"/>
      <c r="C948"/>
      <c r="D948"/>
      <c r="E948" s="69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  <c r="U948"/>
      <c r="V948"/>
      <c r="W948"/>
      <c r="X948"/>
      <c r="Y948"/>
      <c r="Z948"/>
      <c r="AA948"/>
    </row>
    <row r="949" spans="2:27" s="25" customFormat="1" ht="15.75" customHeight="1" x14ac:dyDescent="0.2">
      <c r="B949" s="89"/>
      <c r="C949"/>
      <c r="D949"/>
      <c r="E949" s="6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  <c r="V949"/>
      <c r="W949"/>
      <c r="X949"/>
      <c r="Y949"/>
      <c r="Z949"/>
      <c r="AA949"/>
    </row>
    <row r="950" spans="2:27" s="25" customFormat="1" ht="15.75" customHeight="1" x14ac:dyDescent="0.2">
      <c r="B950" s="89"/>
      <c r="C950"/>
      <c r="D950"/>
      <c r="E950" s="69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  <c r="U950"/>
      <c r="V950"/>
      <c r="W950"/>
      <c r="X950"/>
      <c r="Y950"/>
      <c r="Z950"/>
      <c r="AA950"/>
    </row>
    <row r="951" spans="2:27" s="25" customFormat="1" ht="15.75" customHeight="1" x14ac:dyDescent="0.2">
      <c r="B951" s="89"/>
      <c r="C951"/>
      <c r="D951"/>
      <c r="E951" s="69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  <c r="V951"/>
      <c r="W951"/>
      <c r="X951"/>
      <c r="Y951"/>
      <c r="Z951"/>
      <c r="AA951"/>
    </row>
    <row r="952" spans="2:27" s="25" customFormat="1" ht="15.75" customHeight="1" x14ac:dyDescent="0.2">
      <c r="B952" s="89"/>
      <c r="C952"/>
      <c r="D952"/>
      <c r="E952" s="69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  <c r="U952"/>
      <c r="V952"/>
      <c r="W952"/>
      <c r="X952"/>
      <c r="Y952"/>
      <c r="Z952"/>
      <c r="AA952"/>
    </row>
    <row r="953" spans="2:27" s="25" customFormat="1" ht="15.75" customHeight="1" x14ac:dyDescent="0.2">
      <c r="B953" s="89"/>
      <c r="C953"/>
      <c r="D953"/>
      <c r="E953" s="69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  <c r="U953"/>
      <c r="V953"/>
      <c r="W953"/>
      <c r="X953"/>
      <c r="Y953"/>
      <c r="Z953"/>
      <c r="AA953"/>
    </row>
    <row r="954" spans="2:27" s="25" customFormat="1" ht="15.75" customHeight="1" x14ac:dyDescent="0.2">
      <c r="B954" s="89"/>
      <c r="C954"/>
      <c r="D954"/>
      <c r="E954" s="69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  <c r="V954"/>
      <c r="W954"/>
      <c r="X954"/>
      <c r="Y954"/>
      <c r="Z954"/>
      <c r="AA954"/>
    </row>
    <row r="955" spans="2:27" s="25" customFormat="1" ht="15.75" customHeight="1" x14ac:dyDescent="0.2">
      <c r="B955" s="89"/>
      <c r="C955"/>
      <c r="D955"/>
      <c r="E955" s="69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  <c r="V955"/>
      <c r="W955"/>
      <c r="X955"/>
      <c r="Y955"/>
      <c r="Z955"/>
      <c r="AA955"/>
    </row>
    <row r="956" spans="2:27" s="25" customFormat="1" ht="15.75" customHeight="1" x14ac:dyDescent="0.2">
      <c r="B956" s="89"/>
      <c r="C956"/>
      <c r="D956"/>
      <c r="E956" s="69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  <c r="U956"/>
      <c r="V956"/>
      <c r="W956"/>
      <c r="X956"/>
      <c r="Y956"/>
      <c r="Z956"/>
      <c r="AA956"/>
    </row>
    <row r="957" spans="2:27" s="25" customFormat="1" ht="15.75" customHeight="1" x14ac:dyDescent="0.2">
      <c r="B957" s="89"/>
      <c r="C957"/>
      <c r="D957"/>
      <c r="E957" s="69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  <c r="V957"/>
      <c r="W957"/>
      <c r="X957"/>
      <c r="Y957"/>
      <c r="Z957"/>
      <c r="AA957"/>
    </row>
    <row r="958" spans="2:27" s="25" customFormat="1" ht="15.75" customHeight="1" x14ac:dyDescent="0.2">
      <c r="B958" s="89"/>
      <c r="C958"/>
      <c r="D958"/>
      <c r="E958" s="69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  <c r="V958"/>
      <c r="W958"/>
      <c r="X958"/>
      <c r="Y958"/>
      <c r="Z958"/>
      <c r="AA958"/>
    </row>
    <row r="959" spans="2:27" s="25" customFormat="1" ht="15.75" customHeight="1" x14ac:dyDescent="0.2">
      <c r="B959" s="89"/>
      <c r="C959"/>
      <c r="D959"/>
      <c r="E959" s="6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  <c r="V959"/>
      <c r="W959"/>
      <c r="X959"/>
      <c r="Y959"/>
      <c r="Z959"/>
      <c r="AA959"/>
    </row>
    <row r="960" spans="2:27" s="25" customFormat="1" ht="15.75" customHeight="1" x14ac:dyDescent="0.2">
      <c r="B960" s="89"/>
      <c r="C960"/>
      <c r="D960"/>
      <c r="E960" s="69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  <c r="U960"/>
      <c r="V960"/>
      <c r="W960"/>
      <c r="X960"/>
      <c r="Y960"/>
      <c r="Z960"/>
      <c r="AA960"/>
    </row>
    <row r="961" spans="2:27" s="25" customFormat="1" ht="15.75" customHeight="1" x14ac:dyDescent="0.2">
      <c r="B961" s="89"/>
      <c r="C961"/>
      <c r="D961"/>
      <c r="E961" s="69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  <c r="V961"/>
      <c r="W961"/>
      <c r="X961"/>
      <c r="Y961"/>
      <c r="Z961"/>
      <c r="AA961"/>
    </row>
    <row r="962" spans="2:27" s="25" customFormat="1" ht="15.75" customHeight="1" x14ac:dyDescent="0.2">
      <c r="B962" s="89"/>
      <c r="C962"/>
      <c r="D962"/>
      <c r="E962" s="69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  <c r="V962"/>
      <c r="W962"/>
      <c r="X962"/>
      <c r="Y962"/>
      <c r="Z962"/>
      <c r="AA962"/>
    </row>
    <row r="963" spans="2:27" s="25" customFormat="1" ht="15.75" customHeight="1" x14ac:dyDescent="0.2">
      <c r="B963" s="89"/>
      <c r="C963"/>
      <c r="D963"/>
      <c r="E963" s="69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  <c r="V963"/>
      <c r="W963"/>
      <c r="X963"/>
      <c r="Y963"/>
      <c r="Z963"/>
      <c r="AA963"/>
    </row>
    <row r="964" spans="2:27" s="25" customFormat="1" ht="15.75" customHeight="1" x14ac:dyDescent="0.2">
      <c r="B964" s="89"/>
      <c r="C964"/>
      <c r="D964"/>
      <c r="E964" s="69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  <c r="V964"/>
      <c r="W964"/>
      <c r="X964"/>
      <c r="Y964"/>
      <c r="Z964"/>
      <c r="AA964"/>
    </row>
    <row r="965" spans="2:27" s="25" customFormat="1" ht="15.75" customHeight="1" x14ac:dyDescent="0.2">
      <c r="B965" s="89"/>
      <c r="C965"/>
      <c r="D965"/>
      <c r="E965" s="69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  <c r="T965"/>
      <c r="U965"/>
      <c r="V965"/>
      <c r="W965"/>
      <c r="X965"/>
      <c r="Y965"/>
      <c r="Z965"/>
      <c r="AA965"/>
    </row>
    <row r="966" spans="2:27" s="25" customFormat="1" ht="15.75" customHeight="1" x14ac:dyDescent="0.2">
      <c r="B966" s="89"/>
      <c r="C966"/>
      <c r="D966"/>
      <c r="E966" s="69"/>
      <c r="F966"/>
      <c r="G966"/>
      <c r="H966"/>
      <c r="I966"/>
      <c r="J966"/>
      <c r="K966"/>
      <c r="L966"/>
      <c r="M966"/>
      <c r="N966"/>
      <c r="O966"/>
      <c r="P966"/>
      <c r="Q966"/>
      <c r="R966"/>
      <c r="S966"/>
      <c r="T966"/>
      <c r="U966"/>
      <c r="V966"/>
      <c r="W966"/>
      <c r="X966"/>
      <c r="Y966"/>
      <c r="Z966"/>
      <c r="AA966"/>
    </row>
    <row r="967" spans="2:27" s="25" customFormat="1" ht="15.75" customHeight="1" x14ac:dyDescent="0.2">
      <c r="B967" s="89"/>
      <c r="C967"/>
      <c r="D967"/>
      <c r="E967" s="69"/>
      <c r="F967"/>
      <c r="G967"/>
      <c r="H967"/>
      <c r="I967"/>
      <c r="J967"/>
      <c r="K967"/>
      <c r="L967"/>
      <c r="M967"/>
      <c r="N967"/>
      <c r="O967"/>
      <c r="P967"/>
      <c r="Q967"/>
      <c r="R967"/>
      <c r="S967"/>
      <c r="T967"/>
      <c r="U967"/>
      <c r="V967"/>
      <c r="W967"/>
      <c r="X967"/>
      <c r="Y967"/>
      <c r="Z967"/>
      <c r="AA967"/>
    </row>
    <row r="968" spans="2:27" s="25" customFormat="1" ht="15.75" customHeight="1" x14ac:dyDescent="0.2">
      <c r="B968" s="89"/>
      <c r="C968"/>
      <c r="D968"/>
      <c r="E968" s="69"/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  <c r="U968"/>
      <c r="V968"/>
      <c r="W968"/>
      <c r="X968"/>
      <c r="Y968"/>
      <c r="Z968"/>
      <c r="AA968"/>
    </row>
    <row r="969" spans="2:27" s="25" customFormat="1" ht="15.75" customHeight="1" x14ac:dyDescent="0.2">
      <c r="B969" s="89"/>
      <c r="C969"/>
      <c r="D969"/>
      <c r="E969" s="69"/>
      <c r="F969"/>
      <c r="G969"/>
      <c r="H969"/>
      <c r="I969"/>
      <c r="J969"/>
      <c r="K969"/>
      <c r="L969"/>
      <c r="M969"/>
      <c r="N969"/>
      <c r="O969"/>
      <c r="P969"/>
      <c r="Q969"/>
      <c r="R969"/>
      <c r="S969"/>
      <c r="T969"/>
      <c r="U969"/>
      <c r="V969"/>
      <c r="W969"/>
      <c r="X969"/>
      <c r="Y969"/>
      <c r="Z969"/>
      <c r="AA969"/>
    </row>
    <row r="970" spans="2:27" s="25" customFormat="1" ht="15.75" customHeight="1" x14ac:dyDescent="0.2">
      <c r="B970" s="89"/>
      <c r="C970"/>
      <c r="D970"/>
      <c r="E970" s="69"/>
      <c r="F970"/>
      <c r="G970"/>
      <c r="H970"/>
      <c r="I970"/>
      <c r="J970"/>
      <c r="K970"/>
      <c r="L970"/>
      <c r="M970"/>
      <c r="N970"/>
      <c r="O970"/>
      <c r="P970"/>
      <c r="Q970"/>
      <c r="R970"/>
      <c r="S970"/>
      <c r="T970"/>
      <c r="U970"/>
      <c r="V970"/>
      <c r="W970"/>
      <c r="X970"/>
      <c r="Y970"/>
      <c r="Z970"/>
      <c r="AA970"/>
    </row>
    <row r="971" spans="2:27" s="25" customFormat="1" ht="15.75" customHeight="1" x14ac:dyDescent="0.2">
      <c r="B971" s="89"/>
      <c r="C971"/>
      <c r="D971"/>
      <c r="E971" s="69"/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  <c r="T971"/>
      <c r="U971"/>
      <c r="V971"/>
      <c r="W971"/>
      <c r="X971"/>
      <c r="Y971"/>
      <c r="Z971"/>
      <c r="AA971"/>
    </row>
    <row r="972" spans="2:27" s="25" customFormat="1" ht="15.75" customHeight="1" x14ac:dyDescent="0.2">
      <c r="B972" s="89"/>
      <c r="C972"/>
      <c r="D972"/>
      <c r="E972" s="69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  <c r="U972"/>
      <c r="V972"/>
      <c r="W972"/>
      <c r="X972"/>
      <c r="Y972"/>
      <c r="Z972"/>
      <c r="AA972"/>
    </row>
    <row r="973" spans="2:27" s="25" customFormat="1" ht="15.75" customHeight="1" x14ac:dyDescent="0.2">
      <c r="B973" s="89"/>
      <c r="C973"/>
      <c r="D973"/>
      <c r="E973" s="69"/>
      <c r="F973"/>
      <c r="G973"/>
      <c r="H973"/>
      <c r="I973"/>
      <c r="J973"/>
      <c r="K973"/>
      <c r="L973"/>
      <c r="M973"/>
      <c r="N973"/>
      <c r="O973"/>
      <c r="P973"/>
      <c r="Q973"/>
      <c r="R973"/>
      <c r="S973"/>
      <c r="T973"/>
      <c r="U973"/>
      <c r="V973"/>
      <c r="W973"/>
      <c r="X973"/>
      <c r="Y973"/>
      <c r="Z973"/>
      <c r="AA973"/>
    </row>
    <row r="974" spans="2:27" s="25" customFormat="1" ht="15.75" customHeight="1" x14ac:dyDescent="0.2">
      <c r="B974" s="89"/>
      <c r="C974"/>
      <c r="D974"/>
      <c r="E974" s="69"/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  <c r="T974"/>
      <c r="U974"/>
      <c r="V974"/>
      <c r="W974"/>
      <c r="X974"/>
      <c r="Y974"/>
      <c r="Z974"/>
      <c r="AA974"/>
    </row>
    <row r="975" spans="2:27" s="25" customFormat="1" ht="15.75" customHeight="1" x14ac:dyDescent="0.2">
      <c r="B975" s="89"/>
      <c r="C975"/>
      <c r="D975"/>
      <c r="E975" s="69"/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  <c r="U975"/>
      <c r="V975"/>
      <c r="W975"/>
      <c r="X975"/>
      <c r="Y975"/>
      <c r="Z975"/>
      <c r="AA975"/>
    </row>
    <row r="976" spans="2:27" s="25" customFormat="1" ht="15.75" customHeight="1" x14ac:dyDescent="0.2">
      <c r="B976" s="89"/>
      <c r="C976"/>
      <c r="D976"/>
      <c r="E976" s="69"/>
      <c r="F976"/>
      <c r="G976"/>
      <c r="H976"/>
      <c r="I976"/>
      <c r="J976"/>
      <c r="K976"/>
      <c r="L976"/>
      <c r="M976"/>
      <c r="N976"/>
      <c r="O976"/>
      <c r="P976"/>
      <c r="Q976"/>
      <c r="R976"/>
      <c r="S976"/>
      <c r="T976"/>
      <c r="U976"/>
      <c r="V976"/>
      <c r="W976"/>
      <c r="X976"/>
      <c r="Y976"/>
      <c r="Z976"/>
      <c r="AA976"/>
    </row>
    <row r="977" spans="2:27" s="25" customFormat="1" ht="15.75" customHeight="1" x14ac:dyDescent="0.2">
      <c r="B977" s="89"/>
      <c r="C977"/>
      <c r="D977"/>
      <c r="E977" s="69"/>
      <c r="F977"/>
      <c r="G977"/>
      <c r="H977"/>
      <c r="I977"/>
      <c r="J977"/>
      <c r="K977"/>
      <c r="L977"/>
      <c r="M977"/>
      <c r="N977"/>
      <c r="O977"/>
      <c r="P977"/>
      <c r="Q977"/>
      <c r="R977"/>
      <c r="S977"/>
      <c r="T977"/>
      <c r="U977"/>
      <c r="V977"/>
      <c r="W977"/>
      <c r="X977"/>
      <c r="Y977"/>
      <c r="Z977"/>
      <c r="AA977"/>
    </row>
    <row r="978" spans="2:27" s="25" customFormat="1" ht="15.75" customHeight="1" x14ac:dyDescent="0.2">
      <c r="B978" s="89"/>
      <c r="C978"/>
      <c r="D978"/>
      <c r="E978" s="69"/>
      <c r="F978"/>
      <c r="G978"/>
      <c r="H978"/>
      <c r="I978"/>
      <c r="J978"/>
      <c r="K978"/>
      <c r="L978"/>
      <c r="M978"/>
      <c r="N978"/>
      <c r="O978"/>
      <c r="P978"/>
      <c r="Q978"/>
      <c r="R978"/>
      <c r="S978"/>
      <c r="T978"/>
      <c r="U978"/>
      <c r="V978"/>
      <c r="W978"/>
      <c r="X978"/>
      <c r="Y978"/>
      <c r="Z978"/>
      <c r="AA978"/>
    </row>
    <row r="979" spans="2:27" s="25" customFormat="1" ht="15.75" customHeight="1" x14ac:dyDescent="0.2">
      <c r="B979" s="89"/>
      <c r="C979"/>
      <c r="D979"/>
      <c r="E979" s="69"/>
      <c r="F979"/>
      <c r="G979"/>
      <c r="H979"/>
      <c r="I979"/>
      <c r="J979"/>
      <c r="K979"/>
      <c r="L979"/>
      <c r="M979"/>
      <c r="N979"/>
      <c r="O979"/>
      <c r="P979"/>
      <c r="Q979"/>
      <c r="R979"/>
      <c r="S979"/>
      <c r="T979"/>
      <c r="U979"/>
      <c r="V979"/>
      <c r="W979"/>
      <c r="X979"/>
      <c r="Y979"/>
      <c r="Z979"/>
      <c r="AA979"/>
    </row>
    <row r="980" spans="2:27" s="25" customFormat="1" ht="15.75" customHeight="1" x14ac:dyDescent="0.2">
      <c r="B980" s="89"/>
      <c r="C980"/>
      <c r="D980"/>
      <c r="E980" s="69"/>
      <c r="F980"/>
      <c r="G980"/>
      <c r="H980"/>
      <c r="I980"/>
      <c r="J980"/>
      <c r="K980"/>
      <c r="L980"/>
      <c r="M980"/>
      <c r="N980"/>
      <c r="O980"/>
      <c r="P980"/>
      <c r="Q980"/>
      <c r="R980"/>
      <c r="S980"/>
      <c r="T980"/>
      <c r="U980"/>
      <c r="V980"/>
      <c r="W980"/>
      <c r="X980"/>
      <c r="Y980"/>
      <c r="Z980"/>
      <c r="AA980"/>
    </row>
    <row r="981" spans="2:27" s="25" customFormat="1" ht="15.75" customHeight="1" x14ac:dyDescent="0.2">
      <c r="B981" s="89"/>
      <c r="C981"/>
      <c r="D981"/>
      <c r="E981" s="69"/>
      <c r="F981"/>
      <c r="G981"/>
      <c r="H981"/>
      <c r="I981"/>
      <c r="J981"/>
      <c r="K981"/>
      <c r="L981"/>
      <c r="M981"/>
      <c r="N981"/>
      <c r="O981"/>
      <c r="P981"/>
      <c r="Q981"/>
      <c r="R981"/>
      <c r="S981"/>
      <c r="T981"/>
      <c r="U981"/>
      <c r="V981"/>
      <c r="W981"/>
      <c r="X981"/>
      <c r="Y981"/>
      <c r="Z981"/>
      <c r="AA981"/>
    </row>
    <row r="982" spans="2:27" s="25" customFormat="1" ht="15.75" customHeight="1" x14ac:dyDescent="0.2">
      <c r="B982" s="89"/>
      <c r="C982"/>
      <c r="D982"/>
      <c r="E982" s="69"/>
      <c r="F982"/>
      <c r="G982"/>
      <c r="H982"/>
      <c r="I982"/>
      <c r="J982"/>
      <c r="K982"/>
      <c r="L982"/>
      <c r="M982"/>
      <c r="N982"/>
      <c r="O982"/>
      <c r="P982"/>
      <c r="Q982"/>
      <c r="R982"/>
      <c r="S982"/>
      <c r="T982"/>
      <c r="U982"/>
      <c r="V982"/>
      <c r="W982"/>
      <c r="X982"/>
      <c r="Y982"/>
      <c r="Z982"/>
      <c r="AA982"/>
    </row>
    <row r="983" spans="2:27" s="25" customFormat="1" ht="15.75" customHeight="1" x14ac:dyDescent="0.2">
      <c r="B983" s="89"/>
      <c r="C983"/>
      <c r="D983"/>
      <c r="E983" s="69"/>
      <c r="F983"/>
      <c r="G983"/>
      <c r="H983"/>
      <c r="I983"/>
      <c r="J983"/>
      <c r="K983"/>
      <c r="L983"/>
      <c r="M983"/>
      <c r="N983"/>
      <c r="O983"/>
      <c r="P983"/>
      <c r="Q983"/>
      <c r="R983"/>
      <c r="S983"/>
      <c r="T983"/>
      <c r="U983"/>
      <c r="V983"/>
      <c r="W983"/>
      <c r="X983"/>
      <c r="Y983"/>
      <c r="Z983"/>
      <c r="AA983"/>
    </row>
    <row r="984" spans="2:27" s="25" customFormat="1" ht="15.75" customHeight="1" x14ac:dyDescent="0.2">
      <c r="B984" s="89"/>
      <c r="C984"/>
      <c r="D984"/>
      <c r="E984" s="69"/>
      <c r="F984"/>
      <c r="G984"/>
      <c r="H984"/>
      <c r="I984"/>
      <c r="J984"/>
      <c r="K984"/>
      <c r="L984"/>
      <c r="M984"/>
      <c r="N984"/>
      <c r="O984"/>
      <c r="P984"/>
      <c r="Q984"/>
      <c r="R984"/>
      <c r="S984"/>
      <c r="T984"/>
      <c r="U984"/>
      <c r="V984"/>
      <c r="W984"/>
      <c r="X984"/>
      <c r="Y984"/>
      <c r="Z984"/>
      <c r="AA984"/>
    </row>
    <row r="985" spans="2:27" s="25" customFormat="1" ht="15.75" customHeight="1" x14ac:dyDescent="0.2">
      <c r="B985" s="89"/>
      <c r="C985"/>
      <c r="D985"/>
      <c r="E985" s="69"/>
      <c r="F985"/>
      <c r="G985"/>
      <c r="H985"/>
      <c r="I985"/>
      <c r="J985"/>
      <c r="K985"/>
      <c r="L985"/>
      <c r="M985"/>
      <c r="N985"/>
      <c r="O985"/>
      <c r="P985"/>
      <c r="Q985"/>
      <c r="R985"/>
      <c r="S985"/>
      <c r="T985"/>
      <c r="U985"/>
      <c r="V985"/>
      <c r="W985"/>
      <c r="X985"/>
      <c r="Y985"/>
      <c r="Z985"/>
      <c r="AA985"/>
    </row>
    <row r="986" spans="2:27" s="25" customFormat="1" ht="15.75" customHeight="1" x14ac:dyDescent="0.2">
      <c r="B986" s="89"/>
      <c r="C986"/>
      <c r="D986"/>
      <c r="E986" s="69"/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  <c r="U986"/>
      <c r="V986"/>
      <c r="W986"/>
      <c r="X986"/>
      <c r="Y986"/>
      <c r="Z986"/>
      <c r="AA986"/>
    </row>
    <row r="987" spans="2:27" s="25" customFormat="1" ht="15.75" customHeight="1" x14ac:dyDescent="0.2">
      <c r="B987" s="89"/>
      <c r="C987"/>
      <c r="D987"/>
      <c r="E987" s="69"/>
      <c r="F987"/>
      <c r="G987"/>
      <c r="H987"/>
      <c r="I987"/>
      <c r="J987"/>
      <c r="K987"/>
      <c r="L987"/>
      <c r="M987"/>
      <c r="N987"/>
      <c r="O987"/>
      <c r="P987"/>
      <c r="Q987"/>
      <c r="R987"/>
      <c r="S987"/>
      <c r="T987"/>
      <c r="U987"/>
      <c r="V987"/>
      <c r="W987"/>
      <c r="X987"/>
      <c r="Y987"/>
      <c r="Z987"/>
      <c r="AA987"/>
    </row>
    <row r="988" spans="2:27" s="25" customFormat="1" ht="15.75" customHeight="1" x14ac:dyDescent="0.2">
      <c r="B988" s="89"/>
      <c r="C988"/>
      <c r="D988"/>
      <c r="E988" s="69"/>
      <c r="F988"/>
      <c r="G988"/>
      <c r="H988"/>
      <c r="I988"/>
      <c r="J988"/>
      <c r="K988"/>
      <c r="L988"/>
      <c r="M988"/>
      <c r="N988"/>
      <c r="O988"/>
      <c r="P988"/>
      <c r="Q988"/>
      <c r="R988"/>
      <c r="S988"/>
      <c r="T988"/>
      <c r="U988"/>
      <c r="V988"/>
      <c r="W988"/>
      <c r="X988"/>
      <c r="Y988"/>
      <c r="Z988"/>
      <c r="AA988"/>
    </row>
    <row r="989" spans="2:27" s="25" customFormat="1" ht="15.75" customHeight="1" x14ac:dyDescent="0.2">
      <c r="B989" s="89"/>
      <c r="C989"/>
      <c r="D989"/>
      <c r="E989" s="69"/>
      <c r="F989"/>
      <c r="G989"/>
      <c r="H989"/>
      <c r="I989"/>
      <c r="J989"/>
      <c r="K989"/>
      <c r="L989"/>
      <c r="M989"/>
      <c r="N989"/>
      <c r="O989"/>
      <c r="P989"/>
      <c r="Q989"/>
      <c r="R989"/>
      <c r="S989"/>
      <c r="T989"/>
      <c r="U989"/>
      <c r="V989"/>
      <c r="W989"/>
      <c r="X989"/>
      <c r="Y989"/>
      <c r="Z989"/>
      <c r="AA989"/>
    </row>
    <row r="990" spans="2:27" s="25" customFormat="1" ht="15.75" customHeight="1" x14ac:dyDescent="0.2">
      <c r="B990" s="89"/>
      <c r="C990"/>
      <c r="D990"/>
      <c r="E990" s="69"/>
      <c r="F990"/>
      <c r="G990"/>
      <c r="H990"/>
      <c r="I990"/>
      <c r="J990"/>
      <c r="K990"/>
      <c r="L990"/>
      <c r="M990"/>
      <c r="N990"/>
      <c r="O990"/>
      <c r="P990"/>
      <c r="Q990"/>
      <c r="R990"/>
      <c r="S990"/>
      <c r="T990"/>
      <c r="U990"/>
      <c r="V990"/>
      <c r="W990"/>
      <c r="X990"/>
      <c r="Y990"/>
      <c r="Z990"/>
      <c r="AA990"/>
    </row>
    <row r="991" spans="2:27" s="25" customFormat="1" ht="15.75" customHeight="1" x14ac:dyDescent="0.2">
      <c r="B991" s="89"/>
      <c r="C991"/>
      <c r="D991"/>
      <c r="E991" s="69"/>
      <c r="F991"/>
      <c r="G991"/>
      <c r="H991"/>
      <c r="I991"/>
      <c r="J991"/>
      <c r="K991"/>
      <c r="L991"/>
      <c r="M991"/>
      <c r="N991"/>
      <c r="O991"/>
      <c r="P991"/>
      <c r="Q991"/>
      <c r="R991"/>
      <c r="S991"/>
      <c r="T991"/>
      <c r="U991"/>
      <c r="V991"/>
      <c r="W991"/>
      <c r="X991"/>
      <c r="Y991"/>
      <c r="Z991"/>
      <c r="AA991"/>
    </row>
    <row r="992" spans="2:27" s="25" customFormat="1" ht="15.75" customHeight="1" x14ac:dyDescent="0.2">
      <c r="B992" s="89"/>
      <c r="C992"/>
      <c r="D992"/>
      <c r="E992" s="69"/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  <c r="T992"/>
      <c r="U992"/>
      <c r="V992"/>
      <c r="W992"/>
      <c r="X992"/>
      <c r="Y992"/>
      <c r="Z992"/>
      <c r="AA992"/>
    </row>
    <row r="993" spans="2:27" s="25" customFormat="1" ht="15.75" customHeight="1" x14ac:dyDescent="0.2">
      <c r="B993" s="89"/>
      <c r="C993"/>
      <c r="D993"/>
      <c r="E993" s="69"/>
      <c r="F993"/>
      <c r="G993"/>
      <c r="H993"/>
      <c r="I993"/>
      <c r="J993"/>
      <c r="K993"/>
      <c r="L993"/>
      <c r="M993"/>
      <c r="N993"/>
      <c r="O993"/>
      <c r="P993"/>
      <c r="Q993"/>
      <c r="R993"/>
      <c r="S993"/>
      <c r="T993"/>
      <c r="U993"/>
      <c r="V993"/>
      <c r="W993"/>
      <c r="X993"/>
      <c r="Y993"/>
      <c r="Z993"/>
      <c r="AA993"/>
    </row>
    <row r="994" spans="2:27" s="25" customFormat="1" ht="15.75" customHeight="1" x14ac:dyDescent="0.2">
      <c r="B994" s="89"/>
      <c r="C994"/>
      <c r="D994"/>
      <c r="E994" s="69"/>
      <c r="F994"/>
      <c r="G994"/>
      <c r="H994"/>
      <c r="I994"/>
      <c r="J994"/>
      <c r="K994"/>
      <c r="L994"/>
      <c r="M994"/>
      <c r="N994"/>
      <c r="O994"/>
      <c r="P994"/>
      <c r="Q994"/>
      <c r="R994"/>
      <c r="S994"/>
      <c r="T994"/>
      <c r="U994"/>
      <c r="V994"/>
      <c r="W994"/>
      <c r="X994"/>
      <c r="Y994"/>
      <c r="Z994"/>
      <c r="AA994"/>
    </row>
    <row r="995" spans="2:27" s="25" customFormat="1" ht="15.75" customHeight="1" x14ac:dyDescent="0.2">
      <c r="B995" s="89"/>
      <c r="C995"/>
      <c r="D995"/>
      <c r="E995" s="69"/>
      <c r="F995"/>
      <c r="G995"/>
      <c r="H995"/>
      <c r="I995"/>
      <c r="J995"/>
      <c r="K995"/>
      <c r="L995"/>
      <c r="M995"/>
      <c r="N995"/>
      <c r="O995"/>
      <c r="P995"/>
      <c r="Q995"/>
      <c r="R995"/>
      <c r="S995"/>
      <c r="T995"/>
      <c r="U995"/>
      <c r="V995"/>
      <c r="W995"/>
      <c r="X995"/>
      <c r="Y995"/>
      <c r="Z995"/>
      <c r="AA995"/>
    </row>
    <row r="996" spans="2:27" s="25" customFormat="1" ht="15.75" customHeight="1" x14ac:dyDescent="0.2">
      <c r="B996" s="89"/>
      <c r="C996"/>
      <c r="D996"/>
      <c r="E996" s="69"/>
      <c r="F996"/>
      <c r="G996"/>
      <c r="H996"/>
      <c r="I996"/>
      <c r="J996"/>
      <c r="K996"/>
      <c r="L996"/>
      <c r="M996"/>
      <c r="N996"/>
      <c r="O996"/>
      <c r="P996"/>
      <c r="Q996"/>
      <c r="R996"/>
      <c r="S996"/>
      <c r="T996"/>
      <c r="U996"/>
      <c r="V996"/>
      <c r="W996"/>
      <c r="X996"/>
      <c r="Y996"/>
      <c r="Z996"/>
      <c r="AA996"/>
    </row>
    <row r="997" spans="2:27" s="25" customFormat="1" ht="15.75" customHeight="1" x14ac:dyDescent="0.2">
      <c r="B997" s="89"/>
      <c r="C997"/>
      <c r="D997"/>
      <c r="E997" s="69"/>
      <c r="F997"/>
      <c r="G997"/>
      <c r="H997"/>
      <c r="I997"/>
      <c r="J997"/>
      <c r="K997"/>
      <c r="L997"/>
      <c r="M997"/>
      <c r="N997"/>
      <c r="O997"/>
      <c r="P997"/>
      <c r="Q997"/>
      <c r="R997"/>
      <c r="S997"/>
      <c r="T997"/>
      <c r="U997"/>
      <c r="V997"/>
      <c r="W997"/>
      <c r="X997"/>
      <c r="Y997"/>
      <c r="Z997"/>
      <c r="AA997"/>
    </row>
    <row r="998" spans="2:27" s="25" customFormat="1" ht="15.75" customHeight="1" x14ac:dyDescent="0.2">
      <c r="B998" s="89"/>
      <c r="C998"/>
      <c r="D998"/>
      <c r="E998" s="69"/>
      <c r="F998"/>
      <c r="G998"/>
      <c r="H998"/>
      <c r="I998"/>
      <c r="J998"/>
      <c r="K998"/>
      <c r="L998"/>
      <c r="M998"/>
      <c r="N998"/>
      <c r="O998"/>
      <c r="P998"/>
      <c r="Q998"/>
      <c r="R998"/>
      <c r="S998"/>
      <c r="T998"/>
      <c r="U998"/>
      <c r="V998"/>
      <c r="W998"/>
      <c r="X998"/>
      <c r="Y998"/>
      <c r="Z998"/>
      <c r="AA998"/>
    </row>
  </sheetData>
  <mergeCells count="11">
    <mergeCell ref="B7:E7"/>
    <mergeCell ref="F7:G7"/>
    <mergeCell ref="B8:E8"/>
    <mergeCell ref="F8:G8"/>
    <mergeCell ref="E1:E3"/>
    <mergeCell ref="B4:E4"/>
    <mergeCell ref="F4:G4"/>
    <mergeCell ref="B5:E5"/>
    <mergeCell ref="F5:G5"/>
    <mergeCell ref="B6:E6"/>
    <mergeCell ref="F6:G6"/>
  </mergeCells>
  <conditionalFormatting sqref="A4:B8 A9:H1048576">
    <cfRule type="expression" dxfId="11" priority="1">
      <formula>ISNUMBER(SEARCH("Holiday", $E4))</formula>
    </cfRule>
    <cfRule type="expression" dxfId="10" priority="2">
      <formula>AND(WEEKDAY($A4,2)&lt;6, $A4&lt;&gt;"")</formula>
    </cfRule>
  </conditionalFormatting>
  <conditionalFormatting sqref="A1:H3">
    <cfRule type="expression" dxfId="9" priority="5">
      <formula>ISNUMBER(SEARCH("Holiday", $E1))</formula>
    </cfRule>
    <cfRule type="expression" dxfId="8" priority="6">
      <formula>AND(WEEKDAY($A1,2)&lt;6, $A1&lt;&gt;"")</formula>
    </cfRule>
  </conditionalFormatting>
  <conditionalFormatting sqref="F4:H8">
    <cfRule type="expression" dxfId="7" priority="3">
      <formula>ISNUMBER(SEARCH("Holiday", $E4))</formula>
    </cfRule>
    <cfRule type="expression" dxfId="6" priority="4">
      <formula>AND(WEEKDAY($A4,2)&lt;6, $A4&lt;&gt;"")</formula>
    </cfRule>
  </conditionalFormatting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44BD0-AAB0-4E12-931A-A03D6B644E9E}">
  <dimension ref="A1:AA996"/>
  <sheetViews>
    <sheetView tabSelected="1" topLeftCell="A19" workbookViewId="0">
      <selection activeCell="E52" sqref="E52"/>
    </sheetView>
  </sheetViews>
  <sheetFormatPr defaultColWidth="12.5" defaultRowHeight="14.25" x14ac:dyDescent="0.2"/>
  <cols>
    <col min="1" max="1" width="20.25" style="25" bestFit="1" customWidth="1"/>
    <col min="2" max="2" width="7.375" style="89" bestFit="1" customWidth="1"/>
    <col min="3" max="3" width="11" customWidth="1"/>
    <col min="4" max="4" width="11.25" customWidth="1"/>
    <col min="5" max="5" width="28" style="69" customWidth="1"/>
    <col min="7" max="7" width="12" customWidth="1"/>
    <col min="8" max="8" width="19" customWidth="1"/>
    <col min="9" max="9" width="7.75" customWidth="1"/>
    <col min="10" max="10" width="94.25" bestFit="1" customWidth="1"/>
    <col min="11" max="13" width="7.75" customWidth="1"/>
    <col min="14" max="14" width="9" customWidth="1"/>
    <col min="15" max="27" width="7.75" customWidth="1"/>
  </cols>
  <sheetData>
    <row r="1" spans="1:27" ht="17.25" customHeight="1" x14ac:dyDescent="0.25">
      <c r="A1" s="48"/>
      <c r="B1" s="81"/>
      <c r="C1" s="49"/>
      <c r="D1" s="49"/>
      <c r="E1" s="97" t="s">
        <v>0</v>
      </c>
      <c r="F1" s="50"/>
      <c r="G1" s="51"/>
      <c r="H1" s="52"/>
      <c r="K1" s="28"/>
      <c r="L1" s="28"/>
      <c r="M1" s="28"/>
      <c r="N1" s="28"/>
      <c r="O1" s="28"/>
      <c r="P1" s="28"/>
    </row>
    <row r="2" spans="1:27" ht="17.25" customHeight="1" x14ac:dyDescent="0.25">
      <c r="A2" s="53"/>
      <c r="B2" s="82"/>
      <c r="C2" s="54"/>
      <c r="D2" s="54"/>
      <c r="E2" s="98"/>
      <c r="F2" s="55"/>
      <c r="G2" s="56"/>
      <c r="H2" s="57"/>
      <c r="J2" s="26" t="s">
        <v>17</v>
      </c>
      <c r="K2" s="29"/>
      <c r="L2" s="29"/>
      <c r="M2" s="30"/>
      <c r="N2" s="31"/>
      <c r="O2" s="28"/>
      <c r="P2" s="28"/>
    </row>
    <row r="3" spans="1:27" ht="15.75" x14ac:dyDescent="0.25">
      <c r="A3" s="58"/>
      <c r="B3" s="83"/>
      <c r="C3" s="59"/>
      <c r="D3" s="59"/>
      <c r="E3" s="99"/>
      <c r="F3" s="60"/>
      <c r="G3" s="61"/>
      <c r="H3" s="62"/>
      <c r="J3" s="27" t="s">
        <v>18</v>
      </c>
      <c r="K3" s="29"/>
      <c r="L3" s="29"/>
      <c r="M3" s="32"/>
      <c r="N3" s="33"/>
      <c r="O3" s="34"/>
      <c r="P3" s="35"/>
    </row>
    <row r="4" spans="1:27" ht="15" x14ac:dyDescent="0.25">
      <c r="A4" s="21" t="s">
        <v>1</v>
      </c>
      <c r="B4" s="94"/>
      <c r="C4" s="95"/>
      <c r="D4" s="95"/>
      <c r="E4" s="96"/>
      <c r="F4" s="91" t="s">
        <v>2</v>
      </c>
      <c r="G4" s="92"/>
      <c r="H4" s="1"/>
      <c r="J4" s="25"/>
      <c r="K4" s="20"/>
      <c r="L4" s="20"/>
      <c r="M4" s="14"/>
      <c r="N4" s="15"/>
    </row>
    <row r="5" spans="1:27" ht="15" x14ac:dyDescent="0.25">
      <c r="A5" s="21" t="s">
        <v>43</v>
      </c>
      <c r="B5" s="94"/>
      <c r="C5" s="95"/>
      <c r="D5" s="95"/>
      <c r="E5" s="96"/>
      <c r="F5" s="91" t="s">
        <v>3</v>
      </c>
      <c r="G5" s="92"/>
      <c r="H5" s="1"/>
      <c r="J5" s="26" t="s">
        <v>19</v>
      </c>
      <c r="K5" s="19"/>
      <c r="L5" s="19"/>
      <c r="M5" s="14"/>
      <c r="N5" s="15"/>
    </row>
    <row r="6" spans="1:27" ht="15" x14ac:dyDescent="0.25">
      <c r="A6" s="21" t="s">
        <v>4</v>
      </c>
      <c r="B6" s="94"/>
      <c r="C6" s="95"/>
      <c r="D6" s="95"/>
      <c r="E6" s="96"/>
      <c r="F6" s="91" t="s">
        <v>6</v>
      </c>
      <c r="G6" s="92"/>
      <c r="H6" s="1"/>
      <c r="J6" s="26" t="s">
        <v>30</v>
      </c>
      <c r="K6" s="19"/>
      <c r="L6" s="19"/>
      <c r="M6" s="14"/>
      <c r="N6" s="15"/>
    </row>
    <row r="7" spans="1:27" ht="15" x14ac:dyDescent="0.25">
      <c r="A7" s="21" t="s">
        <v>5</v>
      </c>
      <c r="B7" s="94"/>
      <c r="C7" s="95"/>
      <c r="D7" s="95"/>
      <c r="E7" s="96"/>
      <c r="F7" s="91" t="s">
        <v>8</v>
      </c>
      <c r="G7" s="92"/>
      <c r="H7" s="1"/>
    </row>
    <row r="8" spans="1:27" ht="15" x14ac:dyDescent="0.25">
      <c r="A8" s="21" t="s">
        <v>7</v>
      </c>
      <c r="B8" s="94"/>
      <c r="C8" s="95"/>
      <c r="D8" s="95"/>
      <c r="E8" s="96"/>
      <c r="F8" s="93"/>
      <c r="G8" s="92"/>
      <c r="H8" s="2"/>
    </row>
    <row r="9" spans="1:27" ht="15" x14ac:dyDescent="0.25">
      <c r="A9" s="78"/>
      <c r="B9" s="84"/>
      <c r="C9" s="77"/>
      <c r="D9" s="77"/>
      <c r="E9" s="77"/>
      <c r="F9" s="77"/>
      <c r="G9" s="77"/>
      <c r="H9" s="77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ht="15" x14ac:dyDescent="0.25">
      <c r="A10" s="40" t="s">
        <v>9</v>
      </c>
      <c r="B10" s="85" t="s">
        <v>31</v>
      </c>
      <c r="C10" s="41" t="s">
        <v>10</v>
      </c>
      <c r="D10" s="41" t="s">
        <v>11</v>
      </c>
      <c r="E10" s="42" t="s">
        <v>12</v>
      </c>
      <c r="F10" s="43" t="s">
        <v>13</v>
      </c>
      <c r="G10" s="42" t="s">
        <v>14</v>
      </c>
      <c r="H10" s="42" t="s">
        <v>15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1:27" s="37" customFormat="1" ht="15" x14ac:dyDescent="0.25">
      <c r="A11" s="75">
        <f>'Novmber 2026'!A55+1</f>
        <v>46357</v>
      </c>
      <c r="B11" s="79">
        <f>WEEKNUM(A11, 2)</f>
        <v>49</v>
      </c>
      <c r="C11" s="71"/>
      <c r="D11" s="71"/>
      <c r="E11" s="76"/>
      <c r="F11" s="73"/>
      <c r="G11" s="73"/>
      <c r="H11" s="73">
        <f t="shared" ref="H11" si="0">SUM(F11:G11)</f>
        <v>0</v>
      </c>
    </row>
    <row r="12" spans="1:27" s="37" customFormat="1" ht="15" x14ac:dyDescent="0.25">
      <c r="A12" s="70">
        <f t="shared" ref="A12:A16" si="1">A11+1</f>
        <v>46358</v>
      </c>
      <c r="B12" s="79">
        <f t="shared" ref="B12:B15" si="2">WEEKNUM(A12, 2)</f>
        <v>49</v>
      </c>
      <c r="C12" s="71"/>
      <c r="D12" s="71"/>
      <c r="E12" s="72"/>
      <c r="F12" s="73"/>
      <c r="G12" s="73"/>
      <c r="H12" s="73">
        <f>SUM(F12:G12)</f>
        <v>0</v>
      </c>
    </row>
    <row r="13" spans="1:27" s="37" customFormat="1" ht="15" x14ac:dyDescent="0.25">
      <c r="A13" s="70">
        <f t="shared" si="1"/>
        <v>46359</v>
      </c>
      <c r="B13" s="79">
        <f t="shared" si="2"/>
        <v>49</v>
      </c>
      <c r="C13" s="71"/>
      <c r="D13" s="71"/>
      <c r="E13" s="72"/>
      <c r="F13" s="73"/>
      <c r="G13" s="73"/>
      <c r="H13" s="73">
        <f t="shared" ref="H13:H15" si="3">SUM(F13:G13)</f>
        <v>0</v>
      </c>
    </row>
    <row r="14" spans="1:27" s="37" customFormat="1" ht="15" x14ac:dyDescent="0.25">
      <c r="A14" s="70">
        <f t="shared" si="1"/>
        <v>46360</v>
      </c>
      <c r="B14" s="79">
        <f t="shared" si="2"/>
        <v>49</v>
      </c>
      <c r="C14" s="71"/>
      <c r="D14" s="71"/>
      <c r="E14" s="72"/>
      <c r="F14" s="73"/>
      <c r="G14" s="73"/>
      <c r="H14" s="73">
        <f t="shared" si="3"/>
        <v>0</v>
      </c>
    </row>
    <row r="15" spans="1:27" ht="15.75" customHeight="1" x14ac:dyDescent="0.25">
      <c r="A15" s="70">
        <f t="shared" si="1"/>
        <v>46361</v>
      </c>
      <c r="B15" s="79">
        <f t="shared" si="2"/>
        <v>49</v>
      </c>
      <c r="C15" s="71"/>
      <c r="D15" s="71"/>
      <c r="E15" s="72"/>
      <c r="F15" s="73"/>
      <c r="G15" s="73"/>
      <c r="H15" s="73">
        <f t="shared" si="3"/>
        <v>0</v>
      </c>
    </row>
    <row r="16" spans="1:27" ht="15.75" customHeight="1" x14ac:dyDescent="0.25">
      <c r="A16" s="70">
        <f t="shared" si="1"/>
        <v>46362</v>
      </c>
      <c r="B16" s="79">
        <f>WEEKNUM(A16, 2)</f>
        <v>49</v>
      </c>
      <c r="C16" s="71"/>
      <c r="D16" s="71"/>
      <c r="E16" s="74"/>
      <c r="F16" s="73"/>
      <c r="G16" s="73"/>
      <c r="H16" s="73">
        <f>SUM(F16:G16)</f>
        <v>0</v>
      </c>
    </row>
    <row r="17" spans="1:27" s="28" customFormat="1" ht="15.75" customHeight="1" x14ac:dyDescent="0.2">
      <c r="A17" s="44" t="s">
        <v>42</v>
      </c>
      <c r="B17" s="80"/>
      <c r="C17" s="45"/>
      <c r="D17" s="45"/>
      <c r="E17" s="63"/>
      <c r="F17" s="46">
        <f ca="1">SUMIF($B:$E,RIGHT($A17,2),F:F)</f>
        <v>0</v>
      </c>
      <c r="G17" s="46">
        <f ca="1">SUMIF($B:$E,RIGHT($A17,2),G:G)</f>
        <v>0</v>
      </c>
      <c r="H17" s="47">
        <f ca="1">SUMIF($B:$E,RIGHT($A17,2),H:H)</f>
        <v>0</v>
      </c>
    </row>
    <row r="18" spans="1:27" s="28" customFormat="1" ht="15.75" customHeight="1" x14ac:dyDescent="0.2">
      <c r="A18" s="36"/>
      <c r="B18" s="86"/>
      <c r="C18" s="34"/>
      <c r="D18" s="34"/>
      <c r="E18" s="64"/>
      <c r="F18" s="38"/>
      <c r="G18" s="38"/>
      <c r="H18" s="39"/>
    </row>
    <row r="19" spans="1:27" ht="15" x14ac:dyDescent="0.25">
      <c r="A19" s="40" t="s">
        <v>9</v>
      </c>
      <c r="B19" s="85" t="s">
        <v>31</v>
      </c>
      <c r="C19" s="41" t="s">
        <v>10</v>
      </c>
      <c r="D19" s="41" t="s">
        <v>11</v>
      </c>
      <c r="E19" s="42" t="s">
        <v>12</v>
      </c>
      <c r="F19" s="43" t="s">
        <v>13</v>
      </c>
      <c r="G19" s="42" t="s">
        <v>14</v>
      </c>
      <c r="H19" s="42" t="s">
        <v>15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spans="1:27" ht="15.75" customHeight="1" x14ac:dyDescent="0.25">
      <c r="A20" s="70">
        <f>A16+1</f>
        <v>46363</v>
      </c>
      <c r="B20" s="79">
        <f t="shared" ref="B20:B25" si="4">WEEKNUM(A20, 2)</f>
        <v>50</v>
      </c>
      <c r="C20" s="71"/>
      <c r="D20" s="71"/>
      <c r="E20" s="72"/>
      <c r="F20" s="73"/>
      <c r="G20" s="73"/>
      <c r="H20" s="73">
        <f>SUM(F20:G20)</f>
        <v>0</v>
      </c>
    </row>
    <row r="21" spans="1:27" ht="15.75" customHeight="1" x14ac:dyDescent="0.25">
      <c r="A21" s="70">
        <f>A20+1</f>
        <v>46364</v>
      </c>
      <c r="B21" s="79">
        <f t="shared" si="4"/>
        <v>50</v>
      </c>
      <c r="C21" s="71"/>
      <c r="D21" s="71"/>
      <c r="E21" s="74"/>
      <c r="F21" s="73"/>
      <c r="G21" s="73"/>
      <c r="H21" s="73">
        <f t="shared" ref="H21:H25" si="5">SUM(F21:G21)</f>
        <v>0</v>
      </c>
    </row>
    <row r="22" spans="1:27" ht="15.75" customHeight="1" x14ac:dyDescent="0.25">
      <c r="A22" s="70">
        <f t="shared" ref="A22:A26" si="6">A21+1</f>
        <v>46365</v>
      </c>
      <c r="B22" s="79">
        <f t="shared" si="4"/>
        <v>50</v>
      </c>
      <c r="C22" s="71"/>
      <c r="D22" s="71"/>
      <c r="E22" s="72"/>
      <c r="F22" s="73"/>
      <c r="G22" s="73"/>
      <c r="H22" s="73">
        <f t="shared" si="5"/>
        <v>0</v>
      </c>
    </row>
    <row r="23" spans="1:27" ht="15.75" customHeight="1" x14ac:dyDescent="0.25">
      <c r="A23" s="70">
        <f t="shared" si="6"/>
        <v>46366</v>
      </c>
      <c r="B23" s="79">
        <f t="shared" si="4"/>
        <v>50</v>
      </c>
      <c r="C23" s="71"/>
      <c r="D23" s="71"/>
      <c r="E23" s="74"/>
      <c r="F23" s="73"/>
      <c r="G23" s="73"/>
      <c r="H23" s="73">
        <f t="shared" si="5"/>
        <v>0</v>
      </c>
    </row>
    <row r="24" spans="1:27" ht="15.75" customHeight="1" x14ac:dyDescent="0.25">
      <c r="A24" s="70">
        <f t="shared" si="6"/>
        <v>46367</v>
      </c>
      <c r="B24" s="79">
        <f>WEEKNUM(A24, 2)</f>
        <v>50</v>
      </c>
      <c r="C24" s="71"/>
      <c r="D24" s="71"/>
      <c r="E24" s="72"/>
      <c r="F24" s="73"/>
      <c r="G24" s="73"/>
      <c r="H24" s="73">
        <f t="shared" si="5"/>
        <v>0</v>
      </c>
    </row>
    <row r="25" spans="1:27" ht="15.75" customHeight="1" x14ac:dyDescent="0.25">
      <c r="A25" s="70">
        <f t="shared" si="6"/>
        <v>46368</v>
      </c>
      <c r="B25" s="79">
        <f t="shared" si="4"/>
        <v>50</v>
      </c>
      <c r="C25" s="71"/>
      <c r="D25" s="71"/>
      <c r="E25" s="72"/>
      <c r="F25" s="73"/>
      <c r="G25" s="73"/>
      <c r="H25" s="73">
        <f t="shared" si="5"/>
        <v>0</v>
      </c>
    </row>
    <row r="26" spans="1:27" ht="15.75" customHeight="1" x14ac:dyDescent="0.25">
      <c r="A26" s="70">
        <f t="shared" si="6"/>
        <v>46369</v>
      </c>
      <c r="B26" s="79">
        <f>WEEKNUM(A26, 2)</f>
        <v>50</v>
      </c>
      <c r="C26" s="71"/>
      <c r="D26" s="71"/>
      <c r="E26" s="74"/>
      <c r="F26" s="73"/>
      <c r="G26" s="73"/>
      <c r="H26" s="73">
        <f>SUM(F26:G26)</f>
        <v>0</v>
      </c>
    </row>
    <row r="27" spans="1:27" s="28" customFormat="1" ht="15.75" customHeight="1" x14ac:dyDescent="0.2">
      <c r="A27" s="44" t="str">
        <f>"Total of Week "&amp;RIGHT(A17,2)+1</f>
        <v>Total of Week 50</v>
      </c>
      <c r="B27" s="80"/>
      <c r="C27" s="45"/>
      <c r="D27" s="45"/>
      <c r="E27" s="63"/>
      <c r="F27" s="46">
        <f ca="1">SUMIF($B:$E,RIGHT($A27,2),F:F)</f>
        <v>0</v>
      </c>
      <c r="G27" s="46">
        <f ca="1">SUMIF($B:$E,RIGHT($A27,2),G:G)</f>
        <v>0</v>
      </c>
      <c r="H27" s="47">
        <f ca="1">SUMIF($B:$E,RIGHT($A27,2),H:H)</f>
        <v>0</v>
      </c>
    </row>
    <row r="28" spans="1:27" ht="15.75" customHeight="1" x14ac:dyDescent="0.25">
      <c r="A28" s="22"/>
      <c r="B28" s="87"/>
      <c r="C28" s="5"/>
      <c r="D28" s="5"/>
      <c r="E28" s="65"/>
      <c r="F28" s="6"/>
      <c r="G28" s="5"/>
      <c r="H28" s="7"/>
    </row>
    <row r="29" spans="1:27" ht="15" x14ac:dyDescent="0.25">
      <c r="A29" s="40" t="s">
        <v>9</v>
      </c>
      <c r="B29" s="85" t="s">
        <v>31</v>
      </c>
      <c r="C29" s="41" t="s">
        <v>10</v>
      </c>
      <c r="D29" s="41" t="s">
        <v>11</v>
      </c>
      <c r="E29" s="42" t="s">
        <v>12</v>
      </c>
      <c r="F29" s="43" t="s">
        <v>13</v>
      </c>
      <c r="G29" s="42" t="s">
        <v>14</v>
      </c>
      <c r="H29" s="42" t="s">
        <v>15</v>
      </c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spans="1:27" ht="15.75" customHeight="1" x14ac:dyDescent="0.25">
      <c r="A30" s="70">
        <f>A26+1</f>
        <v>46370</v>
      </c>
      <c r="B30" s="79">
        <f t="shared" ref="B30:B35" si="7">WEEKNUM(A30, 2)</f>
        <v>51</v>
      </c>
      <c r="C30" s="71"/>
      <c r="D30" s="71"/>
      <c r="E30" s="72"/>
      <c r="F30" s="73"/>
      <c r="G30" s="73"/>
      <c r="H30" s="73">
        <f>SUM(F30:G30)</f>
        <v>0</v>
      </c>
    </row>
    <row r="31" spans="1:27" ht="15.75" customHeight="1" x14ac:dyDescent="0.25">
      <c r="A31" s="70">
        <f>A30+1</f>
        <v>46371</v>
      </c>
      <c r="B31" s="79">
        <f t="shared" si="7"/>
        <v>51</v>
      </c>
      <c r="C31" s="71"/>
      <c r="D31" s="71"/>
      <c r="E31" s="74"/>
      <c r="F31" s="73"/>
      <c r="G31" s="73"/>
      <c r="H31" s="73">
        <f t="shared" ref="H31:H35" si="8">SUM(F31:G31)</f>
        <v>0</v>
      </c>
    </row>
    <row r="32" spans="1:27" ht="15.75" customHeight="1" x14ac:dyDescent="0.25">
      <c r="A32" s="70">
        <f t="shared" ref="A32:A36" si="9">A31+1</f>
        <v>46372</v>
      </c>
      <c r="B32" s="79">
        <f t="shared" si="7"/>
        <v>51</v>
      </c>
      <c r="C32" s="71"/>
      <c r="D32" s="71"/>
      <c r="E32" s="72"/>
      <c r="F32" s="73"/>
      <c r="G32" s="73"/>
      <c r="H32" s="73">
        <f t="shared" si="8"/>
        <v>0</v>
      </c>
    </row>
    <row r="33" spans="1:27" ht="15.75" customHeight="1" x14ac:dyDescent="0.25">
      <c r="A33" s="70">
        <f t="shared" si="9"/>
        <v>46373</v>
      </c>
      <c r="B33" s="79">
        <f t="shared" si="7"/>
        <v>51</v>
      </c>
      <c r="C33" s="71"/>
      <c r="D33" s="71"/>
      <c r="E33" s="74"/>
      <c r="F33" s="73"/>
      <c r="G33" s="73"/>
      <c r="H33" s="73">
        <f t="shared" si="8"/>
        <v>0</v>
      </c>
    </row>
    <row r="34" spans="1:27" ht="15.75" customHeight="1" x14ac:dyDescent="0.25">
      <c r="A34" s="70">
        <f t="shared" si="9"/>
        <v>46374</v>
      </c>
      <c r="B34" s="79">
        <f>WEEKNUM(A34, 2)</f>
        <v>51</v>
      </c>
      <c r="C34" s="71"/>
      <c r="D34" s="71"/>
      <c r="E34" s="72"/>
      <c r="F34" s="73"/>
      <c r="G34" s="73"/>
      <c r="H34" s="73">
        <f t="shared" si="8"/>
        <v>0</v>
      </c>
    </row>
    <row r="35" spans="1:27" ht="15.75" customHeight="1" x14ac:dyDescent="0.25">
      <c r="A35" s="70">
        <f t="shared" si="9"/>
        <v>46375</v>
      </c>
      <c r="B35" s="79">
        <f t="shared" si="7"/>
        <v>51</v>
      </c>
      <c r="C35" s="71"/>
      <c r="D35" s="71"/>
      <c r="E35" s="72"/>
      <c r="F35" s="73"/>
      <c r="G35" s="73"/>
      <c r="H35" s="73">
        <f t="shared" si="8"/>
        <v>0</v>
      </c>
    </row>
    <row r="36" spans="1:27" ht="15.75" customHeight="1" x14ac:dyDescent="0.25">
      <c r="A36" s="70">
        <f t="shared" si="9"/>
        <v>46376</v>
      </c>
      <c r="B36" s="79">
        <f>WEEKNUM(A36, 2)</f>
        <v>51</v>
      </c>
      <c r="C36" s="71"/>
      <c r="D36" s="71"/>
      <c r="E36" s="74"/>
      <c r="F36" s="73"/>
      <c r="G36" s="73"/>
      <c r="H36" s="73">
        <f>SUM(F36:G36)</f>
        <v>0</v>
      </c>
    </row>
    <row r="37" spans="1:27" s="28" customFormat="1" ht="15.75" customHeight="1" x14ac:dyDescent="0.2">
      <c r="A37" s="44" t="str">
        <f>"Total of Week "&amp;RIGHT(A27,2)+1</f>
        <v>Total of Week 51</v>
      </c>
      <c r="B37" s="80"/>
      <c r="C37" s="45"/>
      <c r="D37" s="45"/>
      <c r="E37" s="63"/>
      <c r="F37" s="46">
        <f ca="1">SUMIF($B:$E,RIGHT($A37,2),F:F)</f>
        <v>0</v>
      </c>
      <c r="G37" s="46">
        <f ca="1">SUMIF($B:$E,RIGHT($A37,2),G:G)</f>
        <v>0</v>
      </c>
      <c r="H37" s="47">
        <f ca="1">SUMIF($B:$E,RIGHT($A37,2),H:H)</f>
        <v>0</v>
      </c>
    </row>
    <row r="38" spans="1:27" ht="15.75" customHeight="1" x14ac:dyDescent="0.25">
      <c r="A38" s="22"/>
      <c r="B38" s="87"/>
      <c r="C38" s="5"/>
      <c r="D38" s="5"/>
      <c r="E38" s="65"/>
      <c r="F38" s="6"/>
      <c r="G38" s="5"/>
      <c r="H38" s="7"/>
    </row>
    <row r="39" spans="1:27" ht="15" x14ac:dyDescent="0.25">
      <c r="A39" s="40" t="s">
        <v>9</v>
      </c>
      <c r="B39" s="85" t="s">
        <v>31</v>
      </c>
      <c r="C39" s="41" t="s">
        <v>10</v>
      </c>
      <c r="D39" s="41" t="s">
        <v>11</v>
      </c>
      <c r="E39" s="42" t="s">
        <v>12</v>
      </c>
      <c r="F39" s="43" t="s">
        <v>13</v>
      </c>
      <c r="G39" s="42" t="s">
        <v>14</v>
      </c>
      <c r="H39" s="42" t="s">
        <v>15</v>
      </c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spans="1:27" ht="15.75" customHeight="1" x14ac:dyDescent="0.25">
      <c r="A40" s="70">
        <f>A36+1</f>
        <v>46377</v>
      </c>
      <c r="B40" s="79">
        <f t="shared" ref="B40:B43" si="10">WEEKNUM(A40, 2)</f>
        <v>52</v>
      </c>
      <c r="C40" s="71"/>
      <c r="D40" s="71"/>
      <c r="E40" s="72"/>
      <c r="F40" s="73"/>
      <c r="G40" s="73"/>
      <c r="H40" s="73">
        <f>SUM(F40:G40)</f>
        <v>0</v>
      </c>
    </row>
    <row r="41" spans="1:27" ht="15.75" customHeight="1" x14ac:dyDescent="0.25">
      <c r="A41" s="70">
        <f>A40+1</f>
        <v>46378</v>
      </c>
      <c r="B41" s="79">
        <f t="shared" si="10"/>
        <v>52</v>
      </c>
      <c r="C41" s="71"/>
      <c r="D41" s="71"/>
      <c r="E41" s="74"/>
      <c r="F41" s="73"/>
      <c r="G41" s="73"/>
      <c r="H41" s="73">
        <f t="shared" ref="H41:H44" si="11">SUM(F41:G41)</f>
        <v>0</v>
      </c>
    </row>
    <row r="42" spans="1:27" ht="15.75" customHeight="1" x14ac:dyDescent="0.25">
      <c r="A42" s="70">
        <f>A41+1</f>
        <v>46379</v>
      </c>
      <c r="B42" s="79">
        <f t="shared" si="10"/>
        <v>52</v>
      </c>
      <c r="C42" s="71"/>
      <c r="D42" s="71"/>
      <c r="E42" s="72"/>
      <c r="F42" s="73"/>
      <c r="G42" s="73"/>
      <c r="H42" s="73">
        <f t="shared" si="11"/>
        <v>0</v>
      </c>
    </row>
    <row r="43" spans="1:27" ht="15.75" customHeight="1" x14ac:dyDescent="0.25">
      <c r="A43" s="70">
        <f>A42+1</f>
        <v>46380</v>
      </c>
      <c r="B43" s="79">
        <f t="shared" si="10"/>
        <v>52</v>
      </c>
      <c r="C43" s="71"/>
      <c r="D43" s="71"/>
      <c r="E43" s="74"/>
      <c r="F43" s="73"/>
      <c r="G43" s="73"/>
      <c r="H43" s="73">
        <f t="shared" si="11"/>
        <v>0</v>
      </c>
    </row>
    <row r="44" spans="1:27" ht="15.75" customHeight="1" x14ac:dyDescent="0.25">
      <c r="A44" s="70">
        <f>A43+1</f>
        <v>46381</v>
      </c>
      <c r="B44" s="79">
        <f>WEEKNUM(A44, 2)</f>
        <v>52</v>
      </c>
      <c r="C44" s="71"/>
      <c r="D44" s="71"/>
      <c r="E44" s="72" t="s">
        <v>27</v>
      </c>
      <c r="F44" s="73"/>
      <c r="G44" s="73"/>
      <c r="H44" s="73">
        <f t="shared" si="11"/>
        <v>0</v>
      </c>
    </row>
    <row r="45" spans="1:27" ht="15.75" customHeight="1" x14ac:dyDescent="0.25">
      <c r="A45" s="70">
        <f t="shared" ref="A45" si="12">A44+1</f>
        <v>46382</v>
      </c>
      <c r="B45" s="79">
        <f>WEEKNUM(A45, 2)</f>
        <v>52</v>
      </c>
      <c r="C45" s="71"/>
      <c r="D45" s="71"/>
      <c r="E45" s="74" t="s">
        <v>28</v>
      </c>
      <c r="F45" s="73"/>
      <c r="G45" s="73"/>
      <c r="H45" s="73">
        <f>SUM(F45:G45)</f>
        <v>0</v>
      </c>
    </row>
    <row r="46" spans="1:27" ht="15.75" customHeight="1" x14ac:dyDescent="0.25">
      <c r="A46" s="70">
        <f>A45+1</f>
        <v>46383</v>
      </c>
      <c r="B46" s="79">
        <f t="shared" ref="B46:B53" si="13">WEEKNUM(A46, 2)</f>
        <v>52</v>
      </c>
      <c r="C46" s="71"/>
      <c r="D46" s="71"/>
      <c r="E46" s="72"/>
      <c r="F46" s="73"/>
      <c r="G46" s="73"/>
      <c r="H46" s="73">
        <f>SUM(F46:G46)</f>
        <v>0</v>
      </c>
    </row>
    <row r="47" spans="1:27" s="28" customFormat="1" ht="15.75" customHeight="1" x14ac:dyDescent="0.2">
      <c r="A47" s="44" t="str">
        <f>"Total of Week "&amp;RIGHT(A37,2)+1</f>
        <v>Total of Week 52</v>
      </c>
      <c r="B47" s="80"/>
      <c r="C47" s="45"/>
      <c r="D47" s="45"/>
      <c r="E47" s="63"/>
      <c r="F47" s="46">
        <f ca="1">SUMIF($B:$E,RIGHT($A47,2),F:F)</f>
        <v>0</v>
      </c>
      <c r="G47" s="46">
        <f ca="1">SUMIF($B:$E,RIGHT($A47,2),G:G)</f>
        <v>0</v>
      </c>
      <c r="H47" s="47">
        <f ca="1">SUMIF($B:$E,RIGHT($A47,2),H:H)</f>
        <v>0</v>
      </c>
    </row>
    <row r="48" spans="1:27" ht="15.75" customHeight="1" x14ac:dyDescent="0.25">
      <c r="A48" s="22"/>
      <c r="B48" s="87"/>
      <c r="C48" s="5"/>
      <c r="D48" s="5"/>
      <c r="E48" s="65"/>
      <c r="F48" s="6"/>
      <c r="G48" s="5"/>
      <c r="H48" s="7"/>
    </row>
    <row r="49" spans="1:27" ht="15" x14ac:dyDescent="0.25">
      <c r="A49" s="40" t="s">
        <v>9</v>
      </c>
      <c r="B49" s="85" t="s">
        <v>31</v>
      </c>
      <c r="C49" s="41" t="s">
        <v>10</v>
      </c>
      <c r="D49" s="41" t="s">
        <v>11</v>
      </c>
      <c r="E49" s="42" t="s">
        <v>12</v>
      </c>
      <c r="F49" s="43" t="s">
        <v>13</v>
      </c>
      <c r="G49" s="42" t="s">
        <v>14</v>
      </c>
      <c r="H49" s="42" t="s">
        <v>15</v>
      </c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spans="1:27" ht="15.75" customHeight="1" x14ac:dyDescent="0.25">
      <c r="A50" s="70">
        <f>A46+1</f>
        <v>46384</v>
      </c>
      <c r="B50" s="79">
        <f t="shared" si="13"/>
        <v>53</v>
      </c>
      <c r="C50" s="71"/>
      <c r="D50" s="71"/>
      <c r="E50" s="74" t="s">
        <v>46</v>
      </c>
      <c r="F50" s="73"/>
      <c r="G50" s="73"/>
      <c r="H50" s="73">
        <f t="shared" ref="H50" si="14">SUM(F50:G50)</f>
        <v>0</v>
      </c>
    </row>
    <row r="51" spans="1:27" ht="15.75" customHeight="1" x14ac:dyDescent="0.25">
      <c r="A51" s="70">
        <f>A50+1</f>
        <v>46385</v>
      </c>
      <c r="B51" s="79">
        <f>WEEKNUM(A51, 2)</f>
        <v>53</v>
      </c>
      <c r="C51" s="71"/>
      <c r="D51" s="71"/>
      <c r="E51" s="72"/>
      <c r="F51" s="73"/>
      <c r="G51" s="73"/>
      <c r="H51" s="73">
        <f>SUM(F51:G51)</f>
        <v>0</v>
      </c>
    </row>
    <row r="52" spans="1:27" ht="15.75" customHeight="1" x14ac:dyDescent="0.25">
      <c r="A52" s="70">
        <f t="shared" ref="A52" si="15">A51+1</f>
        <v>46386</v>
      </c>
      <c r="B52" s="79">
        <f t="shared" si="13"/>
        <v>53</v>
      </c>
      <c r="C52" s="71"/>
      <c r="D52" s="71"/>
      <c r="E52" s="74"/>
      <c r="F52" s="73"/>
      <c r="G52" s="73"/>
      <c r="H52" s="73">
        <f t="shared" ref="H52" si="16">SUM(F52:G52)</f>
        <v>0</v>
      </c>
    </row>
    <row r="53" spans="1:27" ht="15.75" customHeight="1" x14ac:dyDescent="0.25">
      <c r="A53" s="70">
        <f t="shared" ref="A53" si="17">A52+1</f>
        <v>46387</v>
      </c>
      <c r="B53" s="79">
        <f t="shared" si="13"/>
        <v>53</v>
      </c>
      <c r="C53" s="71"/>
      <c r="D53" s="71"/>
      <c r="E53" s="74"/>
      <c r="F53" s="73"/>
      <c r="G53" s="73"/>
      <c r="H53" s="73">
        <f t="shared" ref="H53" si="18">SUM(F53:G53)</f>
        <v>0</v>
      </c>
    </row>
    <row r="54" spans="1:27" s="28" customFormat="1" ht="15.75" customHeight="1" x14ac:dyDescent="0.2">
      <c r="A54" s="44" t="str">
        <f>"Total of Week "&amp;RIGHT(A47,2)+1</f>
        <v>Total of Week 53</v>
      </c>
      <c r="B54" s="80"/>
      <c r="C54" s="45"/>
      <c r="D54" s="45"/>
      <c r="E54" s="63"/>
      <c r="F54" s="46">
        <f ca="1">SUMIF($B:$E,RIGHT($A54,2),F:F)</f>
        <v>0</v>
      </c>
      <c r="G54" s="46">
        <f ca="1">SUMIF($B:$E,RIGHT($A54,2),G:G)</f>
        <v>0</v>
      </c>
      <c r="H54" s="47">
        <f ca="1">SUMIF($B:$E,RIGHT($A54,2),H:H)</f>
        <v>0</v>
      </c>
    </row>
    <row r="55" spans="1:27" ht="15.75" customHeight="1" x14ac:dyDescent="0.25">
      <c r="A55" s="22"/>
      <c r="B55" s="87"/>
      <c r="C55" s="5"/>
      <c r="D55" s="5"/>
      <c r="E55" s="65"/>
      <c r="F55" s="6"/>
      <c r="G55" s="5"/>
      <c r="H55" s="7"/>
    </row>
    <row r="56" spans="1:27" ht="15.75" customHeight="1" x14ac:dyDescent="0.25">
      <c r="A56" s="24" t="s">
        <v>16</v>
      </c>
      <c r="B56" s="88"/>
      <c r="C56" s="11"/>
      <c r="D56" s="11"/>
      <c r="E56" s="67"/>
      <c r="F56" s="12"/>
      <c r="G56" s="11"/>
      <c r="H56" s="13">
        <f ca="1">SUMIF(A7:A55,"*Total of week*",H7:H55)</f>
        <v>0</v>
      </c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1:27" ht="15.75" customHeight="1" x14ac:dyDescent="0.25">
      <c r="E57" s="4"/>
      <c r="F57" s="15"/>
      <c r="O57" s="3"/>
      <c r="P57" s="3"/>
      <c r="R57" s="3"/>
    </row>
    <row r="58" spans="1:27" ht="15.75" customHeight="1" x14ac:dyDescent="0.25">
      <c r="E58" s="4"/>
      <c r="F58" s="15"/>
      <c r="O58" s="3"/>
    </row>
    <row r="59" spans="1:27" ht="15.75" customHeight="1" x14ac:dyDescent="0.25">
      <c r="A59" s="26"/>
      <c r="B59" s="90"/>
      <c r="C59" s="17"/>
      <c r="D59" s="16"/>
      <c r="E59" s="4"/>
      <c r="F59" s="15"/>
    </row>
    <row r="60" spans="1:27" ht="15.75" customHeight="1" x14ac:dyDescent="0.25">
      <c r="A60" s="26"/>
      <c r="B60" s="90"/>
      <c r="C60" s="16"/>
      <c r="D60" s="16"/>
      <c r="E60" s="68"/>
      <c r="F60" s="18"/>
      <c r="G60" s="16"/>
      <c r="H60" s="3"/>
    </row>
    <row r="61" spans="1:27" ht="15.75" customHeight="1" x14ac:dyDescent="0.25">
      <c r="A61" s="26"/>
      <c r="B61" s="90"/>
      <c r="C61" s="19"/>
      <c r="D61" s="19"/>
      <c r="E61" s="4"/>
      <c r="F61" s="15"/>
    </row>
    <row r="62" spans="1:27" s="28" customFormat="1" ht="15.75" customHeight="1" x14ac:dyDescent="0.25">
      <c r="A62" s="36"/>
      <c r="B62" s="86"/>
      <c r="C62" s="29"/>
      <c r="D62" s="29"/>
      <c r="E62" s="64"/>
      <c r="F62" s="33"/>
      <c r="G62" s="34"/>
      <c r="H62" s="35"/>
    </row>
    <row r="63" spans="1:27" ht="15.75" customHeight="1" x14ac:dyDescent="0.25">
      <c r="C63" s="20"/>
      <c r="D63" s="20"/>
      <c r="E63" s="4"/>
      <c r="F63" s="15"/>
    </row>
    <row r="64" spans="1:27" ht="15.75" customHeight="1" x14ac:dyDescent="0.25">
      <c r="A64" s="26"/>
      <c r="B64" s="90"/>
      <c r="C64" s="19"/>
      <c r="D64" s="19"/>
      <c r="E64" s="4"/>
      <c r="F64" s="15"/>
    </row>
    <row r="65" spans="1:6" ht="15.75" customHeight="1" x14ac:dyDescent="0.25">
      <c r="A65" s="26"/>
      <c r="B65" s="90"/>
      <c r="C65" s="19"/>
      <c r="D65" s="19"/>
      <c r="E65" s="4"/>
      <c r="F65" s="15"/>
    </row>
    <row r="66" spans="1:6" ht="15.75" customHeight="1" x14ac:dyDescent="0.2"/>
    <row r="67" spans="1:6" ht="15.75" customHeight="1" x14ac:dyDescent="0.2"/>
    <row r="68" spans="1:6" ht="15.75" customHeight="1" x14ac:dyDescent="0.2"/>
    <row r="69" spans="1:6" ht="15.75" customHeight="1" x14ac:dyDescent="0.2"/>
    <row r="70" spans="1:6" ht="15.75" customHeight="1" x14ac:dyDescent="0.2"/>
    <row r="71" spans="1:6" ht="15.75" customHeight="1" x14ac:dyDescent="0.2"/>
    <row r="72" spans="1:6" ht="15.75" customHeight="1" x14ac:dyDescent="0.2"/>
    <row r="73" spans="1:6" ht="15.75" customHeight="1" x14ac:dyDescent="0.2"/>
    <row r="74" spans="1:6" ht="15.75" customHeight="1" x14ac:dyDescent="0.2"/>
    <row r="75" spans="1:6" ht="15.75" customHeight="1" x14ac:dyDescent="0.2"/>
    <row r="76" spans="1:6" ht="15.75" customHeight="1" x14ac:dyDescent="0.2"/>
    <row r="77" spans="1:6" ht="15.75" customHeight="1" x14ac:dyDescent="0.2"/>
    <row r="78" spans="1:6" ht="15.75" customHeight="1" x14ac:dyDescent="0.2"/>
    <row r="79" spans="1:6" ht="15.75" customHeight="1" x14ac:dyDescent="0.2"/>
    <row r="80" spans="1:6" ht="15.75" customHeight="1" x14ac:dyDescent="0.2"/>
    <row r="81" spans="2:27" s="25" customFormat="1" ht="15.75" customHeight="1" x14ac:dyDescent="0.2">
      <c r="B81" s="89"/>
      <c r="C81"/>
      <c r="D81"/>
      <c r="E81" s="69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</row>
    <row r="82" spans="2:27" s="25" customFormat="1" ht="15.75" customHeight="1" x14ac:dyDescent="0.2">
      <c r="B82" s="89"/>
      <c r="C82"/>
      <c r="D82"/>
      <c r="E82" s="69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2:27" s="25" customFormat="1" ht="15.75" customHeight="1" x14ac:dyDescent="0.2">
      <c r="B83" s="89"/>
      <c r="C83"/>
      <c r="D83"/>
      <c r="E83" s="69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</row>
    <row r="84" spans="2:27" s="25" customFormat="1" ht="15.75" customHeight="1" x14ac:dyDescent="0.2">
      <c r="B84" s="89"/>
      <c r="C84"/>
      <c r="D84"/>
      <c r="E84" s="69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</row>
    <row r="85" spans="2:27" s="25" customFormat="1" ht="15.75" customHeight="1" x14ac:dyDescent="0.2">
      <c r="B85" s="89"/>
      <c r="C85"/>
      <c r="D85"/>
      <c r="E85" s="69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</row>
    <row r="86" spans="2:27" s="25" customFormat="1" ht="15.75" customHeight="1" x14ac:dyDescent="0.2">
      <c r="B86" s="89"/>
      <c r="C86"/>
      <c r="D86"/>
      <c r="E86" s="69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</row>
    <row r="87" spans="2:27" s="25" customFormat="1" ht="15.75" customHeight="1" x14ac:dyDescent="0.2">
      <c r="B87" s="89"/>
      <c r="C87"/>
      <c r="D87"/>
      <c r="E87" s="69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</row>
    <row r="88" spans="2:27" s="25" customFormat="1" ht="15.75" customHeight="1" x14ac:dyDescent="0.2">
      <c r="B88" s="89"/>
      <c r="C88"/>
      <c r="D88"/>
      <c r="E88" s="69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</row>
    <row r="89" spans="2:27" s="25" customFormat="1" ht="15.75" customHeight="1" x14ac:dyDescent="0.2">
      <c r="B89" s="89"/>
      <c r="C89"/>
      <c r="D89"/>
      <c r="E89" s="6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</row>
    <row r="90" spans="2:27" s="25" customFormat="1" ht="15.75" customHeight="1" x14ac:dyDescent="0.2">
      <c r="B90" s="89"/>
      <c r="C90"/>
      <c r="D90"/>
      <c r="E90" s="69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2:27" s="25" customFormat="1" ht="15.75" customHeight="1" x14ac:dyDescent="0.2">
      <c r="B91" s="89"/>
      <c r="C91"/>
      <c r="D91"/>
      <c r="E91" s="69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</row>
    <row r="92" spans="2:27" s="25" customFormat="1" ht="15.75" customHeight="1" x14ac:dyDescent="0.2">
      <c r="B92" s="89"/>
      <c r="C92"/>
      <c r="D92"/>
      <c r="E92" s="69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2:27" s="25" customFormat="1" ht="15.75" customHeight="1" x14ac:dyDescent="0.2">
      <c r="B93" s="89"/>
      <c r="C93"/>
      <c r="D93"/>
      <c r="E93" s="69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</row>
    <row r="94" spans="2:27" s="25" customFormat="1" ht="15.75" customHeight="1" x14ac:dyDescent="0.2">
      <c r="B94" s="89"/>
      <c r="C94"/>
      <c r="D94"/>
      <c r="E94" s="69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</row>
    <row r="95" spans="2:27" s="25" customFormat="1" ht="15.75" customHeight="1" x14ac:dyDescent="0.2">
      <c r="B95" s="89"/>
      <c r="C95"/>
      <c r="D95"/>
      <c r="E95" s="69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</row>
    <row r="96" spans="2:27" s="25" customFormat="1" ht="15.75" customHeight="1" x14ac:dyDescent="0.2">
      <c r="B96" s="89"/>
      <c r="C96"/>
      <c r="D96"/>
      <c r="E96" s="69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</row>
    <row r="97" spans="2:27" s="25" customFormat="1" ht="15.75" customHeight="1" x14ac:dyDescent="0.2">
      <c r="B97" s="89"/>
      <c r="C97"/>
      <c r="D97"/>
      <c r="E97" s="69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</row>
    <row r="98" spans="2:27" s="25" customFormat="1" ht="15.75" customHeight="1" x14ac:dyDescent="0.2">
      <c r="B98" s="89"/>
      <c r="C98"/>
      <c r="D98"/>
      <c r="E98" s="69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</row>
    <row r="99" spans="2:27" s="25" customFormat="1" ht="15.75" customHeight="1" x14ac:dyDescent="0.2">
      <c r="B99" s="89"/>
      <c r="C99"/>
      <c r="D99"/>
      <c r="E99" s="6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</row>
    <row r="100" spans="2:27" s="25" customFormat="1" ht="15.75" customHeight="1" x14ac:dyDescent="0.2">
      <c r="B100" s="89"/>
      <c r="C100"/>
      <c r="D100"/>
      <c r="E100" s="69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</row>
    <row r="101" spans="2:27" s="25" customFormat="1" ht="15.75" customHeight="1" x14ac:dyDescent="0.2">
      <c r="B101" s="89"/>
      <c r="C101"/>
      <c r="D101"/>
      <c r="E101" s="69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</row>
    <row r="102" spans="2:27" s="25" customFormat="1" ht="15.75" customHeight="1" x14ac:dyDescent="0.2">
      <c r="B102" s="89"/>
      <c r="C102"/>
      <c r="D102"/>
      <c r="E102" s="69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2:27" s="25" customFormat="1" ht="15.75" customHeight="1" x14ac:dyDescent="0.2">
      <c r="B103" s="89"/>
      <c r="C103"/>
      <c r="D103"/>
      <c r="E103" s="69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</row>
    <row r="104" spans="2:27" s="25" customFormat="1" ht="15.75" customHeight="1" x14ac:dyDescent="0.2">
      <c r="B104" s="89"/>
      <c r="C104"/>
      <c r="D104"/>
      <c r="E104" s="69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</row>
    <row r="105" spans="2:27" s="25" customFormat="1" ht="15.75" customHeight="1" x14ac:dyDescent="0.2">
      <c r="B105" s="89"/>
      <c r="C105"/>
      <c r="D105"/>
      <c r="E105" s="69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</row>
    <row r="106" spans="2:27" s="25" customFormat="1" ht="15.75" customHeight="1" x14ac:dyDescent="0.2">
      <c r="B106" s="89"/>
      <c r="C106"/>
      <c r="D106"/>
      <c r="E106" s="69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</row>
    <row r="107" spans="2:27" s="25" customFormat="1" ht="15.75" customHeight="1" x14ac:dyDescent="0.2">
      <c r="B107" s="89"/>
      <c r="C107"/>
      <c r="D107"/>
      <c r="E107" s="69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</row>
    <row r="108" spans="2:27" s="25" customFormat="1" ht="15.75" customHeight="1" x14ac:dyDescent="0.2">
      <c r="B108" s="89"/>
      <c r="C108"/>
      <c r="D108"/>
      <c r="E108" s="69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</row>
    <row r="109" spans="2:27" s="25" customFormat="1" ht="15.75" customHeight="1" x14ac:dyDescent="0.2">
      <c r="B109" s="89"/>
      <c r="C109"/>
      <c r="D109"/>
      <c r="E109" s="6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</row>
    <row r="110" spans="2:27" s="25" customFormat="1" ht="15.75" customHeight="1" x14ac:dyDescent="0.2">
      <c r="B110" s="89"/>
      <c r="C110"/>
      <c r="D110"/>
      <c r="E110" s="69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</row>
    <row r="111" spans="2:27" s="25" customFormat="1" ht="15.75" customHeight="1" x14ac:dyDescent="0.2">
      <c r="B111" s="89"/>
      <c r="C111"/>
      <c r="D111"/>
      <c r="E111" s="69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2:27" s="25" customFormat="1" ht="15.75" customHeight="1" x14ac:dyDescent="0.2">
      <c r="B112" s="89"/>
      <c r="C112"/>
      <c r="D112"/>
      <c r="E112" s="69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</row>
    <row r="113" spans="2:27" s="25" customFormat="1" ht="15.75" customHeight="1" x14ac:dyDescent="0.2">
      <c r="B113" s="89"/>
      <c r="C113"/>
      <c r="D113"/>
      <c r="E113" s="69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</row>
    <row r="114" spans="2:27" s="25" customFormat="1" ht="15.75" customHeight="1" x14ac:dyDescent="0.2">
      <c r="B114" s="89"/>
      <c r="C114"/>
      <c r="D114"/>
      <c r="E114" s="69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2:27" s="25" customFormat="1" ht="15.75" customHeight="1" x14ac:dyDescent="0.2">
      <c r="B115" s="89"/>
      <c r="C115"/>
      <c r="D115"/>
      <c r="E115" s="69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</row>
    <row r="116" spans="2:27" s="25" customFormat="1" ht="15.75" customHeight="1" x14ac:dyDescent="0.2">
      <c r="B116" s="89"/>
      <c r="C116"/>
      <c r="D116"/>
      <c r="E116" s="69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</row>
    <row r="117" spans="2:27" s="25" customFormat="1" ht="15.75" customHeight="1" x14ac:dyDescent="0.2">
      <c r="B117" s="89"/>
      <c r="C117"/>
      <c r="D117"/>
      <c r="E117" s="69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</row>
    <row r="118" spans="2:27" s="25" customFormat="1" ht="15.75" customHeight="1" x14ac:dyDescent="0.2">
      <c r="B118" s="89"/>
      <c r="C118"/>
      <c r="D118"/>
      <c r="E118" s="69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</row>
    <row r="119" spans="2:27" s="25" customFormat="1" ht="15.75" customHeight="1" x14ac:dyDescent="0.2">
      <c r="B119" s="89"/>
      <c r="C119"/>
      <c r="D119"/>
      <c r="E119" s="6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</row>
    <row r="120" spans="2:27" s="25" customFormat="1" ht="15.75" customHeight="1" x14ac:dyDescent="0.2">
      <c r="B120" s="89"/>
      <c r="C120"/>
      <c r="D120"/>
      <c r="E120" s="69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</row>
    <row r="121" spans="2:27" s="25" customFormat="1" ht="15.75" customHeight="1" x14ac:dyDescent="0.2">
      <c r="B121" s="89"/>
      <c r="C121"/>
      <c r="D121"/>
      <c r="E121" s="69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</row>
    <row r="122" spans="2:27" s="25" customFormat="1" ht="15.75" customHeight="1" x14ac:dyDescent="0.2">
      <c r="B122" s="89"/>
      <c r="C122"/>
      <c r="D122"/>
      <c r="E122" s="69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</row>
    <row r="123" spans="2:27" s="25" customFormat="1" ht="15.75" customHeight="1" x14ac:dyDescent="0.2">
      <c r="B123" s="89"/>
      <c r="C123"/>
      <c r="D123"/>
      <c r="E123" s="69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2:27" s="25" customFormat="1" ht="15.75" customHeight="1" x14ac:dyDescent="0.2">
      <c r="B124" s="89"/>
      <c r="C124"/>
      <c r="D124"/>
      <c r="E124" s="69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</row>
    <row r="125" spans="2:27" s="25" customFormat="1" ht="15.75" customHeight="1" x14ac:dyDescent="0.2">
      <c r="B125" s="89"/>
      <c r="C125"/>
      <c r="D125"/>
      <c r="E125" s="69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</row>
    <row r="126" spans="2:27" s="25" customFormat="1" ht="15.75" customHeight="1" x14ac:dyDescent="0.2">
      <c r="B126" s="89"/>
      <c r="C126"/>
      <c r="D126"/>
      <c r="E126" s="69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</row>
    <row r="127" spans="2:27" s="25" customFormat="1" ht="15.75" customHeight="1" x14ac:dyDescent="0.2">
      <c r="B127" s="89"/>
      <c r="C127"/>
      <c r="D127"/>
      <c r="E127" s="69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</row>
    <row r="128" spans="2:27" s="25" customFormat="1" ht="15.75" customHeight="1" x14ac:dyDescent="0.2">
      <c r="B128" s="89"/>
      <c r="C128"/>
      <c r="D128"/>
      <c r="E128" s="69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</row>
    <row r="129" spans="2:27" s="25" customFormat="1" ht="15.75" customHeight="1" x14ac:dyDescent="0.2">
      <c r="B129" s="89"/>
      <c r="C129"/>
      <c r="D129"/>
      <c r="E129" s="6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</row>
    <row r="130" spans="2:27" s="25" customFormat="1" ht="15.75" customHeight="1" x14ac:dyDescent="0.2">
      <c r="B130" s="89"/>
      <c r="C130"/>
      <c r="D130"/>
      <c r="E130" s="69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</row>
    <row r="131" spans="2:27" s="25" customFormat="1" ht="15.75" customHeight="1" x14ac:dyDescent="0.2">
      <c r="B131" s="89"/>
      <c r="C131"/>
      <c r="D131"/>
      <c r="E131" s="69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</row>
    <row r="132" spans="2:27" s="25" customFormat="1" ht="15.75" customHeight="1" x14ac:dyDescent="0.2">
      <c r="B132" s="89"/>
      <c r="C132"/>
      <c r="D132"/>
      <c r="E132" s="69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</row>
    <row r="133" spans="2:27" s="25" customFormat="1" ht="15.75" customHeight="1" x14ac:dyDescent="0.2">
      <c r="B133" s="89"/>
      <c r="C133"/>
      <c r="D133"/>
      <c r="E133" s="69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</row>
    <row r="134" spans="2:27" s="25" customFormat="1" ht="15.75" customHeight="1" x14ac:dyDescent="0.2">
      <c r="B134" s="89"/>
      <c r="C134"/>
      <c r="D134"/>
      <c r="E134" s="69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</row>
    <row r="135" spans="2:27" s="25" customFormat="1" ht="15.75" customHeight="1" x14ac:dyDescent="0.2">
      <c r="B135" s="89"/>
      <c r="C135"/>
      <c r="D135"/>
      <c r="E135" s="69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</row>
    <row r="136" spans="2:27" s="25" customFormat="1" ht="15.75" customHeight="1" x14ac:dyDescent="0.2">
      <c r="B136" s="89"/>
      <c r="C136"/>
      <c r="D136"/>
      <c r="E136" s="69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</row>
    <row r="137" spans="2:27" s="25" customFormat="1" ht="15.75" customHeight="1" x14ac:dyDescent="0.2">
      <c r="B137" s="89"/>
      <c r="C137"/>
      <c r="D137"/>
      <c r="E137" s="69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</row>
    <row r="138" spans="2:27" s="25" customFormat="1" ht="15.75" customHeight="1" x14ac:dyDescent="0.2">
      <c r="B138" s="89"/>
      <c r="C138"/>
      <c r="D138"/>
      <c r="E138" s="69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</row>
    <row r="139" spans="2:27" s="25" customFormat="1" ht="15.75" customHeight="1" x14ac:dyDescent="0.2">
      <c r="B139" s="89"/>
      <c r="C139"/>
      <c r="D139"/>
      <c r="E139" s="6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</row>
    <row r="140" spans="2:27" s="25" customFormat="1" ht="15.75" customHeight="1" x14ac:dyDescent="0.2">
      <c r="B140" s="89"/>
      <c r="C140"/>
      <c r="D140"/>
      <c r="E140" s="69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</row>
    <row r="141" spans="2:27" s="25" customFormat="1" ht="15.75" customHeight="1" x14ac:dyDescent="0.2">
      <c r="B141" s="89"/>
      <c r="C141"/>
      <c r="D141"/>
      <c r="E141" s="69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</row>
    <row r="142" spans="2:27" s="25" customFormat="1" ht="15.75" customHeight="1" x14ac:dyDescent="0.2">
      <c r="B142" s="89"/>
      <c r="C142"/>
      <c r="D142"/>
      <c r="E142" s="69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</row>
    <row r="143" spans="2:27" s="25" customFormat="1" ht="15.75" customHeight="1" x14ac:dyDescent="0.2">
      <c r="B143" s="89"/>
      <c r="C143"/>
      <c r="D143"/>
      <c r="E143" s="69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</row>
    <row r="144" spans="2:27" s="25" customFormat="1" ht="15.75" customHeight="1" x14ac:dyDescent="0.2">
      <c r="B144" s="89"/>
      <c r="C144"/>
      <c r="D144"/>
      <c r="E144" s="69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</row>
    <row r="145" spans="2:27" s="25" customFormat="1" ht="15.75" customHeight="1" x14ac:dyDescent="0.2">
      <c r="B145" s="89"/>
      <c r="C145"/>
      <c r="D145"/>
      <c r="E145" s="69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</row>
    <row r="146" spans="2:27" s="25" customFormat="1" ht="15.75" customHeight="1" x14ac:dyDescent="0.2">
      <c r="B146" s="89"/>
      <c r="C146"/>
      <c r="D146"/>
      <c r="E146" s="69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</row>
    <row r="147" spans="2:27" s="25" customFormat="1" ht="15.75" customHeight="1" x14ac:dyDescent="0.2">
      <c r="B147" s="89"/>
      <c r="C147"/>
      <c r="D147"/>
      <c r="E147" s="69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</row>
    <row r="148" spans="2:27" s="25" customFormat="1" ht="15.75" customHeight="1" x14ac:dyDescent="0.2">
      <c r="B148" s="89"/>
      <c r="C148"/>
      <c r="D148"/>
      <c r="E148" s="69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</row>
    <row r="149" spans="2:27" s="25" customFormat="1" ht="15.75" customHeight="1" x14ac:dyDescent="0.2">
      <c r="B149" s="89"/>
      <c r="C149"/>
      <c r="D149"/>
      <c r="E149" s="6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</row>
    <row r="150" spans="2:27" s="25" customFormat="1" ht="15.75" customHeight="1" x14ac:dyDescent="0.2">
      <c r="B150" s="89"/>
      <c r="C150"/>
      <c r="D150"/>
      <c r="E150" s="69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</row>
    <row r="151" spans="2:27" s="25" customFormat="1" ht="15.75" customHeight="1" x14ac:dyDescent="0.2">
      <c r="B151" s="89"/>
      <c r="C151"/>
      <c r="D151"/>
      <c r="E151" s="69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</row>
    <row r="152" spans="2:27" s="25" customFormat="1" ht="15.75" customHeight="1" x14ac:dyDescent="0.2">
      <c r="B152" s="89"/>
      <c r="C152"/>
      <c r="D152"/>
      <c r="E152" s="69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</row>
    <row r="153" spans="2:27" s="25" customFormat="1" ht="15.75" customHeight="1" x14ac:dyDescent="0.2">
      <c r="B153" s="89"/>
      <c r="C153"/>
      <c r="D153"/>
      <c r="E153" s="69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</row>
    <row r="154" spans="2:27" s="25" customFormat="1" ht="15.75" customHeight="1" x14ac:dyDescent="0.2">
      <c r="B154" s="89"/>
      <c r="C154"/>
      <c r="D154"/>
      <c r="E154" s="69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</row>
    <row r="155" spans="2:27" s="25" customFormat="1" ht="15.75" customHeight="1" x14ac:dyDescent="0.2">
      <c r="B155" s="89"/>
      <c r="C155"/>
      <c r="D155"/>
      <c r="E155" s="69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</row>
    <row r="156" spans="2:27" s="25" customFormat="1" ht="15.75" customHeight="1" x14ac:dyDescent="0.2">
      <c r="B156" s="89"/>
      <c r="C156"/>
      <c r="D156"/>
      <c r="E156" s="69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</row>
    <row r="157" spans="2:27" s="25" customFormat="1" ht="15.75" customHeight="1" x14ac:dyDescent="0.2">
      <c r="B157" s="89"/>
      <c r="C157"/>
      <c r="D157"/>
      <c r="E157" s="69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</row>
    <row r="158" spans="2:27" s="25" customFormat="1" ht="15.75" customHeight="1" x14ac:dyDescent="0.2">
      <c r="B158" s="89"/>
      <c r="C158"/>
      <c r="D158"/>
      <c r="E158" s="69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</row>
    <row r="159" spans="2:27" s="25" customFormat="1" ht="15.75" customHeight="1" x14ac:dyDescent="0.2">
      <c r="B159" s="89"/>
      <c r="C159"/>
      <c r="D159"/>
      <c r="E159" s="6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</row>
    <row r="160" spans="2:27" s="25" customFormat="1" ht="15.75" customHeight="1" x14ac:dyDescent="0.2">
      <c r="B160" s="89"/>
      <c r="C160"/>
      <c r="D160"/>
      <c r="E160" s="69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</row>
    <row r="161" spans="2:27" s="25" customFormat="1" ht="15.75" customHeight="1" x14ac:dyDescent="0.2">
      <c r="B161" s="89"/>
      <c r="C161"/>
      <c r="D161"/>
      <c r="E161" s="69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</row>
    <row r="162" spans="2:27" s="25" customFormat="1" ht="15.75" customHeight="1" x14ac:dyDescent="0.2">
      <c r="B162" s="89"/>
      <c r="C162"/>
      <c r="D162"/>
      <c r="E162" s="69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</row>
    <row r="163" spans="2:27" s="25" customFormat="1" ht="15.75" customHeight="1" x14ac:dyDescent="0.2">
      <c r="B163" s="89"/>
      <c r="C163"/>
      <c r="D163"/>
      <c r="E163" s="69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</row>
    <row r="164" spans="2:27" s="25" customFormat="1" ht="15.75" customHeight="1" x14ac:dyDescent="0.2">
      <c r="B164" s="89"/>
      <c r="C164"/>
      <c r="D164"/>
      <c r="E164" s="69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</row>
    <row r="165" spans="2:27" s="25" customFormat="1" ht="15.75" customHeight="1" x14ac:dyDescent="0.2">
      <c r="B165" s="89"/>
      <c r="C165"/>
      <c r="D165"/>
      <c r="E165" s="69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</row>
    <row r="166" spans="2:27" s="25" customFormat="1" ht="15.75" customHeight="1" x14ac:dyDescent="0.2">
      <c r="B166" s="89"/>
      <c r="C166"/>
      <c r="D166"/>
      <c r="E166" s="69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</row>
    <row r="167" spans="2:27" s="25" customFormat="1" ht="15.75" customHeight="1" x14ac:dyDescent="0.2">
      <c r="B167" s="89"/>
      <c r="C167"/>
      <c r="D167"/>
      <c r="E167" s="69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</row>
    <row r="168" spans="2:27" s="25" customFormat="1" ht="15.75" customHeight="1" x14ac:dyDescent="0.2">
      <c r="B168" s="89"/>
      <c r="C168"/>
      <c r="D168"/>
      <c r="E168" s="69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</row>
    <row r="169" spans="2:27" s="25" customFormat="1" ht="15.75" customHeight="1" x14ac:dyDescent="0.2">
      <c r="B169" s="89"/>
      <c r="C169"/>
      <c r="D169"/>
      <c r="E169" s="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</row>
    <row r="170" spans="2:27" s="25" customFormat="1" ht="15.75" customHeight="1" x14ac:dyDescent="0.2">
      <c r="B170" s="89"/>
      <c r="C170"/>
      <c r="D170"/>
      <c r="E170" s="69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</row>
    <row r="171" spans="2:27" s="25" customFormat="1" ht="15.75" customHeight="1" x14ac:dyDescent="0.2">
      <c r="B171" s="89"/>
      <c r="C171"/>
      <c r="D171"/>
      <c r="E171" s="69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</row>
    <row r="172" spans="2:27" s="25" customFormat="1" ht="15.75" customHeight="1" x14ac:dyDescent="0.2">
      <c r="B172" s="89"/>
      <c r="C172"/>
      <c r="D172"/>
      <c r="E172" s="69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</row>
    <row r="173" spans="2:27" s="25" customFormat="1" ht="15.75" customHeight="1" x14ac:dyDescent="0.2">
      <c r="B173" s="89"/>
      <c r="C173"/>
      <c r="D173"/>
      <c r="E173" s="69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</row>
    <row r="174" spans="2:27" s="25" customFormat="1" ht="15.75" customHeight="1" x14ac:dyDescent="0.2">
      <c r="B174" s="89"/>
      <c r="C174"/>
      <c r="D174"/>
      <c r="E174" s="69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</row>
    <row r="175" spans="2:27" s="25" customFormat="1" ht="15.75" customHeight="1" x14ac:dyDescent="0.2">
      <c r="B175" s="89"/>
      <c r="C175"/>
      <c r="D175"/>
      <c r="E175" s="69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</row>
    <row r="176" spans="2:27" s="25" customFormat="1" ht="15.75" customHeight="1" x14ac:dyDescent="0.2">
      <c r="B176" s="89"/>
      <c r="C176"/>
      <c r="D176"/>
      <c r="E176" s="69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</row>
    <row r="177" spans="2:27" s="25" customFormat="1" ht="15.75" customHeight="1" x14ac:dyDescent="0.2">
      <c r="B177" s="89"/>
      <c r="C177"/>
      <c r="D177"/>
      <c r="E177" s="69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</row>
    <row r="178" spans="2:27" s="25" customFormat="1" ht="15.75" customHeight="1" x14ac:dyDescent="0.2">
      <c r="B178" s="89"/>
      <c r="C178"/>
      <c r="D178"/>
      <c r="E178" s="69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</row>
    <row r="179" spans="2:27" s="25" customFormat="1" ht="15.75" customHeight="1" x14ac:dyDescent="0.2">
      <c r="B179" s="89"/>
      <c r="C179"/>
      <c r="D179"/>
      <c r="E179" s="6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</row>
    <row r="180" spans="2:27" s="25" customFormat="1" ht="15.75" customHeight="1" x14ac:dyDescent="0.2">
      <c r="B180" s="89"/>
      <c r="C180"/>
      <c r="D180"/>
      <c r="E180" s="69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</row>
    <row r="181" spans="2:27" s="25" customFormat="1" ht="15.75" customHeight="1" x14ac:dyDescent="0.2">
      <c r="B181" s="89"/>
      <c r="C181"/>
      <c r="D181"/>
      <c r="E181" s="69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</row>
    <row r="182" spans="2:27" s="25" customFormat="1" ht="15.75" customHeight="1" x14ac:dyDescent="0.2">
      <c r="B182" s="89"/>
      <c r="C182"/>
      <c r="D182"/>
      <c r="E182" s="69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</row>
    <row r="183" spans="2:27" s="25" customFormat="1" ht="15.75" customHeight="1" x14ac:dyDescent="0.2">
      <c r="B183" s="89"/>
      <c r="C183"/>
      <c r="D183"/>
      <c r="E183" s="69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</row>
    <row r="184" spans="2:27" s="25" customFormat="1" ht="15.75" customHeight="1" x14ac:dyDescent="0.2">
      <c r="B184" s="89"/>
      <c r="C184"/>
      <c r="D184"/>
      <c r="E184" s="69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</row>
    <row r="185" spans="2:27" s="25" customFormat="1" ht="15.75" customHeight="1" x14ac:dyDescent="0.2">
      <c r="B185" s="89"/>
      <c r="C185"/>
      <c r="D185"/>
      <c r="E185" s="69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</row>
    <row r="186" spans="2:27" s="25" customFormat="1" ht="15.75" customHeight="1" x14ac:dyDescent="0.2">
      <c r="B186" s="89"/>
      <c r="C186"/>
      <c r="D186"/>
      <c r="E186" s="69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</row>
    <row r="187" spans="2:27" s="25" customFormat="1" ht="15.75" customHeight="1" x14ac:dyDescent="0.2">
      <c r="B187" s="89"/>
      <c r="C187"/>
      <c r="D187"/>
      <c r="E187" s="69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</row>
    <row r="188" spans="2:27" s="25" customFormat="1" ht="15.75" customHeight="1" x14ac:dyDescent="0.2">
      <c r="B188" s="89"/>
      <c r="C188"/>
      <c r="D188"/>
      <c r="E188" s="69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</row>
    <row r="189" spans="2:27" s="25" customFormat="1" ht="15.75" customHeight="1" x14ac:dyDescent="0.2">
      <c r="B189" s="89"/>
      <c r="C189"/>
      <c r="D189"/>
      <c r="E189" s="6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</row>
    <row r="190" spans="2:27" s="25" customFormat="1" ht="15.75" customHeight="1" x14ac:dyDescent="0.2">
      <c r="B190" s="89"/>
      <c r="C190"/>
      <c r="D190"/>
      <c r="E190" s="69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</row>
    <row r="191" spans="2:27" s="25" customFormat="1" ht="15.75" customHeight="1" x14ac:dyDescent="0.2">
      <c r="B191" s="89"/>
      <c r="C191"/>
      <c r="D191"/>
      <c r="E191" s="69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</row>
    <row r="192" spans="2:27" s="25" customFormat="1" ht="15.75" customHeight="1" x14ac:dyDescent="0.2">
      <c r="B192" s="89"/>
      <c r="C192"/>
      <c r="D192"/>
      <c r="E192" s="69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</row>
    <row r="193" spans="2:27" s="25" customFormat="1" ht="15.75" customHeight="1" x14ac:dyDescent="0.2">
      <c r="B193" s="89"/>
      <c r="C193"/>
      <c r="D193"/>
      <c r="E193" s="69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</row>
    <row r="194" spans="2:27" s="25" customFormat="1" ht="15.75" customHeight="1" x14ac:dyDescent="0.2">
      <c r="B194" s="89"/>
      <c r="C194"/>
      <c r="D194"/>
      <c r="E194" s="69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</row>
    <row r="195" spans="2:27" s="25" customFormat="1" ht="15.75" customHeight="1" x14ac:dyDescent="0.2">
      <c r="B195" s="89"/>
      <c r="C195"/>
      <c r="D195"/>
      <c r="E195" s="69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</row>
    <row r="196" spans="2:27" s="25" customFormat="1" ht="15.75" customHeight="1" x14ac:dyDescent="0.2">
      <c r="B196" s="89"/>
      <c r="C196"/>
      <c r="D196"/>
      <c r="E196" s="69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</row>
    <row r="197" spans="2:27" s="25" customFormat="1" ht="15.75" customHeight="1" x14ac:dyDescent="0.2">
      <c r="B197" s="89"/>
      <c r="C197"/>
      <c r="D197"/>
      <c r="E197" s="69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</row>
    <row r="198" spans="2:27" s="25" customFormat="1" ht="15.75" customHeight="1" x14ac:dyDescent="0.2">
      <c r="B198" s="89"/>
      <c r="C198"/>
      <c r="D198"/>
      <c r="E198" s="69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</row>
    <row r="199" spans="2:27" s="25" customFormat="1" ht="15.75" customHeight="1" x14ac:dyDescent="0.2">
      <c r="B199" s="89"/>
      <c r="C199"/>
      <c r="D199"/>
      <c r="E199" s="6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</row>
    <row r="200" spans="2:27" s="25" customFormat="1" ht="15.75" customHeight="1" x14ac:dyDescent="0.2">
      <c r="B200" s="89"/>
      <c r="C200"/>
      <c r="D200"/>
      <c r="E200" s="69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</row>
    <row r="201" spans="2:27" s="25" customFormat="1" ht="15.75" customHeight="1" x14ac:dyDescent="0.2">
      <c r="B201" s="89"/>
      <c r="C201"/>
      <c r="D201"/>
      <c r="E201" s="69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</row>
    <row r="202" spans="2:27" s="25" customFormat="1" ht="15.75" customHeight="1" x14ac:dyDescent="0.2">
      <c r="B202" s="89"/>
      <c r="C202"/>
      <c r="D202"/>
      <c r="E202" s="69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</row>
    <row r="203" spans="2:27" s="25" customFormat="1" ht="15.75" customHeight="1" x14ac:dyDescent="0.2">
      <c r="B203" s="89"/>
      <c r="C203"/>
      <c r="D203"/>
      <c r="E203" s="69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</row>
    <row r="204" spans="2:27" s="25" customFormat="1" ht="15.75" customHeight="1" x14ac:dyDescent="0.2">
      <c r="B204" s="89"/>
      <c r="C204"/>
      <c r="D204"/>
      <c r="E204" s="69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</row>
    <row r="205" spans="2:27" s="25" customFormat="1" ht="15.75" customHeight="1" x14ac:dyDescent="0.2">
      <c r="B205" s="89"/>
      <c r="C205"/>
      <c r="D205"/>
      <c r="E205" s="69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</row>
    <row r="206" spans="2:27" s="25" customFormat="1" ht="15.75" customHeight="1" x14ac:dyDescent="0.2">
      <c r="B206" s="89"/>
      <c r="C206"/>
      <c r="D206"/>
      <c r="E206" s="69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</row>
    <row r="207" spans="2:27" s="25" customFormat="1" ht="15.75" customHeight="1" x14ac:dyDescent="0.2">
      <c r="B207" s="89"/>
      <c r="C207"/>
      <c r="D207"/>
      <c r="E207" s="69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</row>
    <row r="208" spans="2:27" s="25" customFormat="1" ht="15.75" customHeight="1" x14ac:dyDescent="0.2">
      <c r="B208" s="89"/>
      <c r="C208"/>
      <c r="D208"/>
      <c r="E208" s="69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</row>
    <row r="209" spans="2:27" s="25" customFormat="1" ht="15.75" customHeight="1" x14ac:dyDescent="0.2">
      <c r="B209" s="89"/>
      <c r="C209"/>
      <c r="D209"/>
      <c r="E209" s="6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</row>
    <row r="210" spans="2:27" s="25" customFormat="1" ht="15.75" customHeight="1" x14ac:dyDescent="0.2">
      <c r="B210" s="89"/>
      <c r="C210"/>
      <c r="D210"/>
      <c r="E210" s="69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</row>
    <row r="211" spans="2:27" s="25" customFormat="1" ht="15.75" customHeight="1" x14ac:dyDescent="0.2">
      <c r="B211" s="89"/>
      <c r="C211"/>
      <c r="D211"/>
      <c r="E211" s="69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</row>
    <row r="212" spans="2:27" s="25" customFormat="1" ht="15.75" customHeight="1" x14ac:dyDescent="0.2">
      <c r="B212" s="89"/>
      <c r="C212"/>
      <c r="D212"/>
      <c r="E212" s="69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</row>
    <row r="213" spans="2:27" s="25" customFormat="1" ht="15.75" customHeight="1" x14ac:dyDescent="0.2">
      <c r="B213" s="89"/>
      <c r="C213"/>
      <c r="D213"/>
      <c r="E213" s="69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</row>
    <row r="214" spans="2:27" s="25" customFormat="1" ht="15.75" customHeight="1" x14ac:dyDescent="0.2">
      <c r="B214" s="89"/>
      <c r="C214"/>
      <c r="D214"/>
      <c r="E214" s="69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</row>
    <row r="215" spans="2:27" s="25" customFormat="1" ht="15.75" customHeight="1" x14ac:dyDescent="0.2">
      <c r="B215" s="89"/>
      <c r="C215"/>
      <c r="D215"/>
      <c r="E215" s="69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</row>
    <row r="216" spans="2:27" s="25" customFormat="1" ht="15.75" customHeight="1" x14ac:dyDescent="0.2">
      <c r="B216" s="89"/>
      <c r="C216"/>
      <c r="D216"/>
      <c r="E216" s="69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</row>
    <row r="217" spans="2:27" s="25" customFormat="1" ht="15.75" customHeight="1" x14ac:dyDescent="0.2">
      <c r="B217" s="89"/>
      <c r="C217"/>
      <c r="D217"/>
      <c r="E217" s="69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</row>
    <row r="218" spans="2:27" s="25" customFormat="1" ht="15.75" customHeight="1" x14ac:dyDescent="0.2">
      <c r="B218" s="89"/>
      <c r="C218"/>
      <c r="D218"/>
      <c r="E218" s="69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</row>
    <row r="219" spans="2:27" s="25" customFormat="1" ht="15.75" customHeight="1" x14ac:dyDescent="0.2">
      <c r="B219" s="89"/>
      <c r="C219"/>
      <c r="D219"/>
      <c r="E219" s="6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</row>
    <row r="220" spans="2:27" s="25" customFormat="1" ht="15.75" customHeight="1" x14ac:dyDescent="0.2">
      <c r="B220" s="89"/>
      <c r="C220"/>
      <c r="D220"/>
      <c r="E220" s="69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</row>
    <row r="221" spans="2:27" s="25" customFormat="1" ht="15.75" customHeight="1" x14ac:dyDescent="0.2">
      <c r="B221" s="89"/>
      <c r="C221"/>
      <c r="D221"/>
      <c r="E221" s="69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</row>
    <row r="222" spans="2:27" s="25" customFormat="1" ht="15.75" customHeight="1" x14ac:dyDescent="0.2">
      <c r="B222" s="89"/>
      <c r="C222"/>
      <c r="D222"/>
      <c r="E222" s="69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</row>
    <row r="223" spans="2:27" s="25" customFormat="1" ht="15.75" customHeight="1" x14ac:dyDescent="0.2">
      <c r="B223" s="89"/>
      <c r="C223"/>
      <c r="D223"/>
      <c r="E223" s="69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</row>
    <row r="224" spans="2:27" s="25" customFormat="1" ht="15.75" customHeight="1" x14ac:dyDescent="0.2">
      <c r="B224" s="89"/>
      <c r="C224"/>
      <c r="D224"/>
      <c r="E224" s="69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</row>
    <row r="225" spans="2:27" s="25" customFormat="1" ht="15.75" customHeight="1" x14ac:dyDescent="0.2">
      <c r="B225" s="89"/>
      <c r="C225"/>
      <c r="D225"/>
      <c r="E225" s="69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</row>
    <row r="226" spans="2:27" s="25" customFormat="1" ht="15.75" customHeight="1" x14ac:dyDescent="0.2">
      <c r="B226" s="89"/>
      <c r="C226"/>
      <c r="D226"/>
      <c r="E226" s="69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</row>
    <row r="227" spans="2:27" s="25" customFormat="1" ht="15.75" customHeight="1" x14ac:dyDescent="0.2">
      <c r="B227" s="89"/>
      <c r="C227"/>
      <c r="D227"/>
      <c r="E227" s="69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</row>
    <row r="228" spans="2:27" s="25" customFormat="1" ht="15.75" customHeight="1" x14ac:dyDescent="0.2">
      <c r="B228" s="89"/>
      <c r="C228"/>
      <c r="D228"/>
      <c r="E228" s="69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</row>
    <row r="229" spans="2:27" s="25" customFormat="1" ht="15.75" customHeight="1" x14ac:dyDescent="0.2">
      <c r="B229" s="89"/>
      <c r="C229"/>
      <c r="D229"/>
      <c r="E229" s="6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</row>
    <row r="230" spans="2:27" s="25" customFormat="1" ht="15.75" customHeight="1" x14ac:dyDescent="0.2">
      <c r="B230" s="89"/>
      <c r="C230"/>
      <c r="D230"/>
      <c r="E230" s="69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</row>
    <row r="231" spans="2:27" s="25" customFormat="1" ht="15.75" customHeight="1" x14ac:dyDescent="0.2">
      <c r="B231" s="89"/>
      <c r="C231"/>
      <c r="D231"/>
      <c r="E231" s="69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</row>
    <row r="232" spans="2:27" s="25" customFormat="1" ht="15.75" customHeight="1" x14ac:dyDescent="0.2">
      <c r="B232" s="89"/>
      <c r="C232"/>
      <c r="D232"/>
      <c r="E232" s="69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</row>
    <row r="233" spans="2:27" s="25" customFormat="1" ht="15.75" customHeight="1" x14ac:dyDescent="0.2">
      <c r="B233" s="89"/>
      <c r="C233"/>
      <c r="D233"/>
      <c r="E233" s="69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</row>
    <row r="234" spans="2:27" s="25" customFormat="1" ht="15.75" customHeight="1" x14ac:dyDescent="0.2">
      <c r="B234" s="89"/>
      <c r="C234"/>
      <c r="D234"/>
      <c r="E234" s="69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</row>
    <row r="235" spans="2:27" s="25" customFormat="1" ht="15.75" customHeight="1" x14ac:dyDescent="0.2">
      <c r="B235" s="89"/>
      <c r="C235"/>
      <c r="D235"/>
      <c r="E235" s="69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</row>
    <row r="236" spans="2:27" s="25" customFormat="1" ht="15.75" customHeight="1" x14ac:dyDescent="0.2">
      <c r="B236" s="89"/>
      <c r="C236"/>
      <c r="D236"/>
      <c r="E236" s="69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</row>
    <row r="237" spans="2:27" s="25" customFormat="1" ht="15.75" customHeight="1" x14ac:dyDescent="0.2">
      <c r="B237" s="89"/>
      <c r="C237"/>
      <c r="D237"/>
      <c r="E237" s="69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</row>
    <row r="238" spans="2:27" s="25" customFormat="1" ht="15.75" customHeight="1" x14ac:dyDescent="0.2">
      <c r="B238" s="89"/>
      <c r="C238"/>
      <c r="D238"/>
      <c r="E238" s="69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</row>
    <row r="239" spans="2:27" s="25" customFormat="1" ht="15.75" customHeight="1" x14ac:dyDescent="0.2">
      <c r="B239" s="89"/>
      <c r="C239"/>
      <c r="D239"/>
      <c r="E239" s="6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</row>
    <row r="240" spans="2:27" s="25" customFormat="1" ht="15.75" customHeight="1" x14ac:dyDescent="0.2">
      <c r="B240" s="89"/>
      <c r="C240"/>
      <c r="D240"/>
      <c r="E240" s="69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</row>
    <row r="241" spans="2:27" s="25" customFormat="1" ht="15.75" customHeight="1" x14ac:dyDescent="0.2">
      <c r="B241" s="89"/>
      <c r="C241"/>
      <c r="D241"/>
      <c r="E241" s="69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</row>
    <row r="242" spans="2:27" s="25" customFormat="1" ht="15.75" customHeight="1" x14ac:dyDescent="0.2">
      <c r="B242" s="89"/>
      <c r="C242"/>
      <c r="D242"/>
      <c r="E242" s="69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</row>
    <row r="243" spans="2:27" s="25" customFormat="1" ht="15.75" customHeight="1" x14ac:dyDescent="0.2">
      <c r="B243" s="89"/>
      <c r="C243"/>
      <c r="D243"/>
      <c r="E243" s="69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</row>
    <row r="244" spans="2:27" s="25" customFormat="1" ht="15.75" customHeight="1" x14ac:dyDescent="0.2">
      <c r="B244" s="89"/>
      <c r="C244"/>
      <c r="D244"/>
      <c r="E244" s="69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</row>
    <row r="245" spans="2:27" s="25" customFormat="1" ht="15.75" customHeight="1" x14ac:dyDescent="0.2">
      <c r="B245" s="89"/>
      <c r="C245"/>
      <c r="D245"/>
      <c r="E245" s="69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</row>
    <row r="246" spans="2:27" s="25" customFormat="1" ht="15.75" customHeight="1" x14ac:dyDescent="0.2">
      <c r="B246" s="89"/>
      <c r="C246"/>
      <c r="D246"/>
      <c r="E246" s="69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</row>
    <row r="247" spans="2:27" s="25" customFormat="1" ht="15.75" customHeight="1" x14ac:dyDescent="0.2">
      <c r="B247" s="89"/>
      <c r="C247"/>
      <c r="D247"/>
      <c r="E247" s="69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</row>
    <row r="248" spans="2:27" s="25" customFormat="1" ht="15.75" customHeight="1" x14ac:dyDescent="0.2">
      <c r="B248" s="89"/>
      <c r="C248"/>
      <c r="D248"/>
      <c r="E248" s="69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</row>
    <row r="249" spans="2:27" s="25" customFormat="1" ht="15.75" customHeight="1" x14ac:dyDescent="0.2">
      <c r="B249" s="89"/>
      <c r="C249"/>
      <c r="D249"/>
      <c r="E249" s="6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</row>
    <row r="250" spans="2:27" s="25" customFormat="1" ht="15.75" customHeight="1" x14ac:dyDescent="0.2">
      <c r="B250" s="89"/>
      <c r="C250"/>
      <c r="D250"/>
      <c r="E250" s="69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</row>
    <row r="251" spans="2:27" s="25" customFormat="1" ht="15.75" customHeight="1" x14ac:dyDescent="0.2">
      <c r="B251" s="89"/>
      <c r="C251"/>
      <c r="D251"/>
      <c r="E251" s="69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</row>
    <row r="252" spans="2:27" s="25" customFormat="1" ht="15.75" customHeight="1" x14ac:dyDescent="0.2">
      <c r="B252" s="89"/>
      <c r="C252"/>
      <c r="D252"/>
      <c r="E252" s="69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</row>
    <row r="253" spans="2:27" s="25" customFormat="1" ht="15.75" customHeight="1" x14ac:dyDescent="0.2">
      <c r="B253" s="89"/>
      <c r="C253"/>
      <c r="D253"/>
      <c r="E253" s="69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</row>
    <row r="254" spans="2:27" s="25" customFormat="1" ht="15.75" customHeight="1" x14ac:dyDescent="0.2">
      <c r="B254" s="89"/>
      <c r="C254"/>
      <c r="D254"/>
      <c r="E254" s="69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</row>
    <row r="255" spans="2:27" s="25" customFormat="1" ht="15.75" customHeight="1" x14ac:dyDescent="0.2">
      <c r="B255" s="89"/>
      <c r="C255"/>
      <c r="D255"/>
      <c r="E255" s="69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</row>
    <row r="256" spans="2:27" s="25" customFormat="1" ht="15.75" customHeight="1" x14ac:dyDescent="0.2">
      <c r="B256" s="89"/>
      <c r="C256"/>
      <c r="D256"/>
      <c r="E256" s="69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</row>
    <row r="257" spans="2:27" s="25" customFormat="1" ht="15.75" customHeight="1" x14ac:dyDescent="0.2">
      <c r="B257" s="89"/>
      <c r="C257"/>
      <c r="D257"/>
      <c r="E257" s="69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</row>
    <row r="258" spans="2:27" s="25" customFormat="1" ht="15.75" customHeight="1" x14ac:dyDescent="0.2">
      <c r="B258" s="89"/>
      <c r="C258"/>
      <c r="D258"/>
      <c r="E258" s="69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</row>
    <row r="259" spans="2:27" s="25" customFormat="1" ht="15.75" customHeight="1" x14ac:dyDescent="0.2">
      <c r="B259" s="89"/>
      <c r="C259"/>
      <c r="D259"/>
      <c r="E259" s="6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</row>
    <row r="260" spans="2:27" s="25" customFormat="1" ht="15.75" customHeight="1" x14ac:dyDescent="0.2">
      <c r="B260" s="89"/>
      <c r="C260"/>
      <c r="D260"/>
      <c r="E260" s="69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</row>
    <row r="261" spans="2:27" s="25" customFormat="1" ht="15.75" customHeight="1" x14ac:dyDescent="0.2">
      <c r="B261" s="89"/>
      <c r="C261"/>
      <c r="D261"/>
      <c r="E261" s="69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</row>
    <row r="262" spans="2:27" s="25" customFormat="1" ht="15.75" customHeight="1" x14ac:dyDescent="0.2">
      <c r="B262" s="89"/>
      <c r="C262"/>
      <c r="D262"/>
      <c r="E262" s="69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</row>
    <row r="263" spans="2:27" s="25" customFormat="1" ht="15.75" customHeight="1" x14ac:dyDescent="0.2">
      <c r="B263" s="89"/>
      <c r="C263"/>
      <c r="D263"/>
      <c r="E263" s="69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</row>
    <row r="264" spans="2:27" s="25" customFormat="1" ht="15.75" customHeight="1" x14ac:dyDescent="0.2">
      <c r="B264" s="89"/>
      <c r="C264"/>
      <c r="D264"/>
      <c r="E264" s="69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</row>
    <row r="265" spans="2:27" s="25" customFormat="1" ht="15.75" customHeight="1" x14ac:dyDescent="0.2">
      <c r="B265" s="89"/>
      <c r="C265"/>
      <c r="D265"/>
      <c r="E265" s="69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</row>
    <row r="266" spans="2:27" s="25" customFormat="1" ht="15.75" customHeight="1" x14ac:dyDescent="0.2">
      <c r="B266" s="89"/>
      <c r="C266"/>
      <c r="D266"/>
      <c r="E266" s="69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</row>
    <row r="267" spans="2:27" s="25" customFormat="1" ht="15.75" customHeight="1" x14ac:dyDescent="0.2">
      <c r="B267" s="89"/>
      <c r="C267"/>
      <c r="D267"/>
      <c r="E267" s="69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</row>
    <row r="268" spans="2:27" s="25" customFormat="1" ht="15.75" customHeight="1" x14ac:dyDescent="0.2">
      <c r="B268" s="89"/>
      <c r="C268"/>
      <c r="D268"/>
      <c r="E268" s="69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</row>
    <row r="269" spans="2:27" s="25" customFormat="1" ht="15.75" customHeight="1" x14ac:dyDescent="0.2">
      <c r="B269" s="89"/>
      <c r="C269"/>
      <c r="D269"/>
      <c r="E269" s="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</row>
    <row r="270" spans="2:27" s="25" customFormat="1" ht="15.75" customHeight="1" x14ac:dyDescent="0.2">
      <c r="B270" s="89"/>
      <c r="C270"/>
      <c r="D270"/>
      <c r="E270" s="69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</row>
    <row r="271" spans="2:27" s="25" customFormat="1" ht="15.75" customHeight="1" x14ac:dyDescent="0.2">
      <c r="B271" s="89"/>
      <c r="C271"/>
      <c r="D271"/>
      <c r="E271" s="69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</row>
    <row r="272" spans="2:27" s="25" customFormat="1" ht="15.75" customHeight="1" x14ac:dyDescent="0.2">
      <c r="B272" s="89"/>
      <c r="C272"/>
      <c r="D272"/>
      <c r="E272" s="69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</row>
    <row r="273" spans="2:27" s="25" customFormat="1" ht="15.75" customHeight="1" x14ac:dyDescent="0.2">
      <c r="B273" s="89"/>
      <c r="C273"/>
      <c r="D273"/>
      <c r="E273" s="69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</row>
    <row r="274" spans="2:27" s="25" customFormat="1" ht="15.75" customHeight="1" x14ac:dyDescent="0.2">
      <c r="B274" s="89"/>
      <c r="C274"/>
      <c r="D274"/>
      <c r="E274" s="69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</row>
    <row r="275" spans="2:27" s="25" customFormat="1" ht="15.75" customHeight="1" x14ac:dyDescent="0.2">
      <c r="B275" s="89"/>
      <c r="C275"/>
      <c r="D275"/>
      <c r="E275" s="69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</row>
    <row r="276" spans="2:27" s="25" customFormat="1" ht="15.75" customHeight="1" x14ac:dyDescent="0.2">
      <c r="B276" s="89"/>
      <c r="C276"/>
      <c r="D276"/>
      <c r="E276" s="69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</row>
    <row r="277" spans="2:27" s="25" customFormat="1" ht="15.75" customHeight="1" x14ac:dyDescent="0.2">
      <c r="B277" s="89"/>
      <c r="C277"/>
      <c r="D277"/>
      <c r="E277" s="69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</row>
    <row r="278" spans="2:27" s="25" customFormat="1" ht="15.75" customHeight="1" x14ac:dyDescent="0.2">
      <c r="B278" s="89"/>
      <c r="C278"/>
      <c r="D278"/>
      <c r="E278" s="69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</row>
    <row r="279" spans="2:27" s="25" customFormat="1" ht="15.75" customHeight="1" x14ac:dyDescent="0.2">
      <c r="B279" s="89"/>
      <c r="C279"/>
      <c r="D279"/>
      <c r="E279" s="6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</row>
    <row r="280" spans="2:27" s="25" customFormat="1" ht="15.75" customHeight="1" x14ac:dyDescent="0.2">
      <c r="B280" s="89"/>
      <c r="C280"/>
      <c r="D280"/>
      <c r="E280" s="69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</row>
    <row r="281" spans="2:27" s="25" customFormat="1" ht="15.75" customHeight="1" x14ac:dyDescent="0.2">
      <c r="B281" s="89"/>
      <c r="C281"/>
      <c r="D281"/>
      <c r="E281" s="69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</row>
    <row r="282" spans="2:27" s="25" customFormat="1" ht="15.75" customHeight="1" x14ac:dyDescent="0.2">
      <c r="B282" s="89"/>
      <c r="C282"/>
      <c r="D282"/>
      <c r="E282" s="69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</row>
    <row r="283" spans="2:27" s="25" customFormat="1" ht="15.75" customHeight="1" x14ac:dyDescent="0.2">
      <c r="B283" s="89"/>
      <c r="C283"/>
      <c r="D283"/>
      <c r="E283" s="69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</row>
    <row r="284" spans="2:27" s="25" customFormat="1" ht="15.75" customHeight="1" x14ac:dyDescent="0.2">
      <c r="B284" s="89"/>
      <c r="C284"/>
      <c r="D284"/>
      <c r="E284" s="69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</row>
    <row r="285" spans="2:27" s="25" customFormat="1" ht="15.75" customHeight="1" x14ac:dyDescent="0.2">
      <c r="B285" s="89"/>
      <c r="C285"/>
      <c r="D285"/>
      <c r="E285" s="69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</row>
    <row r="286" spans="2:27" s="25" customFormat="1" ht="15.75" customHeight="1" x14ac:dyDescent="0.2">
      <c r="B286" s="89"/>
      <c r="C286"/>
      <c r="D286"/>
      <c r="E286" s="69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</row>
    <row r="287" spans="2:27" s="25" customFormat="1" ht="15.75" customHeight="1" x14ac:dyDescent="0.2">
      <c r="B287" s="89"/>
      <c r="C287"/>
      <c r="D287"/>
      <c r="E287" s="69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</row>
    <row r="288" spans="2:27" s="25" customFormat="1" ht="15.75" customHeight="1" x14ac:dyDescent="0.2">
      <c r="B288" s="89"/>
      <c r="C288"/>
      <c r="D288"/>
      <c r="E288" s="69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</row>
    <row r="289" spans="2:27" s="25" customFormat="1" ht="15.75" customHeight="1" x14ac:dyDescent="0.2">
      <c r="B289" s="89"/>
      <c r="C289"/>
      <c r="D289"/>
      <c r="E289" s="6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</row>
    <row r="290" spans="2:27" s="25" customFormat="1" ht="15.75" customHeight="1" x14ac:dyDescent="0.2">
      <c r="B290" s="89"/>
      <c r="C290"/>
      <c r="D290"/>
      <c r="E290" s="69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</row>
    <row r="291" spans="2:27" s="25" customFormat="1" ht="15.75" customHeight="1" x14ac:dyDescent="0.2">
      <c r="B291" s="89"/>
      <c r="C291"/>
      <c r="D291"/>
      <c r="E291" s="69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</row>
    <row r="292" spans="2:27" s="25" customFormat="1" ht="15.75" customHeight="1" x14ac:dyDescent="0.2">
      <c r="B292" s="89"/>
      <c r="C292"/>
      <c r="D292"/>
      <c r="E292" s="69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</row>
    <row r="293" spans="2:27" s="25" customFormat="1" ht="15.75" customHeight="1" x14ac:dyDescent="0.2">
      <c r="B293" s="89"/>
      <c r="C293"/>
      <c r="D293"/>
      <c r="E293" s="69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</row>
    <row r="294" spans="2:27" s="25" customFormat="1" ht="15.75" customHeight="1" x14ac:dyDescent="0.2">
      <c r="B294" s="89"/>
      <c r="C294"/>
      <c r="D294"/>
      <c r="E294" s="69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</row>
    <row r="295" spans="2:27" s="25" customFormat="1" ht="15.75" customHeight="1" x14ac:dyDescent="0.2">
      <c r="B295" s="89"/>
      <c r="C295"/>
      <c r="D295"/>
      <c r="E295" s="69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</row>
    <row r="296" spans="2:27" s="25" customFormat="1" ht="15.75" customHeight="1" x14ac:dyDescent="0.2">
      <c r="B296" s="89"/>
      <c r="C296"/>
      <c r="D296"/>
      <c r="E296" s="69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</row>
    <row r="297" spans="2:27" s="25" customFormat="1" ht="15.75" customHeight="1" x14ac:dyDescent="0.2">
      <c r="B297" s="89"/>
      <c r="C297"/>
      <c r="D297"/>
      <c r="E297" s="69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</row>
    <row r="298" spans="2:27" s="25" customFormat="1" ht="15.75" customHeight="1" x14ac:dyDescent="0.2">
      <c r="B298" s="89"/>
      <c r="C298"/>
      <c r="D298"/>
      <c r="E298" s="69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</row>
    <row r="299" spans="2:27" s="25" customFormat="1" ht="15.75" customHeight="1" x14ac:dyDescent="0.2">
      <c r="B299" s="89"/>
      <c r="C299"/>
      <c r="D299"/>
      <c r="E299" s="6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</row>
    <row r="300" spans="2:27" s="25" customFormat="1" ht="15.75" customHeight="1" x14ac:dyDescent="0.2">
      <c r="B300" s="89"/>
      <c r="C300"/>
      <c r="D300"/>
      <c r="E300" s="69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</row>
    <row r="301" spans="2:27" s="25" customFormat="1" ht="15.75" customHeight="1" x14ac:dyDescent="0.2">
      <c r="B301" s="89"/>
      <c r="C301"/>
      <c r="D301"/>
      <c r="E301" s="69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</row>
    <row r="302" spans="2:27" s="25" customFormat="1" ht="15.75" customHeight="1" x14ac:dyDescent="0.2">
      <c r="B302" s="89"/>
      <c r="C302"/>
      <c r="D302"/>
      <c r="E302" s="69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</row>
    <row r="303" spans="2:27" s="25" customFormat="1" ht="15.75" customHeight="1" x14ac:dyDescent="0.2">
      <c r="B303" s="89"/>
      <c r="C303"/>
      <c r="D303"/>
      <c r="E303" s="69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</row>
    <row r="304" spans="2:27" s="25" customFormat="1" ht="15.75" customHeight="1" x14ac:dyDescent="0.2">
      <c r="B304" s="89"/>
      <c r="C304"/>
      <c r="D304"/>
      <c r="E304" s="69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</row>
    <row r="305" spans="2:27" s="25" customFormat="1" ht="15.75" customHeight="1" x14ac:dyDescent="0.2">
      <c r="B305" s="89"/>
      <c r="C305"/>
      <c r="D305"/>
      <c r="E305" s="69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</row>
    <row r="306" spans="2:27" s="25" customFormat="1" ht="15.75" customHeight="1" x14ac:dyDescent="0.2">
      <c r="B306" s="89"/>
      <c r="C306"/>
      <c r="D306"/>
      <c r="E306" s="69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</row>
    <row r="307" spans="2:27" s="25" customFormat="1" ht="15.75" customHeight="1" x14ac:dyDescent="0.2">
      <c r="B307" s="89"/>
      <c r="C307"/>
      <c r="D307"/>
      <c r="E307" s="69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</row>
    <row r="308" spans="2:27" s="25" customFormat="1" ht="15.75" customHeight="1" x14ac:dyDescent="0.2">
      <c r="B308" s="89"/>
      <c r="C308"/>
      <c r="D308"/>
      <c r="E308" s="69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</row>
    <row r="309" spans="2:27" s="25" customFormat="1" ht="15.75" customHeight="1" x14ac:dyDescent="0.2">
      <c r="B309" s="89"/>
      <c r="C309"/>
      <c r="D309"/>
      <c r="E309" s="6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</row>
    <row r="310" spans="2:27" s="25" customFormat="1" ht="15.75" customHeight="1" x14ac:dyDescent="0.2">
      <c r="B310" s="89"/>
      <c r="C310"/>
      <c r="D310"/>
      <c r="E310" s="69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</row>
    <row r="311" spans="2:27" s="25" customFormat="1" ht="15.75" customHeight="1" x14ac:dyDescent="0.2">
      <c r="B311" s="89"/>
      <c r="C311"/>
      <c r="D311"/>
      <c r="E311" s="69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</row>
    <row r="312" spans="2:27" s="25" customFormat="1" ht="15.75" customHeight="1" x14ac:dyDescent="0.2">
      <c r="B312" s="89"/>
      <c r="C312"/>
      <c r="D312"/>
      <c r="E312" s="69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</row>
    <row r="313" spans="2:27" s="25" customFormat="1" ht="15.75" customHeight="1" x14ac:dyDescent="0.2">
      <c r="B313" s="89"/>
      <c r="C313"/>
      <c r="D313"/>
      <c r="E313" s="69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</row>
    <row r="314" spans="2:27" s="25" customFormat="1" ht="15.75" customHeight="1" x14ac:dyDescent="0.2">
      <c r="B314" s="89"/>
      <c r="C314"/>
      <c r="D314"/>
      <c r="E314" s="69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</row>
    <row r="315" spans="2:27" s="25" customFormat="1" ht="15.75" customHeight="1" x14ac:dyDescent="0.2">
      <c r="B315" s="89"/>
      <c r="C315"/>
      <c r="D315"/>
      <c r="E315" s="69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</row>
    <row r="316" spans="2:27" s="25" customFormat="1" ht="15.75" customHeight="1" x14ac:dyDescent="0.2">
      <c r="B316" s="89"/>
      <c r="C316"/>
      <c r="D316"/>
      <c r="E316" s="69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</row>
    <row r="317" spans="2:27" s="25" customFormat="1" ht="15.75" customHeight="1" x14ac:dyDescent="0.2">
      <c r="B317" s="89"/>
      <c r="C317"/>
      <c r="D317"/>
      <c r="E317" s="69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</row>
    <row r="318" spans="2:27" s="25" customFormat="1" ht="15.75" customHeight="1" x14ac:dyDescent="0.2">
      <c r="B318" s="89"/>
      <c r="C318"/>
      <c r="D318"/>
      <c r="E318" s="69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</row>
    <row r="319" spans="2:27" s="25" customFormat="1" ht="15.75" customHeight="1" x14ac:dyDescent="0.2">
      <c r="B319" s="89"/>
      <c r="C319"/>
      <c r="D319"/>
      <c r="E319" s="6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</row>
    <row r="320" spans="2:27" s="25" customFormat="1" ht="15.75" customHeight="1" x14ac:dyDescent="0.2">
      <c r="B320" s="89"/>
      <c r="C320"/>
      <c r="D320"/>
      <c r="E320" s="69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</row>
    <row r="321" spans="2:27" s="25" customFormat="1" ht="15.75" customHeight="1" x14ac:dyDescent="0.2">
      <c r="B321" s="89"/>
      <c r="C321"/>
      <c r="D321"/>
      <c r="E321" s="69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</row>
    <row r="322" spans="2:27" s="25" customFormat="1" ht="15.75" customHeight="1" x14ac:dyDescent="0.2">
      <c r="B322" s="89"/>
      <c r="C322"/>
      <c r="D322"/>
      <c r="E322" s="69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</row>
    <row r="323" spans="2:27" s="25" customFormat="1" ht="15.75" customHeight="1" x14ac:dyDescent="0.2">
      <c r="B323" s="89"/>
      <c r="C323"/>
      <c r="D323"/>
      <c r="E323" s="69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</row>
    <row r="324" spans="2:27" s="25" customFormat="1" ht="15.75" customHeight="1" x14ac:dyDescent="0.2">
      <c r="B324" s="89"/>
      <c r="C324"/>
      <c r="D324"/>
      <c r="E324" s="69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</row>
    <row r="325" spans="2:27" s="25" customFormat="1" ht="15.75" customHeight="1" x14ac:dyDescent="0.2">
      <c r="B325" s="89"/>
      <c r="C325"/>
      <c r="D325"/>
      <c r="E325" s="69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</row>
    <row r="326" spans="2:27" s="25" customFormat="1" ht="15.75" customHeight="1" x14ac:dyDescent="0.2">
      <c r="B326" s="89"/>
      <c r="C326"/>
      <c r="D326"/>
      <c r="E326" s="69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</row>
    <row r="327" spans="2:27" s="25" customFormat="1" ht="15.75" customHeight="1" x14ac:dyDescent="0.2">
      <c r="B327" s="89"/>
      <c r="C327"/>
      <c r="D327"/>
      <c r="E327" s="69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</row>
    <row r="328" spans="2:27" s="25" customFormat="1" ht="15.75" customHeight="1" x14ac:dyDescent="0.2">
      <c r="B328" s="89"/>
      <c r="C328"/>
      <c r="D328"/>
      <c r="E328" s="69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</row>
    <row r="329" spans="2:27" s="25" customFormat="1" ht="15.75" customHeight="1" x14ac:dyDescent="0.2">
      <c r="B329" s="89"/>
      <c r="C329"/>
      <c r="D329"/>
      <c r="E329" s="6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</row>
    <row r="330" spans="2:27" s="25" customFormat="1" ht="15.75" customHeight="1" x14ac:dyDescent="0.2">
      <c r="B330" s="89"/>
      <c r="C330"/>
      <c r="D330"/>
      <c r="E330" s="69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</row>
    <row r="331" spans="2:27" s="25" customFormat="1" ht="15.75" customHeight="1" x14ac:dyDescent="0.2">
      <c r="B331" s="89"/>
      <c r="C331"/>
      <c r="D331"/>
      <c r="E331" s="69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</row>
    <row r="332" spans="2:27" s="25" customFormat="1" ht="15.75" customHeight="1" x14ac:dyDescent="0.2">
      <c r="B332" s="89"/>
      <c r="C332"/>
      <c r="D332"/>
      <c r="E332" s="69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</row>
    <row r="333" spans="2:27" s="25" customFormat="1" ht="15.75" customHeight="1" x14ac:dyDescent="0.2">
      <c r="B333" s="89"/>
      <c r="C333"/>
      <c r="D333"/>
      <c r="E333" s="69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</row>
    <row r="334" spans="2:27" s="25" customFormat="1" ht="15.75" customHeight="1" x14ac:dyDescent="0.2">
      <c r="B334" s="89"/>
      <c r="C334"/>
      <c r="D334"/>
      <c r="E334" s="69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</row>
    <row r="335" spans="2:27" s="25" customFormat="1" ht="15.75" customHeight="1" x14ac:dyDescent="0.2">
      <c r="B335" s="89"/>
      <c r="C335"/>
      <c r="D335"/>
      <c r="E335" s="69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</row>
    <row r="336" spans="2:27" s="25" customFormat="1" ht="15.75" customHeight="1" x14ac:dyDescent="0.2">
      <c r="B336" s="89"/>
      <c r="C336"/>
      <c r="D336"/>
      <c r="E336" s="69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</row>
    <row r="337" spans="2:27" s="25" customFormat="1" ht="15.75" customHeight="1" x14ac:dyDescent="0.2">
      <c r="B337" s="89"/>
      <c r="C337"/>
      <c r="D337"/>
      <c r="E337" s="69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</row>
    <row r="338" spans="2:27" s="25" customFormat="1" ht="15.75" customHeight="1" x14ac:dyDescent="0.2">
      <c r="B338" s="89"/>
      <c r="C338"/>
      <c r="D338"/>
      <c r="E338" s="69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</row>
    <row r="339" spans="2:27" s="25" customFormat="1" ht="15.75" customHeight="1" x14ac:dyDescent="0.2">
      <c r="B339" s="89"/>
      <c r="C339"/>
      <c r="D339"/>
      <c r="E339" s="6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</row>
    <row r="340" spans="2:27" s="25" customFormat="1" ht="15.75" customHeight="1" x14ac:dyDescent="0.2">
      <c r="B340" s="89"/>
      <c r="C340"/>
      <c r="D340"/>
      <c r="E340" s="69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</row>
    <row r="341" spans="2:27" s="25" customFormat="1" ht="15.75" customHeight="1" x14ac:dyDescent="0.2">
      <c r="B341" s="89"/>
      <c r="C341"/>
      <c r="D341"/>
      <c r="E341" s="69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</row>
    <row r="342" spans="2:27" s="25" customFormat="1" ht="15.75" customHeight="1" x14ac:dyDescent="0.2">
      <c r="B342" s="89"/>
      <c r="C342"/>
      <c r="D342"/>
      <c r="E342" s="69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</row>
    <row r="343" spans="2:27" s="25" customFormat="1" ht="15.75" customHeight="1" x14ac:dyDescent="0.2">
      <c r="B343" s="89"/>
      <c r="C343"/>
      <c r="D343"/>
      <c r="E343" s="69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</row>
    <row r="344" spans="2:27" s="25" customFormat="1" ht="15.75" customHeight="1" x14ac:dyDescent="0.2">
      <c r="B344" s="89"/>
      <c r="C344"/>
      <c r="D344"/>
      <c r="E344" s="69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</row>
    <row r="345" spans="2:27" s="25" customFormat="1" ht="15.75" customHeight="1" x14ac:dyDescent="0.2">
      <c r="B345" s="89"/>
      <c r="C345"/>
      <c r="D345"/>
      <c r="E345" s="69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</row>
    <row r="346" spans="2:27" s="25" customFormat="1" ht="15.75" customHeight="1" x14ac:dyDescent="0.2">
      <c r="B346" s="89"/>
      <c r="C346"/>
      <c r="D346"/>
      <c r="E346" s="69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</row>
    <row r="347" spans="2:27" s="25" customFormat="1" ht="15.75" customHeight="1" x14ac:dyDescent="0.2">
      <c r="B347" s="89"/>
      <c r="C347"/>
      <c r="D347"/>
      <c r="E347" s="69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</row>
    <row r="348" spans="2:27" s="25" customFormat="1" ht="15.75" customHeight="1" x14ac:dyDescent="0.2">
      <c r="B348" s="89"/>
      <c r="C348"/>
      <c r="D348"/>
      <c r="E348" s="69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</row>
    <row r="349" spans="2:27" s="25" customFormat="1" ht="15.75" customHeight="1" x14ac:dyDescent="0.2">
      <c r="B349" s="89"/>
      <c r="C349"/>
      <c r="D349"/>
      <c r="E349" s="6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</row>
    <row r="350" spans="2:27" s="25" customFormat="1" ht="15.75" customHeight="1" x14ac:dyDescent="0.2">
      <c r="B350" s="89"/>
      <c r="C350"/>
      <c r="D350"/>
      <c r="E350" s="69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</row>
    <row r="351" spans="2:27" s="25" customFormat="1" ht="15.75" customHeight="1" x14ac:dyDescent="0.2">
      <c r="B351" s="89"/>
      <c r="C351"/>
      <c r="D351"/>
      <c r="E351" s="69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</row>
    <row r="352" spans="2:27" s="25" customFormat="1" ht="15.75" customHeight="1" x14ac:dyDescent="0.2">
      <c r="B352" s="89"/>
      <c r="C352"/>
      <c r="D352"/>
      <c r="E352" s="69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</row>
    <row r="353" spans="2:27" s="25" customFormat="1" ht="15.75" customHeight="1" x14ac:dyDescent="0.2">
      <c r="B353" s="89"/>
      <c r="C353"/>
      <c r="D353"/>
      <c r="E353" s="69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</row>
    <row r="354" spans="2:27" s="25" customFormat="1" ht="15.75" customHeight="1" x14ac:dyDescent="0.2">
      <c r="B354" s="89"/>
      <c r="C354"/>
      <c r="D354"/>
      <c r="E354" s="69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  <c r="AA354"/>
    </row>
    <row r="355" spans="2:27" s="25" customFormat="1" ht="15.75" customHeight="1" x14ac:dyDescent="0.2">
      <c r="B355" s="89"/>
      <c r="C355"/>
      <c r="D355"/>
      <c r="E355" s="69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</row>
    <row r="356" spans="2:27" s="25" customFormat="1" ht="15.75" customHeight="1" x14ac:dyDescent="0.2">
      <c r="B356" s="89"/>
      <c r="C356"/>
      <c r="D356"/>
      <c r="E356" s="69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</row>
    <row r="357" spans="2:27" s="25" customFormat="1" ht="15.75" customHeight="1" x14ac:dyDescent="0.2">
      <c r="B357" s="89"/>
      <c r="C357"/>
      <c r="D357"/>
      <c r="E357" s="69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</row>
    <row r="358" spans="2:27" s="25" customFormat="1" ht="15.75" customHeight="1" x14ac:dyDescent="0.2">
      <c r="B358" s="89"/>
      <c r="C358"/>
      <c r="D358"/>
      <c r="E358" s="69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</row>
    <row r="359" spans="2:27" s="25" customFormat="1" ht="15.75" customHeight="1" x14ac:dyDescent="0.2">
      <c r="B359" s="89"/>
      <c r="C359"/>
      <c r="D359"/>
      <c r="E359" s="6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</row>
    <row r="360" spans="2:27" s="25" customFormat="1" ht="15.75" customHeight="1" x14ac:dyDescent="0.2">
      <c r="B360" s="89"/>
      <c r="C360"/>
      <c r="D360"/>
      <c r="E360" s="69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</row>
    <row r="361" spans="2:27" s="25" customFormat="1" ht="15.75" customHeight="1" x14ac:dyDescent="0.2">
      <c r="B361" s="89"/>
      <c r="C361"/>
      <c r="D361"/>
      <c r="E361" s="69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</row>
    <row r="362" spans="2:27" s="25" customFormat="1" ht="15.75" customHeight="1" x14ac:dyDescent="0.2">
      <c r="B362" s="89"/>
      <c r="C362"/>
      <c r="D362"/>
      <c r="E362" s="69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</row>
    <row r="363" spans="2:27" s="25" customFormat="1" ht="15.75" customHeight="1" x14ac:dyDescent="0.2">
      <c r="B363" s="89"/>
      <c r="C363"/>
      <c r="D363"/>
      <c r="E363" s="69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</row>
    <row r="364" spans="2:27" s="25" customFormat="1" ht="15.75" customHeight="1" x14ac:dyDescent="0.2">
      <c r="B364" s="89"/>
      <c r="C364"/>
      <c r="D364"/>
      <c r="E364" s="69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</row>
    <row r="365" spans="2:27" s="25" customFormat="1" ht="15.75" customHeight="1" x14ac:dyDescent="0.2">
      <c r="B365" s="89"/>
      <c r="C365"/>
      <c r="D365"/>
      <c r="E365" s="69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</row>
    <row r="366" spans="2:27" s="25" customFormat="1" ht="15.75" customHeight="1" x14ac:dyDescent="0.2">
      <c r="B366" s="89"/>
      <c r="C366"/>
      <c r="D366"/>
      <c r="E366" s="69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</row>
    <row r="367" spans="2:27" s="25" customFormat="1" ht="15.75" customHeight="1" x14ac:dyDescent="0.2">
      <c r="B367" s="89"/>
      <c r="C367"/>
      <c r="D367"/>
      <c r="E367" s="69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</row>
    <row r="368" spans="2:27" s="25" customFormat="1" ht="15.75" customHeight="1" x14ac:dyDescent="0.2">
      <c r="B368" s="89"/>
      <c r="C368"/>
      <c r="D368"/>
      <c r="E368" s="69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</row>
    <row r="369" spans="2:27" s="25" customFormat="1" ht="15.75" customHeight="1" x14ac:dyDescent="0.2">
      <c r="B369" s="89"/>
      <c r="C369"/>
      <c r="D369"/>
      <c r="E369" s="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</row>
    <row r="370" spans="2:27" s="25" customFormat="1" ht="15.75" customHeight="1" x14ac:dyDescent="0.2">
      <c r="B370" s="89"/>
      <c r="C370"/>
      <c r="D370"/>
      <c r="E370" s="69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</row>
    <row r="371" spans="2:27" s="25" customFormat="1" ht="15.75" customHeight="1" x14ac:dyDescent="0.2">
      <c r="B371" s="89"/>
      <c r="C371"/>
      <c r="D371"/>
      <c r="E371" s="69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</row>
    <row r="372" spans="2:27" s="25" customFormat="1" ht="15.75" customHeight="1" x14ac:dyDescent="0.2">
      <c r="B372" s="89"/>
      <c r="C372"/>
      <c r="D372"/>
      <c r="E372" s="69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</row>
    <row r="373" spans="2:27" s="25" customFormat="1" ht="15.75" customHeight="1" x14ac:dyDescent="0.2">
      <c r="B373" s="89"/>
      <c r="C373"/>
      <c r="D373"/>
      <c r="E373" s="69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</row>
    <row r="374" spans="2:27" s="25" customFormat="1" ht="15.75" customHeight="1" x14ac:dyDescent="0.2">
      <c r="B374" s="89"/>
      <c r="C374"/>
      <c r="D374"/>
      <c r="E374" s="69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</row>
    <row r="375" spans="2:27" s="25" customFormat="1" ht="15.75" customHeight="1" x14ac:dyDescent="0.2">
      <c r="B375" s="89"/>
      <c r="C375"/>
      <c r="D375"/>
      <c r="E375" s="69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</row>
    <row r="376" spans="2:27" s="25" customFormat="1" ht="15.75" customHeight="1" x14ac:dyDescent="0.2">
      <c r="B376" s="89"/>
      <c r="C376"/>
      <c r="D376"/>
      <c r="E376" s="69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</row>
    <row r="377" spans="2:27" s="25" customFormat="1" ht="15.75" customHeight="1" x14ac:dyDescent="0.2">
      <c r="B377" s="89"/>
      <c r="C377"/>
      <c r="D377"/>
      <c r="E377" s="69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</row>
    <row r="378" spans="2:27" s="25" customFormat="1" ht="15.75" customHeight="1" x14ac:dyDescent="0.2">
      <c r="B378" s="89"/>
      <c r="C378"/>
      <c r="D378"/>
      <c r="E378" s="69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</row>
    <row r="379" spans="2:27" s="25" customFormat="1" ht="15.75" customHeight="1" x14ac:dyDescent="0.2">
      <c r="B379" s="89"/>
      <c r="C379"/>
      <c r="D379"/>
      <c r="E379" s="6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</row>
    <row r="380" spans="2:27" s="25" customFormat="1" ht="15.75" customHeight="1" x14ac:dyDescent="0.2">
      <c r="B380" s="89"/>
      <c r="C380"/>
      <c r="D380"/>
      <c r="E380" s="69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</row>
    <row r="381" spans="2:27" s="25" customFormat="1" ht="15.75" customHeight="1" x14ac:dyDescent="0.2">
      <c r="B381" s="89"/>
      <c r="C381"/>
      <c r="D381"/>
      <c r="E381" s="69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  <c r="AA381"/>
    </row>
    <row r="382" spans="2:27" s="25" customFormat="1" ht="15.75" customHeight="1" x14ac:dyDescent="0.2">
      <c r="B382" s="89"/>
      <c r="C382"/>
      <c r="D382"/>
      <c r="E382" s="69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  <c r="AA382"/>
    </row>
    <row r="383" spans="2:27" s="25" customFormat="1" ht="15.75" customHeight="1" x14ac:dyDescent="0.2">
      <c r="B383" s="89"/>
      <c r="C383"/>
      <c r="D383"/>
      <c r="E383" s="69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  <c r="AA383"/>
    </row>
    <row r="384" spans="2:27" s="25" customFormat="1" ht="15.75" customHeight="1" x14ac:dyDescent="0.2">
      <c r="B384" s="89"/>
      <c r="C384"/>
      <c r="D384"/>
      <c r="E384" s="69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</row>
    <row r="385" spans="2:27" s="25" customFormat="1" ht="15.75" customHeight="1" x14ac:dyDescent="0.2">
      <c r="B385" s="89"/>
      <c r="C385"/>
      <c r="D385"/>
      <c r="E385" s="69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  <c r="AA385"/>
    </row>
    <row r="386" spans="2:27" s="25" customFormat="1" ht="15.75" customHeight="1" x14ac:dyDescent="0.2">
      <c r="B386" s="89"/>
      <c r="C386"/>
      <c r="D386"/>
      <c r="E386" s="69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</row>
    <row r="387" spans="2:27" s="25" customFormat="1" ht="15.75" customHeight="1" x14ac:dyDescent="0.2">
      <c r="B387" s="89"/>
      <c r="C387"/>
      <c r="D387"/>
      <c r="E387" s="69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/>
    </row>
    <row r="388" spans="2:27" s="25" customFormat="1" ht="15.75" customHeight="1" x14ac:dyDescent="0.2">
      <c r="B388" s="89"/>
      <c r="C388"/>
      <c r="D388"/>
      <c r="E388" s="69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</row>
    <row r="389" spans="2:27" s="25" customFormat="1" ht="15.75" customHeight="1" x14ac:dyDescent="0.2">
      <c r="B389" s="89"/>
      <c r="C389"/>
      <c r="D389"/>
      <c r="E389" s="6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</row>
    <row r="390" spans="2:27" s="25" customFormat="1" ht="15.75" customHeight="1" x14ac:dyDescent="0.2">
      <c r="B390" s="89"/>
      <c r="C390"/>
      <c r="D390"/>
      <c r="E390" s="69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</row>
    <row r="391" spans="2:27" s="25" customFormat="1" ht="15.75" customHeight="1" x14ac:dyDescent="0.2">
      <c r="B391" s="89"/>
      <c r="C391"/>
      <c r="D391"/>
      <c r="E391" s="69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  <c r="AA391"/>
    </row>
    <row r="392" spans="2:27" s="25" customFormat="1" ht="15.75" customHeight="1" x14ac:dyDescent="0.2">
      <c r="B392" s="89"/>
      <c r="C392"/>
      <c r="D392"/>
      <c r="E392" s="69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</row>
    <row r="393" spans="2:27" s="25" customFormat="1" ht="15.75" customHeight="1" x14ac:dyDescent="0.2">
      <c r="B393" s="89"/>
      <c r="C393"/>
      <c r="D393"/>
      <c r="E393" s="69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  <c r="AA393"/>
    </row>
    <row r="394" spans="2:27" s="25" customFormat="1" ht="15.75" customHeight="1" x14ac:dyDescent="0.2">
      <c r="B394" s="89"/>
      <c r="C394"/>
      <c r="D394"/>
      <c r="E394" s="69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  <c r="AA394"/>
    </row>
    <row r="395" spans="2:27" s="25" customFormat="1" ht="15.75" customHeight="1" x14ac:dyDescent="0.2">
      <c r="B395" s="89"/>
      <c r="C395"/>
      <c r="D395"/>
      <c r="E395" s="69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  <c r="AA395"/>
    </row>
    <row r="396" spans="2:27" s="25" customFormat="1" ht="15.75" customHeight="1" x14ac:dyDescent="0.2">
      <c r="B396" s="89"/>
      <c r="C396"/>
      <c r="D396"/>
      <c r="E396" s="69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</row>
    <row r="397" spans="2:27" s="25" customFormat="1" ht="15.75" customHeight="1" x14ac:dyDescent="0.2">
      <c r="B397" s="89"/>
      <c r="C397"/>
      <c r="D397"/>
      <c r="E397" s="69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</row>
    <row r="398" spans="2:27" s="25" customFormat="1" ht="15.75" customHeight="1" x14ac:dyDescent="0.2">
      <c r="B398" s="89"/>
      <c r="C398"/>
      <c r="D398"/>
      <c r="E398" s="69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</row>
    <row r="399" spans="2:27" s="25" customFormat="1" ht="15.75" customHeight="1" x14ac:dyDescent="0.2">
      <c r="B399" s="89"/>
      <c r="C399"/>
      <c r="D399"/>
      <c r="E399" s="6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</row>
    <row r="400" spans="2:27" s="25" customFormat="1" ht="15.75" customHeight="1" x14ac:dyDescent="0.2">
      <c r="B400" s="89"/>
      <c r="C400"/>
      <c r="D400"/>
      <c r="E400" s="69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</row>
    <row r="401" spans="2:27" s="25" customFormat="1" ht="15.75" customHeight="1" x14ac:dyDescent="0.2">
      <c r="B401" s="89"/>
      <c r="C401"/>
      <c r="D401"/>
      <c r="E401" s="69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</row>
    <row r="402" spans="2:27" s="25" customFormat="1" ht="15.75" customHeight="1" x14ac:dyDescent="0.2">
      <c r="B402" s="89"/>
      <c r="C402"/>
      <c r="D402"/>
      <c r="E402" s="69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</row>
    <row r="403" spans="2:27" s="25" customFormat="1" ht="15.75" customHeight="1" x14ac:dyDescent="0.2">
      <c r="B403" s="89"/>
      <c r="C403"/>
      <c r="D403"/>
      <c r="E403" s="69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</row>
    <row r="404" spans="2:27" s="25" customFormat="1" ht="15.75" customHeight="1" x14ac:dyDescent="0.2">
      <c r="B404" s="89"/>
      <c r="C404"/>
      <c r="D404"/>
      <c r="E404" s="69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</row>
    <row r="405" spans="2:27" s="25" customFormat="1" ht="15.75" customHeight="1" x14ac:dyDescent="0.2">
      <c r="B405" s="89"/>
      <c r="C405"/>
      <c r="D405"/>
      <c r="E405" s="69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</row>
    <row r="406" spans="2:27" s="25" customFormat="1" ht="15.75" customHeight="1" x14ac:dyDescent="0.2">
      <c r="B406" s="89"/>
      <c r="C406"/>
      <c r="D406"/>
      <c r="E406" s="69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  <c r="AA406"/>
    </row>
    <row r="407" spans="2:27" s="25" customFormat="1" ht="15.75" customHeight="1" x14ac:dyDescent="0.2">
      <c r="B407" s="89"/>
      <c r="C407"/>
      <c r="D407"/>
      <c r="E407" s="69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  <c r="AA407"/>
    </row>
    <row r="408" spans="2:27" s="25" customFormat="1" ht="15.75" customHeight="1" x14ac:dyDescent="0.2">
      <c r="B408" s="89"/>
      <c r="C408"/>
      <c r="D408"/>
      <c r="E408" s="69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</row>
    <row r="409" spans="2:27" s="25" customFormat="1" ht="15.75" customHeight="1" x14ac:dyDescent="0.2">
      <c r="B409" s="89"/>
      <c r="C409"/>
      <c r="D409"/>
      <c r="E409" s="6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</row>
    <row r="410" spans="2:27" s="25" customFormat="1" ht="15.75" customHeight="1" x14ac:dyDescent="0.2">
      <c r="B410" s="89"/>
      <c r="C410"/>
      <c r="D410"/>
      <c r="E410" s="69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</row>
    <row r="411" spans="2:27" s="25" customFormat="1" ht="15.75" customHeight="1" x14ac:dyDescent="0.2">
      <c r="B411" s="89"/>
      <c r="C411"/>
      <c r="D411"/>
      <c r="E411" s="69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  <c r="AA411"/>
    </row>
    <row r="412" spans="2:27" s="25" customFormat="1" ht="15.75" customHeight="1" x14ac:dyDescent="0.2">
      <c r="B412" s="89"/>
      <c r="C412"/>
      <c r="D412"/>
      <c r="E412" s="69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</row>
    <row r="413" spans="2:27" s="25" customFormat="1" ht="15.75" customHeight="1" x14ac:dyDescent="0.2">
      <c r="B413" s="89"/>
      <c r="C413"/>
      <c r="D413"/>
      <c r="E413" s="69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/>
    </row>
    <row r="414" spans="2:27" s="25" customFormat="1" ht="15.75" customHeight="1" x14ac:dyDescent="0.2">
      <c r="B414" s="89"/>
      <c r="C414"/>
      <c r="D414"/>
      <c r="E414" s="69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  <c r="AA414"/>
    </row>
    <row r="415" spans="2:27" s="25" customFormat="1" ht="15.75" customHeight="1" x14ac:dyDescent="0.2">
      <c r="B415" s="89"/>
      <c r="C415"/>
      <c r="D415"/>
      <c r="E415" s="69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  <c r="Z415"/>
      <c r="AA415"/>
    </row>
    <row r="416" spans="2:27" s="25" customFormat="1" ht="15.75" customHeight="1" x14ac:dyDescent="0.2">
      <c r="B416" s="89"/>
      <c r="C416"/>
      <c r="D416"/>
      <c r="E416" s="69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  <c r="AA416"/>
    </row>
    <row r="417" spans="2:27" s="25" customFormat="1" ht="15.75" customHeight="1" x14ac:dyDescent="0.2">
      <c r="B417" s="89"/>
      <c r="C417"/>
      <c r="D417"/>
      <c r="E417" s="69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  <c r="AA417"/>
    </row>
    <row r="418" spans="2:27" s="25" customFormat="1" ht="15.75" customHeight="1" x14ac:dyDescent="0.2">
      <c r="B418" s="89"/>
      <c r="C418"/>
      <c r="D418"/>
      <c r="E418" s="69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  <c r="AA418"/>
    </row>
    <row r="419" spans="2:27" s="25" customFormat="1" ht="15.75" customHeight="1" x14ac:dyDescent="0.2">
      <c r="B419" s="89"/>
      <c r="C419"/>
      <c r="D419"/>
      <c r="E419" s="6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  <c r="AA419"/>
    </row>
    <row r="420" spans="2:27" s="25" customFormat="1" ht="15.75" customHeight="1" x14ac:dyDescent="0.2">
      <c r="B420" s="89"/>
      <c r="C420"/>
      <c r="D420"/>
      <c r="E420" s="69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</row>
    <row r="421" spans="2:27" s="25" customFormat="1" ht="15.75" customHeight="1" x14ac:dyDescent="0.2">
      <c r="B421" s="89"/>
      <c r="C421"/>
      <c r="D421"/>
      <c r="E421" s="69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/>
      <c r="W421"/>
      <c r="X421"/>
      <c r="Y421"/>
      <c r="Z421"/>
      <c r="AA421"/>
    </row>
    <row r="422" spans="2:27" s="25" customFormat="1" ht="15.75" customHeight="1" x14ac:dyDescent="0.2">
      <c r="B422" s="89"/>
      <c r="C422"/>
      <c r="D422"/>
      <c r="E422" s="69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  <c r="AA422"/>
    </row>
    <row r="423" spans="2:27" s="25" customFormat="1" ht="15.75" customHeight="1" x14ac:dyDescent="0.2">
      <c r="B423" s="89"/>
      <c r="C423"/>
      <c r="D423"/>
      <c r="E423" s="69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  <c r="AA423"/>
    </row>
    <row r="424" spans="2:27" s="25" customFormat="1" ht="15.75" customHeight="1" x14ac:dyDescent="0.2">
      <c r="B424" s="89"/>
      <c r="C424"/>
      <c r="D424"/>
      <c r="E424" s="69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  <c r="AA424"/>
    </row>
    <row r="425" spans="2:27" s="25" customFormat="1" ht="15.75" customHeight="1" x14ac:dyDescent="0.2">
      <c r="B425" s="89"/>
      <c r="C425"/>
      <c r="D425"/>
      <c r="E425" s="69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  <c r="AA425"/>
    </row>
    <row r="426" spans="2:27" s="25" customFormat="1" ht="15.75" customHeight="1" x14ac:dyDescent="0.2">
      <c r="B426" s="89"/>
      <c r="C426"/>
      <c r="D426"/>
      <c r="E426" s="69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  <c r="AA426"/>
    </row>
    <row r="427" spans="2:27" s="25" customFormat="1" ht="15.75" customHeight="1" x14ac:dyDescent="0.2">
      <c r="B427" s="89"/>
      <c r="C427"/>
      <c r="D427"/>
      <c r="E427" s="69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  <c r="AA427"/>
    </row>
    <row r="428" spans="2:27" s="25" customFormat="1" ht="15.75" customHeight="1" x14ac:dyDescent="0.2">
      <c r="B428" s="89"/>
      <c r="C428"/>
      <c r="D428"/>
      <c r="E428" s="69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</row>
    <row r="429" spans="2:27" s="25" customFormat="1" ht="15.75" customHeight="1" x14ac:dyDescent="0.2">
      <c r="B429" s="89"/>
      <c r="C429"/>
      <c r="D429"/>
      <c r="E429" s="6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  <c r="AA429"/>
    </row>
    <row r="430" spans="2:27" s="25" customFormat="1" ht="15.75" customHeight="1" x14ac:dyDescent="0.2">
      <c r="B430" s="89"/>
      <c r="C430"/>
      <c r="D430"/>
      <c r="E430" s="69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  <c r="W430"/>
      <c r="X430"/>
      <c r="Y430"/>
      <c r="Z430"/>
      <c r="AA430"/>
    </row>
    <row r="431" spans="2:27" s="25" customFormat="1" ht="15.75" customHeight="1" x14ac:dyDescent="0.2">
      <c r="B431" s="89"/>
      <c r="C431"/>
      <c r="D431"/>
      <c r="E431" s="69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  <c r="Y431"/>
      <c r="Z431"/>
      <c r="AA431"/>
    </row>
    <row r="432" spans="2:27" s="25" customFormat="1" ht="15.75" customHeight="1" x14ac:dyDescent="0.2">
      <c r="B432" s="89"/>
      <c r="C432"/>
      <c r="D432"/>
      <c r="E432" s="69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  <c r="AA432"/>
    </row>
    <row r="433" spans="2:27" s="25" customFormat="1" ht="15.75" customHeight="1" x14ac:dyDescent="0.2">
      <c r="B433" s="89"/>
      <c r="C433"/>
      <c r="D433"/>
      <c r="E433" s="69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  <c r="AA433"/>
    </row>
    <row r="434" spans="2:27" s="25" customFormat="1" ht="15.75" customHeight="1" x14ac:dyDescent="0.2">
      <c r="B434" s="89"/>
      <c r="C434"/>
      <c r="D434"/>
      <c r="E434" s="69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  <c r="AA434"/>
    </row>
    <row r="435" spans="2:27" s="25" customFormat="1" ht="15.75" customHeight="1" x14ac:dyDescent="0.2">
      <c r="B435" s="89"/>
      <c r="C435"/>
      <c r="D435"/>
      <c r="E435" s="69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  <c r="V435"/>
      <c r="W435"/>
      <c r="X435"/>
      <c r="Y435"/>
      <c r="Z435"/>
      <c r="AA435"/>
    </row>
    <row r="436" spans="2:27" s="25" customFormat="1" ht="15.75" customHeight="1" x14ac:dyDescent="0.2">
      <c r="B436" s="89"/>
      <c r="C436"/>
      <c r="D436"/>
      <c r="E436" s="69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</row>
    <row r="437" spans="2:27" s="25" customFormat="1" ht="15.75" customHeight="1" x14ac:dyDescent="0.2">
      <c r="B437" s="89"/>
      <c r="C437"/>
      <c r="D437"/>
      <c r="E437" s="69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  <c r="Y437"/>
      <c r="Z437"/>
      <c r="AA437"/>
    </row>
    <row r="438" spans="2:27" s="25" customFormat="1" ht="15.75" customHeight="1" x14ac:dyDescent="0.2">
      <c r="B438" s="89"/>
      <c r="C438"/>
      <c r="D438"/>
      <c r="E438" s="69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  <c r="W438"/>
      <c r="X438"/>
      <c r="Y438"/>
      <c r="Z438"/>
      <c r="AA438"/>
    </row>
    <row r="439" spans="2:27" s="25" customFormat="1" ht="15.75" customHeight="1" x14ac:dyDescent="0.2">
      <c r="B439" s="89"/>
      <c r="C439"/>
      <c r="D439"/>
      <c r="E439" s="6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  <c r="AA439"/>
    </row>
    <row r="440" spans="2:27" s="25" customFormat="1" ht="15.75" customHeight="1" x14ac:dyDescent="0.2">
      <c r="B440" s="89"/>
      <c r="C440"/>
      <c r="D440"/>
      <c r="E440" s="69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</row>
    <row r="441" spans="2:27" s="25" customFormat="1" ht="15.75" customHeight="1" x14ac:dyDescent="0.2">
      <c r="B441" s="89"/>
      <c r="C441"/>
      <c r="D441"/>
      <c r="E441" s="69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/>
      <c r="W441"/>
      <c r="X441"/>
      <c r="Y441"/>
      <c r="Z441"/>
      <c r="AA441"/>
    </row>
    <row r="442" spans="2:27" s="25" customFormat="1" ht="15.75" customHeight="1" x14ac:dyDescent="0.2">
      <c r="B442" s="89"/>
      <c r="C442"/>
      <c r="D442"/>
      <c r="E442" s="69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  <c r="AA442"/>
    </row>
    <row r="443" spans="2:27" s="25" customFormat="1" ht="15.75" customHeight="1" x14ac:dyDescent="0.2">
      <c r="B443" s="89"/>
      <c r="C443"/>
      <c r="D443"/>
      <c r="E443" s="69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  <c r="AA443"/>
    </row>
    <row r="444" spans="2:27" s="25" customFormat="1" ht="15.75" customHeight="1" x14ac:dyDescent="0.2">
      <c r="B444" s="89"/>
      <c r="C444"/>
      <c r="D444"/>
      <c r="E444" s="69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  <c r="AA444"/>
    </row>
    <row r="445" spans="2:27" s="25" customFormat="1" ht="15.75" customHeight="1" x14ac:dyDescent="0.2">
      <c r="B445" s="89"/>
      <c r="C445"/>
      <c r="D445"/>
      <c r="E445" s="69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  <c r="V445"/>
      <c r="W445"/>
      <c r="X445"/>
      <c r="Y445"/>
      <c r="Z445"/>
      <c r="AA445"/>
    </row>
    <row r="446" spans="2:27" s="25" customFormat="1" ht="15.75" customHeight="1" x14ac:dyDescent="0.2">
      <c r="B446" s="89"/>
      <c r="C446"/>
      <c r="D446"/>
      <c r="E446" s="69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  <c r="Y446"/>
      <c r="Z446"/>
      <c r="AA446"/>
    </row>
    <row r="447" spans="2:27" s="25" customFormat="1" ht="15.75" customHeight="1" x14ac:dyDescent="0.2">
      <c r="B447" s="89"/>
      <c r="C447"/>
      <c r="D447"/>
      <c r="E447" s="69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  <c r="W447"/>
      <c r="X447"/>
      <c r="Y447"/>
      <c r="Z447"/>
      <c r="AA447"/>
    </row>
    <row r="448" spans="2:27" s="25" customFormat="1" ht="15.75" customHeight="1" x14ac:dyDescent="0.2">
      <c r="B448" s="89"/>
      <c r="C448"/>
      <c r="D448"/>
      <c r="E448" s="69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</row>
    <row r="449" spans="2:27" s="25" customFormat="1" ht="15.75" customHeight="1" x14ac:dyDescent="0.2">
      <c r="B449" s="89"/>
      <c r="C449"/>
      <c r="D449"/>
      <c r="E449" s="6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  <c r="W449"/>
      <c r="X449"/>
      <c r="Y449"/>
      <c r="Z449"/>
      <c r="AA449"/>
    </row>
    <row r="450" spans="2:27" s="25" customFormat="1" ht="15.75" customHeight="1" x14ac:dyDescent="0.2">
      <c r="B450" s="89"/>
      <c r="C450"/>
      <c r="D450"/>
      <c r="E450" s="69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  <c r="AA450"/>
    </row>
    <row r="451" spans="2:27" s="25" customFormat="1" ht="15.75" customHeight="1" x14ac:dyDescent="0.2">
      <c r="B451" s="89"/>
      <c r="C451"/>
      <c r="D451"/>
      <c r="E451" s="69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  <c r="AA451"/>
    </row>
    <row r="452" spans="2:27" s="25" customFormat="1" ht="15.75" customHeight="1" x14ac:dyDescent="0.2">
      <c r="B452" s="89"/>
      <c r="C452"/>
      <c r="D452"/>
      <c r="E452" s="69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</row>
    <row r="453" spans="2:27" s="25" customFormat="1" ht="15.75" customHeight="1" x14ac:dyDescent="0.2">
      <c r="B453" s="89"/>
      <c r="C453"/>
      <c r="D453"/>
      <c r="E453" s="69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  <c r="AA453"/>
    </row>
    <row r="454" spans="2:27" s="25" customFormat="1" ht="15.75" customHeight="1" x14ac:dyDescent="0.2">
      <c r="B454" s="89"/>
      <c r="C454"/>
      <c r="D454"/>
      <c r="E454" s="69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  <c r="AA454"/>
    </row>
    <row r="455" spans="2:27" s="25" customFormat="1" ht="15.75" customHeight="1" x14ac:dyDescent="0.2">
      <c r="B455" s="89"/>
      <c r="C455"/>
      <c r="D455"/>
      <c r="E455" s="69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  <c r="AA455"/>
    </row>
    <row r="456" spans="2:27" s="25" customFormat="1" ht="15.75" customHeight="1" x14ac:dyDescent="0.2">
      <c r="B456" s="89"/>
      <c r="C456"/>
      <c r="D456"/>
      <c r="E456" s="69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  <c r="AA456"/>
    </row>
    <row r="457" spans="2:27" s="25" customFormat="1" ht="15.75" customHeight="1" x14ac:dyDescent="0.2">
      <c r="B457" s="89"/>
      <c r="C457"/>
      <c r="D457"/>
      <c r="E457" s="69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  <c r="AA457"/>
    </row>
    <row r="458" spans="2:27" s="25" customFormat="1" ht="15.75" customHeight="1" x14ac:dyDescent="0.2">
      <c r="B458" s="89"/>
      <c r="C458"/>
      <c r="D458"/>
      <c r="E458" s="69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  <c r="V458"/>
      <c r="W458"/>
      <c r="X458"/>
      <c r="Y458"/>
      <c r="Z458"/>
      <c r="AA458"/>
    </row>
    <row r="459" spans="2:27" s="25" customFormat="1" ht="15.75" customHeight="1" x14ac:dyDescent="0.2">
      <c r="B459" s="89"/>
      <c r="C459"/>
      <c r="D459"/>
      <c r="E459" s="6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  <c r="AA459"/>
    </row>
    <row r="460" spans="2:27" s="25" customFormat="1" ht="15.75" customHeight="1" x14ac:dyDescent="0.2">
      <c r="B460" s="89"/>
      <c r="C460"/>
      <c r="D460"/>
      <c r="E460" s="69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  <c r="AA460"/>
    </row>
    <row r="461" spans="2:27" s="25" customFormat="1" ht="15.75" customHeight="1" x14ac:dyDescent="0.2">
      <c r="B461" s="89"/>
      <c r="C461"/>
      <c r="D461"/>
      <c r="E461" s="69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  <c r="AA461"/>
    </row>
    <row r="462" spans="2:27" s="25" customFormat="1" ht="15.75" customHeight="1" x14ac:dyDescent="0.2">
      <c r="B462" s="89"/>
      <c r="C462"/>
      <c r="D462"/>
      <c r="E462" s="69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  <c r="AA462"/>
    </row>
    <row r="463" spans="2:27" s="25" customFormat="1" ht="15.75" customHeight="1" x14ac:dyDescent="0.2">
      <c r="B463" s="89"/>
      <c r="C463"/>
      <c r="D463"/>
      <c r="E463" s="69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  <c r="AA463"/>
    </row>
    <row r="464" spans="2:27" s="25" customFormat="1" ht="15.75" customHeight="1" x14ac:dyDescent="0.2">
      <c r="B464" s="89"/>
      <c r="C464"/>
      <c r="D464"/>
      <c r="E464" s="69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  <c r="AA464"/>
    </row>
    <row r="465" spans="2:27" s="25" customFormat="1" ht="15.75" customHeight="1" x14ac:dyDescent="0.2">
      <c r="B465" s="89"/>
      <c r="C465"/>
      <c r="D465"/>
      <c r="E465" s="69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  <c r="AA465"/>
    </row>
    <row r="466" spans="2:27" s="25" customFormat="1" ht="15.75" customHeight="1" x14ac:dyDescent="0.2">
      <c r="B466" s="89"/>
      <c r="C466"/>
      <c r="D466"/>
      <c r="E466" s="69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  <c r="AA466"/>
    </row>
    <row r="467" spans="2:27" s="25" customFormat="1" ht="15.75" customHeight="1" x14ac:dyDescent="0.2">
      <c r="B467" s="89"/>
      <c r="C467"/>
      <c r="D467"/>
      <c r="E467" s="69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  <c r="AA467"/>
    </row>
    <row r="468" spans="2:27" s="25" customFormat="1" ht="15.75" customHeight="1" x14ac:dyDescent="0.2">
      <c r="B468" s="89"/>
      <c r="C468"/>
      <c r="D468"/>
      <c r="E468" s="69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</row>
    <row r="469" spans="2:27" s="25" customFormat="1" ht="15.75" customHeight="1" x14ac:dyDescent="0.2">
      <c r="B469" s="89"/>
      <c r="C469"/>
      <c r="D469"/>
      <c r="E469" s="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  <c r="AA469"/>
    </row>
    <row r="470" spans="2:27" s="25" customFormat="1" ht="15.75" customHeight="1" x14ac:dyDescent="0.2">
      <c r="B470" s="89"/>
      <c r="C470"/>
      <c r="D470"/>
      <c r="E470" s="69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  <c r="AA470"/>
    </row>
    <row r="471" spans="2:27" s="25" customFormat="1" ht="15.75" customHeight="1" x14ac:dyDescent="0.2">
      <c r="B471" s="89"/>
      <c r="C471"/>
      <c r="D471"/>
      <c r="E471" s="69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  <c r="AA471"/>
    </row>
    <row r="472" spans="2:27" s="25" customFormat="1" ht="15.75" customHeight="1" x14ac:dyDescent="0.2">
      <c r="B472" s="89"/>
      <c r="C472"/>
      <c r="D472"/>
      <c r="E472" s="69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  <c r="AA472"/>
    </row>
    <row r="473" spans="2:27" s="25" customFormat="1" ht="15.75" customHeight="1" x14ac:dyDescent="0.2">
      <c r="B473" s="89"/>
      <c r="C473"/>
      <c r="D473"/>
      <c r="E473" s="69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  <c r="W473"/>
      <c r="X473"/>
      <c r="Y473"/>
      <c r="Z473"/>
      <c r="AA473"/>
    </row>
    <row r="474" spans="2:27" s="25" customFormat="1" ht="15.75" customHeight="1" x14ac:dyDescent="0.2">
      <c r="B474" s="89"/>
      <c r="C474"/>
      <c r="D474"/>
      <c r="E474" s="69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/>
      <c r="W474"/>
      <c r="X474"/>
      <c r="Y474"/>
      <c r="Z474"/>
      <c r="AA474"/>
    </row>
    <row r="475" spans="2:27" s="25" customFormat="1" ht="15.75" customHeight="1" x14ac:dyDescent="0.2">
      <c r="B475" s="89"/>
      <c r="C475"/>
      <c r="D475"/>
      <c r="E475" s="69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  <c r="W475"/>
      <c r="X475"/>
      <c r="Y475"/>
      <c r="Z475"/>
      <c r="AA475"/>
    </row>
    <row r="476" spans="2:27" s="25" customFormat="1" ht="15.75" customHeight="1" x14ac:dyDescent="0.2">
      <c r="B476" s="89"/>
      <c r="C476"/>
      <c r="D476"/>
      <c r="E476" s="69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  <c r="W476"/>
      <c r="X476"/>
      <c r="Y476"/>
      <c r="Z476"/>
      <c r="AA476"/>
    </row>
    <row r="477" spans="2:27" s="25" customFormat="1" ht="15.75" customHeight="1" x14ac:dyDescent="0.2">
      <c r="B477" s="89"/>
      <c r="C477"/>
      <c r="D477"/>
      <c r="E477" s="69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  <c r="W477"/>
      <c r="X477"/>
      <c r="Y477"/>
      <c r="Z477"/>
      <c r="AA477"/>
    </row>
    <row r="478" spans="2:27" s="25" customFormat="1" ht="15.75" customHeight="1" x14ac:dyDescent="0.2">
      <c r="B478" s="89"/>
      <c r="C478"/>
      <c r="D478"/>
      <c r="E478" s="69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  <c r="W478"/>
      <c r="X478"/>
      <c r="Y478"/>
      <c r="Z478"/>
      <c r="AA478"/>
    </row>
    <row r="479" spans="2:27" s="25" customFormat="1" ht="15.75" customHeight="1" x14ac:dyDescent="0.2">
      <c r="B479" s="89"/>
      <c r="C479"/>
      <c r="D479"/>
      <c r="E479" s="6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  <c r="W479"/>
      <c r="X479"/>
      <c r="Y479"/>
      <c r="Z479"/>
      <c r="AA479"/>
    </row>
    <row r="480" spans="2:27" s="25" customFormat="1" ht="15.75" customHeight="1" x14ac:dyDescent="0.2">
      <c r="B480" s="89"/>
      <c r="C480"/>
      <c r="D480"/>
      <c r="E480" s="69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  <c r="AA480"/>
    </row>
    <row r="481" spans="2:27" s="25" customFormat="1" ht="15.75" customHeight="1" x14ac:dyDescent="0.2">
      <c r="B481" s="89"/>
      <c r="C481"/>
      <c r="D481"/>
      <c r="E481" s="69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  <c r="V481"/>
      <c r="W481"/>
      <c r="X481"/>
      <c r="Y481"/>
      <c r="Z481"/>
      <c r="AA481"/>
    </row>
    <row r="482" spans="2:27" s="25" customFormat="1" ht="15.75" customHeight="1" x14ac:dyDescent="0.2">
      <c r="B482" s="89"/>
      <c r="C482"/>
      <c r="D482"/>
      <c r="E482" s="69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  <c r="W482"/>
      <c r="X482"/>
      <c r="Y482"/>
      <c r="Z482"/>
      <c r="AA482"/>
    </row>
    <row r="483" spans="2:27" s="25" customFormat="1" ht="15.75" customHeight="1" x14ac:dyDescent="0.2">
      <c r="B483" s="89"/>
      <c r="C483"/>
      <c r="D483"/>
      <c r="E483" s="69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  <c r="W483"/>
      <c r="X483"/>
      <c r="Y483"/>
      <c r="Z483"/>
      <c r="AA483"/>
    </row>
    <row r="484" spans="2:27" s="25" customFormat="1" ht="15.75" customHeight="1" x14ac:dyDescent="0.2">
      <c r="B484" s="89"/>
      <c r="C484"/>
      <c r="D484"/>
      <c r="E484" s="69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  <c r="AA484"/>
    </row>
    <row r="485" spans="2:27" s="25" customFormat="1" ht="15.75" customHeight="1" x14ac:dyDescent="0.2">
      <c r="B485" s="89"/>
      <c r="C485"/>
      <c r="D485"/>
      <c r="E485" s="69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  <c r="W485"/>
      <c r="X485"/>
      <c r="Y485"/>
      <c r="Z485"/>
      <c r="AA485"/>
    </row>
    <row r="486" spans="2:27" s="25" customFormat="1" ht="15.75" customHeight="1" x14ac:dyDescent="0.2">
      <c r="B486" s="89"/>
      <c r="C486"/>
      <c r="D486"/>
      <c r="E486" s="69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  <c r="V486"/>
      <c r="W486"/>
      <c r="X486"/>
      <c r="Y486"/>
      <c r="Z486"/>
      <c r="AA486"/>
    </row>
    <row r="487" spans="2:27" s="25" customFormat="1" ht="15.75" customHeight="1" x14ac:dyDescent="0.2">
      <c r="B487" s="89"/>
      <c r="C487"/>
      <c r="D487"/>
      <c r="E487" s="69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  <c r="V487"/>
      <c r="W487"/>
      <c r="X487"/>
      <c r="Y487"/>
      <c r="Z487"/>
      <c r="AA487"/>
    </row>
    <row r="488" spans="2:27" s="25" customFormat="1" ht="15.75" customHeight="1" x14ac:dyDescent="0.2">
      <c r="B488" s="89"/>
      <c r="C488"/>
      <c r="D488"/>
      <c r="E488" s="69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  <c r="AA488"/>
    </row>
    <row r="489" spans="2:27" s="25" customFormat="1" ht="15.75" customHeight="1" x14ac:dyDescent="0.2">
      <c r="B489" s="89"/>
      <c r="C489"/>
      <c r="D489"/>
      <c r="E489" s="6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  <c r="W489"/>
      <c r="X489"/>
      <c r="Y489"/>
      <c r="Z489"/>
      <c r="AA489"/>
    </row>
    <row r="490" spans="2:27" s="25" customFormat="1" ht="15.75" customHeight="1" x14ac:dyDescent="0.2">
      <c r="B490" s="89"/>
      <c r="C490"/>
      <c r="D490"/>
      <c r="E490" s="69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  <c r="V490"/>
      <c r="W490"/>
      <c r="X490"/>
      <c r="Y490"/>
      <c r="Z490"/>
      <c r="AA490"/>
    </row>
    <row r="491" spans="2:27" s="25" customFormat="1" ht="15.75" customHeight="1" x14ac:dyDescent="0.2">
      <c r="B491" s="89"/>
      <c r="C491"/>
      <c r="D491"/>
      <c r="E491" s="69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  <c r="V491"/>
      <c r="W491"/>
      <c r="X491"/>
      <c r="Y491"/>
      <c r="Z491"/>
      <c r="AA491"/>
    </row>
    <row r="492" spans="2:27" s="25" customFormat="1" ht="15.75" customHeight="1" x14ac:dyDescent="0.2">
      <c r="B492" s="89"/>
      <c r="C492"/>
      <c r="D492"/>
      <c r="E492" s="69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  <c r="AA492"/>
    </row>
    <row r="493" spans="2:27" s="25" customFormat="1" ht="15.75" customHeight="1" x14ac:dyDescent="0.2">
      <c r="B493" s="89"/>
      <c r="C493"/>
      <c r="D493"/>
      <c r="E493" s="69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  <c r="W493"/>
      <c r="X493"/>
      <c r="Y493"/>
      <c r="Z493"/>
      <c r="AA493"/>
    </row>
    <row r="494" spans="2:27" s="25" customFormat="1" ht="15.75" customHeight="1" x14ac:dyDescent="0.2">
      <c r="B494" s="89"/>
      <c r="C494"/>
      <c r="D494"/>
      <c r="E494" s="69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  <c r="W494"/>
      <c r="X494"/>
      <c r="Y494"/>
      <c r="Z494"/>
      <c r="AA494"/>
    </row>
    <row r="495" spans="2:27" s="25" customFormat="1" ht="15.75" customHeight="1" x14ac:dyDescent="0.2">
      <c r="B495" s="89"/>
      <c r="C495"/>
      <c r="D495"/>
      <c r="E495" s="69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  <c r="V495"/>
      <c r="W495"/>
      <c r="X495"/>
      <c r="Y495"/>
      <c r="Z495"/>
      <c r="AA495"/>
    </row>
    <row r="496" spans="2:27" s="25" customFormat="1" ht="15.75" customHeight="1" x14ac:dyDescent="0.2">
      <c r="B496" s="89"/>
      <c r="C496"/>
      <c r="D496"/>
      <c r="E496" s="69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  <c r="W496"/>
      <c r="X496"/>
      <c r="Y496"/>
      <c r="Z496"/>
      <c r="AA496"/>
    </row>
    <row r="497" spans="2:27" s="25" customFormat="1" ht="15.75" customHeight="1" x14ac:dyDescent="0.2">
      <c r="B497" s="89"/>
      <c r="C497"/>
      <c r="D497"/>
      <c r="E497" s="69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  <c r="W497"/>
      <c r="X497"/>
      <c r="Y497"/>
      <c r="Z497"/>
      <c r="AA497"/>
    </row>
    <row r="498" spans="2:27" s="25" customFormat="1" ht="15.75" customHeight="1" x14ac:dyDescent="0.2">
      <c r="B498" s="89"/>
      <c r="C498"/>
      <c r="D498"/>
      <c r="E498" s="69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  <c r="W498"/>
      <c r="X498"/>
      <c r="Y498"/>
      <c r="Z498"/>
      <c r="AA498"/>
    </row>
    <row r="499" spans="2:27" s="25" customFormat="1" ht="15.75" customHeight="1" x14ac:dyDescent="0.2">
      <c r="B499" s="89"/>
      <c r="C499"/>
      <c r="D499"/>
      <c r="E499" s="6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  <c r="W499"/>
      <c r="X499"/>
      <c r="Y499"/>
      <c r="Z499"/>
      <c r="AA499"/>
    </row>
    <row r="500" spans="2:27" s="25" customFormat="1" ht="15.75" customHeight="1" x14ac:dyDescent="0.2">
      <c r="B500" s="89"/>
      <c r="C500"/>
      <c r="D500"/>
      <c r="E500" s="69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  <c r="AA500"/>
    </row>
    <row r="501" spans="2:27" s="25" customFormat="1" ht="15.75" customHeight="1" x14ac:dyDescent="0.2">
      <c r="B501" s="89"/>
      <c r="C501"/>
      <c r="D501"/>
      <c r="E501" s="69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/>
      <c r="W501"/>
      <c r="X501"/>
      <c r="Y501"/>
      <c r="Z501"/>
      <c r="AA501"/>
    </row>
    <row r="502" spans="2:27" s="25" customFormat="1" ht="15.75" customHeight="1" x14ac:dyDescent="0.2">
      <c r="B502" s="89"/>
      <c r="C502"/>
      <c r="D502"/>
      <c r="E502" s="69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  <c r="W502"/>
      <c r="X502"/>
      <c r="Y502"/>
      <c r="Z502"/>
      <c r="AA502"/>
    </row>
    <row r="503" spans="2:27" s="25" customFormat="1" ht="15.75" customHeight="1" x14ac:dyDescent="0.2">
      <c r="B503" s="89"/>
      <c r="C503"/>
      <c r="D503"/>
      <c r="E503" s="69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  <c r="AA503"/>
    </row>
    <row r="504" spans="2:27" s="25" customFormat="1" ht="15.75" customHeight="1" x14ac:dyDescent="0.2">
      <c r="B504" s="89"/>
      <c r="C504"/>
      <c r="D504"/>
      <c r="E504" s="69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  <c r="V504"/>
      <c r="W504"/>
      <c r="X504"/>
      <c r="Y504"/>
      <c r="Z504"/>
      <c r="AA504"/>
    </row>
    <row r="505" spans="2:27" s="25" customFormat="1" ht="15.75" customHeight="1" x14ac:dyDescent="0.2">
      <c r="B505" s="89"/>
      <c r="C505"/>
      <c r="D505"/>
      <c r="E505" s="69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  <c r="V505"/>
      <c r="W505"/>
      <c r="X505"/>
      <c r="Y505"/>
      <c r="Z505"/>
      <c r="AA505"/>
    </row>
    <row r="506" spans="2:27" s="25" customFormat="1" ht="15.75" customHeight="1" x14ac:dyDescent="0.2">
      <c r="B506" s="89"/>
      <c r="C506"/>
      <c r="D506"/>
      <c r="E506" s="69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  <c r="V506"/>
      <c r="W506"/>
      <c r="X506"/>
      <c r="Y506"/>
      <c r="Z506"/>
      <c r="AA506"/>
    </row>
    <row r="507" spans="2:27" s="25" customFormat="1" ht="15.75" customHeight="1" x14ac:dyDescent="0.2">
      <c r="B507" s="89"/>
      <c r="C507"/>
      <c r="D507"/>
      <c r="E507" s="69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  <c r="V507"/>
      <c r="W507"/>
      <c r="X507"/>
      <c r="Y507"/>
      <c r="Z507"/>
      <c r="AA507"/>
    </row>
    <row r="508" spans="2:27" s="25" customFormat="1" ht="15.75" customHeight="1" x14ac:dyDescent="0.2">
      <c r="B508" s="89"/>
      <c r="C508"/>
      <c r="D508"/>
      <c r="E508" s="69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  <c r="V508"/>
      <c r="W508"/>
      <c r="X508"/>
      <c r="Y508"/>
      <c r="Z508"/>
      <c r="AA508"/>
    </row>
    <row r="509" spans="2:27" s="25" customFormat="1" ht="15.75" customHeight="1" x14ac:dyDescent="0.2">
      <c r="B509" s="89"/>
      <c r="C509"/>
      <c r="D509"/>
      <c r="E509" s="6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  <c r="V509"/>
      <c r="W509"/>
      <c r="X509"/>
      <c r="Y509"/>
      <c r="Z509"/>
      <c r="AA509"/>
    </row>
    <row r="510" spans="2:27" s="25" customFormat="1" ht="15.75" customHeight="1" x14ac:dyDescent="0.2">
      <c r="B510" s="89"/>
      <c r="C510"/>
      <c r="D510"/>
      <c r="E510" s="69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  <c r="V510"/>
      <c r="W510"/>
      <c r="X510"/>
      <c r="Y510"/>
      <c r="Z510"/>
      <c r="AA510"/>
    </row>
    <row r="511" spans="2:27" s="25" customFormat="1" ht="15.75" customHeight="1" x14ac:dyDescent="0.2">
      <c r="B511" s="89"/>
      <c r="C511"/>
      <c r="D511"/>
      <c r="E511" s="69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  <c r="V511"/>
      <c r="W511"/>
      <c r="X511"/>
      <c r="Y511"/>
      <c r="Z511"/>
      <c r="AA511"/>
    </row>
    <row r="512" spans="2:27" s="25" customFormat="1" ht="15.75" customHeight="1" x14ac:dyDescent="0.2">
      <c r="B512" s="89"/>
      <c r="C512"/>
      <c r="D512"/>
      <c r="E512" s="69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  <c r="V512"/>
      <c r="W512"/>
      <c r="X512"/>
      <c r="Y512"/>
      <c r="Z512"/>
      <c r="AA512"/>
    </row>
    <row r="513" spans="2:27" s="25" customFormat="1" ht="15.75" customHeight="1" x14ac:dyDescent="0.2">
      <c r="B513" s="89"/>
      <c r="C513"/>
      <c r="D513"/>
      <c r="E513" s="69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  <c r="V513"/>
      <c r="W513"/>
      <c r="X513"/>
      <c r="Y513"/>
      <c r="Z513"/>
      <c r="AA513"/>
    </row>
    <row r="514" spans="2:27" s="25" customFormat="1" ht="15.75" customHeight="1" x14ac:dyDescent="0.2">
      <c r="B514" s="89"/>
      <c r="C514"/>
      <c r="D514"/>
      <c r="E514" s="69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  <c r="V514"/>
      <c r="W514"/>
      <c r="X514"/>
      <c r="Y514"/>
      <c r="Z514"/>
      <c r="AA514"/>
    </row>
    <row r="515" spans="2:27" s="25" customFormat="1" ht="15.75" customHeight="1" x14ac:dyDescent="0.2">
      <c r="B515" s="89"/>
      <c r="C515"/>
      <c r="D515"/>
      <c r="E515" s="69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  <c r="V515"/>
      <c r="W515"/>
      <c r="X515"/>
      <c r="Y515"/>
      <c r="Z515"/>
      <c r="AA515"/>
    </row>
    <row r="516" spans="2:27" s="25" customFormat="1" ht="15.75" customHeight="1" x14ac:dyDescent="0.2">
      <c r="B516" s="89"/>
      <c r="C516"/>
      <c r="D516"/>
      <c r="E516" s="69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  <c r="V516"/>
      <c r="W516"/>
      <c r="X516"/>
      <c r="Y516"/>
      <c r="Z516"/>
      <c r="AA516"/>
    </row>
    <row r="517" spans="2:27" s="25" customFormat="1" ht="15.75" customHeight="1" x14ac:dyDescent="0.2">
      <c r="B517" s="89"/>
      <c r="C517"/>
      <c r="D517"/>
      <c r="E517" s="69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  <c r="V517"/>
      <c r="W517"/>
      <c r="X517"/>
      <c r="Y517"/>
      <c r="Z517"/>
      <c r="AA517"/>
    </row>
    <row r="518" spans="2:27" s="25" customFormat="1" ht="15.75" customHeight="1" x14ac:dyDescent="0.2">
      <c r="B518" s="89"/>
      <c r="C518"/>
      <c r="D518"/>
      <c r="E518" s="69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  <c r="V518"/>
      <c r="W518"/>
      <c r="X518"/>
      <c r="Y518"/>
      <c r="Z518"/>
      <c r="AA518"/>
    </row>
    <row r="519" spans="2:27" s="25" customFormat="1" ht="15.75" customHeight="1" x14ac:dyDescent="0.2">
      <c r="B519" s="89"/>
      <c r="C519"/>
      <c r="D519"/>
      <c r="E519" s="6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  <c r="V519"/>
      <c r="W519"/>
      <c r="X519"/>
      <c r="Y519"/>
      <c r="Z519"/>
      <c r="AA519"/>
    </row>
    <row r="520" spans="2:27" s="25" customFormat="1" ht="15.75" customHeight="1" x14ac:dyDescent="0.2">
      <c r="B520" s="89"/>
      <c r="C520"/>
      <c r="D520"/>
      <c r="E520" s="69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  <c r="V520"/>
      <c r="W520"/>
      <c r="X520"/>
      <c r="Y520"/>
      <c r="Z520"/>
      <c r="AA520"/>
    </row>
    <row r="521" spans="2:27" s="25" customFormat="1" ht="15.75" customHeight="1" x14ac:dyDescent="0.2">
      <c r="B521" s="89"/>
      <c r="C521"/>
      <c r="D521"/>
      <c r="E521" s="69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  <c r="V521"/>
      <c r="W521"/>
      <c r="X521"/>
      <c r="Y521"/>
      <c r="Z521"/>
      <c r="AA521"/>
    </row>
    <row r="522" spans="2:27" s="25" customFormat="1" ht="15.75" customHeight="1" x14ac:dyDescent="0.2">
      <c r="B522" s="89"/>
      <c r="C522"/>
      <c r="D522"/>
      <c r="E522" s="69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  <c r="V522"/>
      <c r="W522"/>
      <c r="X522"/>
      <c r="Y522"/>
      <c r="Z522"/>
      <c r="AA522"/>
    </row>
    <row r="523" spans="2:27" s="25" customFormat="1" ht="15.75" customHeight="1" x14ac:dyDescent="0.2">
      <c r="B523" s="89"/>
      <c r="C523"/>
      <c r="D523"/>
      <c r="E523" s="69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  <c r="V523"/>
      <c r="W523"/>
      <c r="X523"/>
      <c r="Y523"/>
      <c r="Z523"/>
      <c r="AA523"/>
    </row>
    <row r="524" spans="2:27" s="25" customFormat="1" ht="15.75" customHeight="1" x14ac:dyDescent="0.2">
      <c r="B524" s="89"/>
      <c r="C524"/>
      <c r="D524"/>
      <c r="E524" s="69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  <c r="V524"/>
      <c r="W524"/>
      <c r="X524"/>
      <c r="Y524"/>
      <c r="Z524"/>
      <c r="AA524"/>
    </row>
    <row r="525" spans="2:27" s="25" customFormat="1" ht="15.75" customHeight="1" x14ac:dyDescent="0.2">
      <c r="B525" s="89"/>
      <c r="C525"/>
      <c r="D525"/>
      <c r="E525" s="69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  <c r="V525"/>
      <c r="W525"/>
      <c r="X525"/>
      <c r="Y525"/>
      <c r="Z525"/>
      <c r="AA525"/>
    </row>
    <row r="526" spans="2:27" s="25" customFormat="1" ht="15.75" customHeight="1" x14ac:dyDescent="0.2">
      <c r="B526" s="89"/>
      <c r="C526"/>
      <c r="D526"/>
      <c r="E526" s="69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  <c r="V526"/>
      <c r="W526"/>
      <c r="X526"/>
      <c r="Y526"/>
      <c r="Z526"/>
      <c r="AA526"/>
    </row>
    <row r="527" spans="2:27" s="25" customFormat="1" ht="15.75" customHeight="1" x14ac:dyDescent="0.2">
      <c r="B527" s="89"/>
      <c r="C527"/>
      <c r="D527"/>
      <c r="E527" s="69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  <c r="V527"/>
      <c r="W527"/>
      <c r="X527"/>
      <c r="Y527"/>
      <c r="Z527"/>
      <c r="AA527"/>
    </row>
    <row r="528" spans="2:27" s="25" customFormat="1" ht="15.75" customHeight="1" x14ac:dyDescent="0.2">
      <c r="B528" s="89"/>
      <c r="C528"/>
      <c r="D528"/>
      <c r="E528" s="69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  <c r="V528"/>
      <c r="W528"/>
      <c r="X528"/>
      <c r="Y528"/>
      <c r="Z528"/>
      <c r="AA528"/>
    </row>
    <row r="529" spans="2:27" s="25" customFormat="1" ht="15.75" customHeight="1" x14ac:dyDescent="0.2">
      <c r="B529" s="89"/>
      <c r="C529"/>
      <c r="D529"/>
      <c r="E529" s="6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  <c r="V529"/>
      <c r="W529"/>
      <c r="X529"/>
      <c r="Y529"/>
      <c r="Z529"/>
      <c r="AA529"/>
    </row>
    <row r="530" spans="2:27" s="25" customFormat="1" ht="15.75" customHeight="1" x14ac:dyDescent="0.2">
      <c r="B530" s="89"/>
      <c r="C530"/>
      <c r="D530"/>
      <c r="E530" s="69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  <c r="V530"/>
      <c r="W530"/>
      <c r="X530"/>
      <c r="Y530"/>
      <c r="Z530"/>
      <c r="AA530"/>
    </row>
    <row r="531" spans="2:27" s="25" customFormat="1" ht="15.75" customHeight="1" x14ac:dyDescent="0.2">
      <c r="B531" s="89"/>
      <c r="C531"/>
      <c r="D531"/>
      <c r="E531" s="69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  <c r="V531"/>
      <c r="W531"/>
      <c r="X531"/>
      <c r="Y531"/>
      <c r="Z531"/>
      <c r="AA531"/>
    </row>
    <row r="532" spans="2:27" s="25" customFormat="1" ht="15.75" customHeight="1" x14ac:dyDescent="0.2">
      <c r="B532" s="89"/>
      <c r="C532"/>
      <c r="D532"/>
      <c r="E532" s="69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  <c r="V532"/>
      <c r="W532"/>
      <c r="X532"/>
      <c r="Y532"/>
      <c r="Z532"/>
      <c r="AA532"/>
    </row>
    <row r="533" spans="2:27" s="25" customFormat="1" ht="15.75" customHeight="1" x14ac:dyDescent="0.2">
      <c r="B533" s="89"/>
      <c r="C533"/>
      <c r="D533"/>
      <c r="E533" s="69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  <c r="V533"/>
      <c r="W533"/>
      <c r="X533"/>
      <c r="Y533"/>
      <c r="Z533"/>
      <c r="AA533"/>
    </row>
    <row r="534" spans="2:27" s="25" customFormat="1" ht="15.75" customHeight="1" x14ac:dyDescent="0.2">
      <c r="B534" s="89"/>
      <c r="C534"/>
      <c r="D534"/>
      <c r="E534" s="69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  <c r="V534"/>
      <c r="W534"/>
      <c r="X534"/>
      <c r="Y534"/>
      <c r="Z534"/>
      <c r="AA534"/>
    </row>
    <row r="535" spans="2:27" s="25" customFormat="1" ht="15.75" customHeight="1" x14ac:dyDescent="0.2">
      <c r="B535" s="89"/>
      <c r="C535"/>
      <c r="D535"/>
      <c r="E535" s="69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  <c r="V535"/>
      <c r="W535"/>
      <c r="X535"/>
      <c r="Y535"/>
      <c r="Z535"/>
      <c r="AA535"/>
    </row>
    <row r="536" spans="2:27" s="25" customFormat="1" ht="15.75" customHeight="1" x14ac:dyDescent="0.2">
      <c r="B536" s="89"/>
      <c r="C536"/>
      <c r="D536"/>
      <c r="E536" s="69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  <c r="V536"/>
      <c r="W536"/>
      <c r="X536"/>
      <c r="Y536"/>
      <c r="Z536"/>
      <c r="AA536"/>
    </row>
    <row r="537" spans="2:27" s="25" customFormat="1" ht="15.75" customHeight="1" x14ac:dyDescent="0.2">
      <c r="B537" s="89"/>
      <c r="C537"/>
      <c r="D537"/>
      <c r="E537" s="69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  <c r="V537"/>
      <c r="W537"/>
      <c r="X537"/>
      <c r="Y537"/>
      <c r="Z537"/>
      <c r="AA537"/>
    </row>
    <row r="538" spans="2:27" s="25" customFormat="1" ht="15.75" customHeight="1" x14ac:dyDescent="0.2">
      <c r="B538" s="89"/>
      <c r="C538"/>
      <c r="D538"/>
      <c r="E538" s="69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  <c r="V538"/>
      <c r="W538"/>
      <c r="X538"/>
      <c r="Y538"/>
      <c r="Z538"/>
      <c r="AA538"/>
    </row>
    <row r="539" spans="2:27" s="25" customFormat="1" ht="15.75" customHeight="1" x14ac:dyDescent="0.2">
      <c r="B539" s="89"/>
      <c r="C539"/>
      <c r="D539"/>
      <c r="E539" s="6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  <c r="V539"/>
      <c r="W539"/>
      <c r="X539"/>
      <c r="Y539"/>
      <c r="Z539"/>
      <c r="AA539"/>
    </row>
    <row r="540" spans="2:27" s="25" customFormat="1" ht="15.75" customHeight="1" x14ac:dyDescent="0.2">
      <c r="B540" s="89"/>
      <c r="C540"/>
      <c r="D540"/>
      <c r="E540" s="69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  <c r="V540"/>
      <c r="W540"/>
      <c r="X540"/>
      <c r="Y540"/>
      <c r="Z540"/>
      <c r="AA540"/>
    </row>
    <row r="541" spans="2:27" s="25" customFormat="1" ht="15.75" customHeight="1" x14ac:dyDescent="0.2">
      <c r="B541" s="89"/>
      <c r="C541"/>
      <c r="D541"/>
      <c r="E541" s="69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  <c r="V541"/>
      <c r="W541"/>
      <c r="X541"/>
      <c r="Y541"/>
      <c r="Z541"/>
      <c r="AA541"/>
    </row>
    <row r="542" spans="2:27" s="25" customFormat="1" ht="15.75" customHeight="1" x14ac:dyDescent="0.2">
      <c r="B542" s="89"/>
      <c r="C542"/>
      <c r="D542"/>
      <c r="E542" s="69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  <c r="V542"/>
      <c r="W542"/>
      <c r="X542"/>
      <c r="Y542"/>
      <c r="Z542"/>
      <c r="AA542"/>
    </row>
    <row r="543" spans="2:27" s="25" customFormat="1" ht="15.75" customHeight="1" x14ac:dyDescent="0.2">
      <c r="B543" s="89"/>
      <c r="C543"/>
      <c r="D543"/>
      <c r="E543" s="69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  <c r="V543"/>
      <c r="W543"/>
      <c r="X543"/>
      <c r="Y543"/>
      <c r="Z543"/>
      <c r="AA543"/>
    </row>
    <row r="544" spans="2:27" s="25" customFormat="1" ht="15.75" customHeight="1" x14ac:dyDescent="0.2">
      <c r="B544" s="89"/>
      <c r="C544"/>
      <c r="D544"/>
      <c r="E544" s="69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  <c r="V544"/>
      <c r="W544"/>
      <c r="X544"/>
      <c r="Y544"/>
      <c r="Z544"/>
      <c r="AA544"/>
    </row>
    <row r="545" spans="2:27" s="25" customFormat="1" ht="15.75" customHeight="1" x14ac:dyDescent="0.2">
      <c r="B545" s="89"/>
      <c r="C545"/>
      <c r="D545"/>
      <c r="E545" s="69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  <c r="V545"/>
      <c r="W545"/>
      <c r="X545"/>
      <c r="Y545"/>
      <c r="Z545"/>
      <c r="AA545"/>
    </row>
    <row r="546" spans="2:27" s="25" customFormat="1" ht="15.75" customHeight="1" x14ac:dyDescent="0.2">
      <c r="B546" s="89"/>
      <c r="C546"/>
      <c r="D546"/>
      <c r="E546" s="69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  <c r="V546"/>
      <c r="W546"/>
      <c r="X546"/>
      <c r="Y546"/>
      <c r="Z546"/>
      <c r="AA546"/>
    </row>
    <row r="547" spans="2:27" s="25" customFormat="1" ht="15.75" customHeight="1" x14ac:dyDescent="0.2">
      <c r="B547" s="89"/>
      <c r="C547"/>
      <c r="D547"/>
      <c r="E547" s="69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  <c r="V547"/>
      <c r="W547"/>
      <c r="X547"/>
      <c r="Y547"/>
      <c r="Z547"/>
      <c r="AA547"/>
    </row>
    <row r="548" spans="2:27" s="25" customFormat="1" ht="15.75" customHeight="1" x14ac:dyDescent="0.2">
      <c r="B548" s="89"/>
      <c r="C548"/>
      <c r="D548"/>
      <c r="E548" s="69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  <c r="V548"/>
      <c r="W548"/>
      <c r="X548"/>
      <c r="Y548"/>
      <c r="Z548"/>
      <c r="AA548"/>
    </row>
    <row r="549" spans="2:27" s="25" customFormat="1" ht="15.75" customHeight="1" x14ac:dyDescent="0.2">
      <c r="B549" s="89"/>
      <c r="C549"/>
      <c r="D549"/>
      <c r="E549" s="6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  <c r="U549"/>
      <c r="V549"/>
      <c r="W549"/>
      <c r="X549"/>
      <c r="Y549"/>
      <c r="Z549"/>
      <c r="AA549"/>
    </row>
    <row r="550" spans="2:27" s="25" customFormat="1" ht="15.75" customHeight="1" x14ac:dyDescent="0.2">
      <c r="B550" s="89"/>
      <c r="C550"/>
      <c r="D550"/>
      <c r="E550" s="69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  <c r="V550"/>
      <c r="W550"/>
      <c r="X550"/>
      <c r="Y550"/>
      <c r="Z550"/>
      <c r="AA550"/>
    </row>
    <row r="551" spans="2:27" s="25" customFormat="1" ht="15.75" customHeight="1" x14ac:dyDescent="0.2">
      <c r="B551" s="89"/>
      <c r="C551"/>
      <c r="D551"/>
      <c r="E551" s="69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  <c r="V551"/>
      <c r="W551"/>
      <c r="X551"/>
      <c r="Y551"/>
      <c r="Z551"/>
      <c r="AA551"/>
    </row>
    <row r="552" spans="2:27" s="25" customFormat="1" ht="15.75" customHeight="1" x14ac:dyDescent="0.2">
      <c r="B552" s="89"/>
      <c r="C552"/>
      <c r="D552"/>
      <c r="E552" s="69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  <c r="V552"/>
      <c r="W552"/>
      <c r="X552"/>
      <c r="Y552"/>
      <c r="Z552"/>
      <c r="AA552"/>
    </row>
    <row r="553" spans="2:27" s="25" customFormat="1" ht="15.75" customHeight="1" x14ac:dyDescent="0.2">
      <c r="B553" s="89"/>
      <c r="C553"/>
      <c r="D553"/>
      <c r="E553" s="69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  <c r="V553"/>
      <c r="W553"/>
      <c r="X553"/>
      <c r="Y553"/>
      <c r="Z553"/>
      <c r="AA553"/>
    </row>
    <row r="554" spans="2:27" s="25" customFormat="1" ht="15.75" customHeight="1" x14ac:dyDescent="0.2">
      <c r="B554" s="89"/>
      <c r="C554"/>
      <c r="D554"/>
      <c r="E554" s="69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  <c r="V554"/>
      <c r="W554"/>
      <c r="X554"/>
      <c r="Y554"/>
      <c r="Z554"/>
      <c r="AA554"/>
    </row>
    <row r="555" spans="2:27" s="25" customFormat="1" ht="15.75" customHeight="1" x14ac:dyDescent="0.2">
      <c r="B555" s="89"/>
      <c r="C555"/>
      <c r="D555"/>
      <c r="E555" s="69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  <c r="V555"/>
      <c r="W555"/>
      <c r="X555"/>
      <c r="Y555"/>
      <c r="Z555"/>
      <c r="AA555"/>
    </row>
    <row r="556" spans="2:27" s="25" customFormat="1" ht="15.75" customHeight="1" x14ac:dyDescent="0.2">
      <c r="B556" s="89"/>
      <c r="C556"/>
      <c r="D556"/>
      <c r="E556" s="69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  <c r="V556"/>
      <c r="W556"/>
      <c r="X556"/>
      <c r="Y556"/>
      <c r="Z556"/>
      <c r="AA556"/>
    </row>
    <row r="557" spans="2:27" s="25" customFormat="1" ht="15.75" customHeight="1" x14ac:dyDescent="0.2">
      <c r="B557" s="89"/>
      <c r="C557"/>
      <c r="D557"/>
      <c r="E557" s="69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  <c r="V557"/>
      <c r="W557"/>
      <c r="X557"/>
      <c r="Y557"/>
      <c r="Z557"/>
      <c r="AA557"/>
    </row>
    <row r="558" spans="2:27" s="25" customFormat="1" ht="15.75" customHeight="1" x14ac:dyDescent="0.2">
      <c r="B558" s="89"/>
      <c r="C558"/>
      <c r="D558"/>
      <c r="E558" s="69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  <c r="V558"/>
      <c r="W558"/>
      <c r="X558"/>
      <c r="Y558"/>
      <c r="Z558"/>
      <c r="AA558"/>
    </row>
    <row r="559" spans="2:27" s="25" customFormat="1" ht="15.75" customHeight="1" x14ac:dyDescent="0.2">
      <c r="B559" s="89"/>
      <c r="C559"/>
      <c r="D559"/>
      <c r="E559" s="6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  <c r="V559"/>
      <c r="W559"/>
      <c r="X559"/>
      <c r="Y559"/>
      <c r="Z559"/>
      <c r="AA559"/>
    </row>
    <row r="560" spans="2:27" s="25" customFormat="1" ht="15.75" customHeight="1" x14ac:dyDescent="0.2">
      <c r="B560" s="89"/>
      <c r="C560"/>
      <c r="D560"/>
      <c r="E560" s="69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  <c r="V560"/>
      <c r="W560"/>
      <c r="X560"/>
      <c r="Y560"/>
      <c r="Z560"/>
      <c r="AA560"/>
    </row>
    <row r="561" spans="2:27" s="25" customFormat="1" ht="15.75" customHeight="1" x14ac:dyDescent="0.2">
      <c r="B561" s="89"/>
      <c r="C561"/>
      <c r="D561"/>
      <c r="E561" s="69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  <c r="V561"/>
      <c r="W561"/>
      <c r="X561"/>
      <c r="Y561"/>
      <c r="Z561"/>
      <c r="AA561"/>
    </row>
    <row r="562" spans="2:27" s="25" customFormat="1" ht="15.75" customHeight="1" x14ac:dyDescent="0.2">
      <c r="B562" s="89"/>
      <c r="C562"/>
      <c r="D562"/>
      <c r="E562" s="69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  <c r="V562"/>
      <c r="W562"/>
      <c r="X562"/>
      <c r="Y562"/>
      <c r="Z562"/>
      <c r="AA562"/>
    </row>
    <row r="563" spans="2:27" s="25" customFormat="1" ht="15.75" customHeight="1" x14ac:dyDescent="0.2">
      <c r="B563" s="89"/>
      <c r="C563"/>
      <c r="D563"/>
      <c r="E563" s="69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  <c r="V563"/>
      <c r="W563"/>
      <c r="X563"/>
      <c r="Y563"/>
      <c r="Z563"/>
      <c r="AA563"/>
    </row>
    <row r="564" spans="2:27" s="25" customFormat="1" ht="15.75" customHeight="1" x14ac:dyDescent="0.2">
      <c r="B564" s="89"/>
      <c r="C564"/>
      <c r="D564"/>
      <c r="E564" s="69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  <c r="V564"/>
      <c r="W564"/>
      <c r="X564"/>
      <c r="Y564"/>
      <c r="Z564"/>
      <c r="AA564"/>
    </row>
    <row r="565" spans="2:27" s="25" customFormat="1" ht="15.75" customHeight="1" x14ac:dyDescent="0.2">
      <c r="B565" s="89"/>
      <c r="C565"/>
      <c r="D565"/>
      <c r="E565" s="69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  <c r="V565"/>
      <c r="W565"/>
      <c r="X565"/>
      <c r="Y565"/>
      <c r="Z565"/>
      <c r="AA565"/>
    </row>
    <row r="566" spans="2:27" s="25" customFormat="1" ht="15.75" customHeight="1" x14ac:dyDescent="0.2">
      <c r="B566" s="89"/>
      <c r="C566"/>
      <c r="D566"/>
      <c r="E566" s="69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  <c r="V566"/>
      <c r="W566"/>
      <c r="X566"/>
      <c r="Y566"/>
      <c r="Z566"/>
      <c r="AA566"/>
    </row>
    <row r="567" spans="2:27" s="25" customFormat="1" ht="15.75" customHeight="1" x14ac:dyDescent="0.2">
      <c r="B567" s="89"/>
      <c r="C567"/>
      <c r="D567"/>
      <c r="E567" s="69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  <c r="V567"/>
      <c r="W567"/>
      <c r="X567"/>
      <c r="Y567"/>
      <c r="Z567"/>
      <c r="AA567"/>
    </row>
    <row r="568" spans="2:27" s="25" customFormat="1" ht="15.75" customHeight="1" x14ac:dyDescent="0.2">
      <c r="B568" s="89"/>
      <c r="C568"/>
      <c r="D568"/>
      <c r="E568" s="69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  <c r="V568"/>
      <c r="W568"/>
      <c r="X568"/>
      <c r="Y568"/>
      <c r="Z568"/>
      <c r="AA568"/>
    </row>
    <row r="569" spans="2:27" s="25" customFormat="1" ht="15.75" customHeight="1" x14ac:dyDescent="0.2">
      <c r="B569" s="89"/>
      <c r="C569"/>
      <c r="D569"/>
      <c r="E569" s="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  <c r="V569"/>
      <c r="W569"/>
      <c r="X569"/>
      <c r="Y569"/>
      <c r="Z569"/>
      <c r="AA569"/>
    </row>
    <row r="570" spans="2:27" s="25" customFormat="1" ht="15.75" customHeight="1" x14ac:dyDescent="0.2">
      <c r="B570" s="89"/>
      <c r="C570"/>
      <c r="D570"/>
      <c r="E570" s="69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  <c r="V570"/>
      <c r="W570"/>
      <c r="X570"/>
      <c r="Y570"/>
      <c r="Z570"/>
      <c r="AA570"/>
    </row>
    <row r="571" spans="2:27" s="25" customFormat="1" ht="15.75" customHeight="1" x14ac:dyDescent="0.2">
      <c r="B571" s="89"/>
      <c r="C571"/>
      <c r="D571"/>
      <c r="E571" s="69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  <c r="V571"/>
      <c r="W571"/>
      <c r="X571"/>
      <c r="Y571"/>
      <c r="Z571"/>
      <c r="AA571"/>
    </row>
    <row r="572" spans="2:27" s="25" customFormat="1" ht="15.75" customHeight="1" x14ac:dyDescent="0.2">
      <c r="B572" s="89"/>
      <c r="C572"/>
      <c r="D572"/>
      <c r="E572" s="69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  <c r="V572"/>
      <c r="W572"/>
      <c r="X572"/>
      <c r="Y572"/>
      <c r="Z572"/>
      <c r="AA572"/>
    </row>
    <row r="573" spans="2:27" s="25" customFormat="1" ht="15.75" customHeight="1" x14ac:dyDescent="0.2">
      <c r="B573" s="89"/>
      <c r="C573"/>
      <c r="D573"/>
      <c r="E573" s="69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  <c r="V573"/>
      <c r="W573"/>
      <c r="X573"/>
      <c r="Y573"/>
      <c r="Z573"/>
      <c r="AA573"/>
    </row>
    <row r="574" spans="2:27" s="25" customFormat="1" ht="15.75" customHeight="1" x14ac:dyDescent="0.2">
      <c r="B574" s="89"/>
      <c r="C574"/>
      <c r="D574"/>
      <c r="E574" s="69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  <c r="V574"/>
      <c r="W574"/>
      <c r="X574"/>
      <c r="Y574"/>
      <c r="Z574"/>
      <c r="AA574"/>
    </row>
    <row r="575" spans="2:27" s="25" customFormat="1" ht="15.75" customHeight="1" x14ac:dyDescent="0.2">
      <c r="B575" s="89"/>
      <c r="C575"/>
      <c r="D575"/>
      <c r="E575" s="69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  <c r="V575"/>
      <c r="W575"/>
      <c r="X575"/>
      <c r="Y575"/>
      <c r="Z575"/>
      <c r="AA575"/>
    </row>
    <row r="576" spans="2:27" s="25" customFormat="1" ht="15.75" customHeight="1" x14ac:dyDescent="0.2">
      <c r="B576" s="89"/>
      <c r="C576"/>
      <c r="D576"/>
      <c r="E576" s="69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  <c r="V576"/>
      <c r="W576"/>
      <c r="X576"/>
      <c r="Y576"/>
      <c r="Z576"/>
      <c r="AA576"/>
    </row>
    <row r="577" spans="2:27" s="25" customFormat="1" ht="15.75" customHeight="1" x14ac:dyDescent="0.2">
      <c r="B577" s="89"/>
      <c r="C577"/>
      <c r="D577"/>
      <c r="E577" s="69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  <c r="V577"/>
      <c r="W577"/>
      <c r="X577"/>
      <c r="Y577"/>
      <c r="Z577"/>
      <c r="AA577"/>
    </row>
    <row r="578" spans="2:27" s="25" customFormat="1" ht="15.75" customHeight="1" x14ac:dyDescent="0.2">
      <c r="B578" s="89"/>
      <c r="C578"/>
      <c r="D578"/>
      <c r="E578" s="69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  <c r="V578"/>
      <c r="W578"/>
      <c r="X578"/>
      <c r="Y578"/>
      <c r="Z578"/>
      <c r="AA578"/>
    </row>
    <row r="579" spans="2:27" s="25" customFormat="1" ht="15.75" customHeight="1" x14ac:dyDescent="0.2">
      <c r="B579" s="89"/>
      <c r="C579"/>
      <c r="D579"/>
      <c r="E579" s="6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  <c r="V579"/>
      <c r="W579"/>
      <c r="X579"/>
      <c r="Y579"/>
      <c r="Z579"/>
      <c r="AA579"/>
    </row>
    <row r="580" spans="2:27" s="25" customFormat="1" ht="15.75" customHeight="1" x14ac:dyDescent="0.2">
      <c r="B580" s="89"/>
      <c r="C580"/>
      <c r="D580"/>
      <c r="E580" s="69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  <c r="V580"/>
      <c r="W580"/>
      <c r="X580"/>
      <c r="Y580"/>
      <c r="Z580"/>
      <c r="AA580"/>
    </row>
    <row r="581" spans="2:27" s="25" customFormat="1" ht="15.75" customHeight="1" x14ac:dyDescent="0.2">
      <c r="B581" s="89"/>
      <c r="C581"/>
      <c r="D581"/>
      <c r="E581" s="69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  <c r="V581"/>
      <c r="W581"/>
      <c r="X581"/>
      <c r="Y581"/>
      <c r="Z581"/>
      <c r="AA581"/>
    </row>
    <row r="582" spans="2:27" s="25" customFormat="1" ht="15.75" customHeight="1" x14ac:dyDescent="0.2">
      <c r="B582" s="89"/>
      <c r="C582"/>
      <c r="D582"/>
      <c r="E582" s="69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  <c r="V582"/>
      <c r="W582"/>
      <c r="X582"/>
      <c r="Y582"/>
      <c r="Z582"/>
      <c r="AA582"/>
    </row>
    <row r="583" spans="2:27" s="25" customFormat="1" ht="15.75" customHeight="1" x14ac:dyDescent="0.2">
      <c r="B583" s="89"/>
      <c r="C583"/>
      <c r="D583"/>
      <c r="E583" s="69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  <c r="U583"/>
      <c r="V583"/>
      <c r="W583"/>
      <c r="X583"/>
      <c r="Y583"/>
      <c r="Z583"/>
      <c r="AA583"/>
    </row>
    <row r="584" spans="2:27" s="25" customFormat="1" ht="15.75" customHeight="1" x14ac:dyDescent="0.2">
      <c r="B584" s="89"/>
      <c r="C584"/>
      <c r="D584"/>
      <c r="E584" s="69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  <c r="V584"/>
      <c r="W584"/>
      <c r="X584"/>
      <c r="Y584"/>
      <c r="Z584"/>
      <c r="AA584"/>
    </row>
    <row r="585" spans="2:27" s="25" customFormat="1" ht="15.75" customHeight="1" x14ac:dyDescent="0.2">
      <c r="B585" s="89"/>
      <c r="C585"/>
      <c r="D585"/>
      <c r="E585" s="69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  <c r="V585"/>
      <c r="W585"/>
      <c r="X585"/>
      <c r="Y585"/>
      <c r="Z585"/>
      <c r="AA585"/>
    </row>
    <row r="586" spans="2:27" s="25" customFormat="1" ht="15.75" customHeight="1" x14ac:dyDescent="0.2">
      <c r="B586" s="89"/>
      <c r="C586"/>
      <c r="D586"/>
      <c r="E586" s="69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  <c r="V586"/>
      <c r="W586"/>
      <c r="X586"/>
      <c r="Y586"/>
      <c r="Z586"/>
      <c r="AA586"/>
    </row>
    <row r="587" spans="2:27" s="25" customFormat="1" ht="15.75" customHeight="1" x14ac:dyDescent="0.2">
      <c r="B587" s="89"/>
      <c r="C587"/>
      <c r="D587"/>
      <c r="E587" s="69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  <c r="V587"/>
      <c r="W587"/>
      <c r="X587"/>
      <c r="Y587"/>
      <c r="Z587"/>
      <c r="AA587"/>
    </row>
    <row r="588" spans="2:27" s="25" customFormat="1" ht="15.75" customHeight="1" x14ac:dyDescent="0.2">
      <c r="B588" s="89"/>
      <c r="C588"/>
      <c r="D588"/>
      <c r="E588" s="69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  <c r="V588"/>
      <c r="W588"/>
      <c r="X588"/>
      <c r="Y588"/>
      <c r="Z588"/>
      <c r="AA588"/>
    </row>
    <row r="589" spans="2:27" s="25" customFormat="1" ht="15.75" customHeight="1" x14ac:dyDescent="0.2">
      <c r="B589" s="89"/>
      <c r="C589"/>
      <c r="D589"/>
      <c r="E589" s="6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  <c r="V589"/>
      <c r="W589"/>
      <c r="X589"/>
      <c r="Y589"/>
      <c r="Z589"/>
      <c r="AA589"/>
    </row>
    <row r="590" spans="2:27" s="25" customFormat="1" ht="15.75" customHeight="1" x14ac:dyDescent="0.2">
      <c r="B590" s="89"/>
      <c r="C590"/>
      <c r="D590"/>
      <c r="E590" s="69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  <c r="V590"/>
      <c r="W590"/>
      <c r="X590"/>
      <c r="Y590"/>
      <c r="Z590"/>
      <c r="AA590"/>
    </row>
    <row r="591" spans="2:27" s="25" customFormat="1" ht="15.75" customHeight="1" x14ac:dyDescent="0.2">
      <c r="B591" s="89"/>
      <c r="C591"/>
      <c r="D591"/>
      <c r="E591" s="69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  <c r="U591"/>
      <c r="V591"/>
      <c r="W591"/>
      <c r="X591"/>
      <c r="Y591"/>
      <c r="Z591"/>
      <c r="AA591"/>
    </row>
    <row r="592" spans="2:27" s="25" customFormat="1" ht="15.75" customHeight="1" x14ac:dyDescent="0.2">
      <c r="B592" s="89"/>
      <c r="C592"/>
      <c r="D592"/>
      <c r="E592" s="69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  <c r="V592"/>
      <c r="W592"/>
      <c r="X592"/>
      <c r="Y592"/>
      <c r="Z592"/>
      <c r="AA592"/>
    </row>
    <row r="593" spans="2:27" s="25" customFormat="1" ht="15.75" customHeight="1" x14ac:dyDescent="0.2">
      <c r="B593" s="89"/>
      <c r="C593"/>
      <c r="D593"/>
      <c r="E593" s="69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  <c r="V593"/>
      <c r="W593"/>
      <c r="X593"/>
      <c r="Y593"/>
      <c r="Z593"/>
      <c r="AA593"/>
    </row>
    <row r="594" spans="2:27" s="25" customFormat="1" ht="15.75" customHeight="1" x14ac:dyDescent="0.2">
      <c r="B594" s="89"/>
      <c r="C594"/>
      <c r="D594"/>
      <c r="E594" s="69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  <c r="V594"/>
      <c r="W594"/>
      <c r="X594"/>
      <c r="Y594"/>
      <c r="Z594"/>
      <c r="AA594"/>
    </row>
    <row r="595" spans="2:27" s="25" customFormat="1" ht="15.75" customHeight="1" x14ac:dyDescent="0.2">
      <c r="B595" s="89"/>
      <c r="C595"/>
      <c r="D595"/>
      <c r="E595" s="69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  <c r="V595"/>
      <c r="W595"/>
      <c r="X595"/>
      <c r="Y595"/>
      <c r="Z595"/>
      <c r="AA595"/>
    </row>
    <row r="596" spans="2:27" s="25" customFormat="1" ht="15.75" customHeight="1" x14ac:dyDescent="0.2">
      <c r="B596" s="89"/>
      <c r="C596"/>
      <c r="D596"/>
      <c r="E596" s="69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  <c r="V596"/>
      <c r="W596"/>
      <c r="X596"/>
      <c r="Y596"/>
      <c r="Z596"/>
      <c r="AA596"/>
    </row>
    <row r="597" spans="2:27" s="25" customFormat="1" ht="15.75" customHeight="1" x14ac:dyDescent="0.2">
      <c r="B597" s="89"/>
      <c r="C597"/>
      <c r="D597"/>
      <c r="E597" s="69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  <c r="V597"/>
      <c r="W597"/>
      <c r="X597"/>
      <c r="Y597"/>
      <c r="Z597"/>
      <c r="AA597"/>
    </row>
    <row r="598" spans="2:27" s="25" customFormat="1" ht="15.75" customHeight="1" x14ac:dyDescent="0.2">
      <c r="B598" s="89"/>
      <c r="C598"/>
      <c r="D598"/>
      <c r="E598" s="69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  <c r="V598"/>
      <c r="W598"/>
      <c r="X598"/>
      <c r="Y598"/>
      <c r="Z598"/>
      <c r="AA598"/>
    </row>
    <row r="599" spans="2:27" s="25" customFormat="1" ht="15.75" customHeight="1" x14ac:dyDescent="0.2">
      <c r="B599" s="89"/>
      <c r="C599"/>
      <c r="D599"/>
      <c r="E599" s="6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  <c r="V599"/>
      <c r="W599"/>
      <c r="X599"/>
      <c r="Y599"/>
      <c r="Z599"/>
      <c r="AA599"/>
    </row>
    <row r="600" spans="2:27" s="25" customFormat="1" ht="15.75" customHeight="1" x14ac:dyDescent="0.2">
      <c r="B600" s="89"/>
      <c r="C600"/>
      <c r="D600"/>
      <c r="E600" s="69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  <c r="V600"/>
      <c r="W600"/>
      <c r="X600"/>
      <c r="Y600"/>
      <c r="Z600"/>
      <c r="AA600"/>
    </row>
    <row r="601" spans="2:27" s="25" customFormat="1" ht="15.75" customHeight="1" x14ac:dyDescent="0.2">
      <c r="B601" s="89"/>
      <c r="C601"/>
      <c r="D601"/>
      <c r="E601" s="69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  <c r="V601"/>
      <c r="W601"/>
      <c r="X601"/>
      <c r="Y601"/>
      <c r="Z601"/>
      <c r="AA601"/>
    </row>
    <row r="602" spans="2:27" s="25" customFormat="1" ht="15.75" customHeight="1" x14ac:dyDescent="0.2">
      <c r="B602" s="89"/>
      <c r="C602"/>
      <c r="D602"/>
      <c r="E602" s="69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  <c r="V602"/>
      <c r="W602"/>
      <c r="X602"/>
      <c r="Y602"/>
      <c r="Z602"/>
      <c r="AA602"/>
    </row>
    <row r="603" spans="2:27" s="25" customFormat="1" ht="15.75" customHeight="1" x14ac:dyDescent="0.2">
      <c r="B603" s="89"/>
      <c r="C603"/>
      <c r="D603"/>
      <c r="E603" s="69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  <c r="V603"/>
      <c r="W603"/>
      <c r="X603"/>
      <c r="Y603"/>
      <c r="Z603"/>
      <c r="AA603"/>
    </row>
    <row r="604" spans="2:27" s="25" customFormat="1" ht="15.75" customHeight="1" x14ac:dyDescent="0.2">
      <c r="B604" s="89"/>
      <c r="C604"/>
      <c r="D604"/>
      <c r="E604" s="69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  <c r="V604"/>
      <c r="W604"/>
      <c r="X604"/>
      <c r="Y604"/>
      <c r="Z604"/>
      <c r="AA604"/>
    </row>
    <row r="605" spans="2:27" s="25" customFormat="1" ht="15.75" customHeight="1" x14ac:dyDescent="0.2">
      <c r="B605" s="89"/>
      <c r="C605"/>
      <c r="D605"/>
      <c r="E605" s="69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  <c r="V605"/>
      <c r="W605"/>
      <c r="X605"/>
      <c r="Y605"/>
      <c r="Z605"/>
      <c r="AA605"/>
    </row>
    <row r="606" spans="2:27" s="25" customFormat="1" ht="15.75" customHeight="1" x14ac:dyDescent="0.2">
      <c r="B606" s="89"/>
      <c r="C606"/>
      <c r="D606"/>
      <c r="E606" s="69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  <c r="U606"/>
      <c r="V606"/>
      <c r="W606"/>
      <c r="X606"/>
      <c r="Y606"/>
      <c r="Z606"/>
      <c r="AA606"/>
    </row>
    <row r="607" spans="2:27" s="25" customFormat="1" ht="15.75" customHeight="1" x14ac:dyDescent="0.2">
      <c r="B607" s="89"/>
      <c r="C607"/>
      <c r="D607"/>
      <c r="E607" s="69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  <c r="U607"/>
      <c r="V607"/>
      <c r="W607"/>
      <c r="X607"/>
      <c r="Y607"/>
      <c r="Z607"/>
      <c r="AA607"/>
    </row>
    <row r="608" spans="2:27" s="25" customFormat="1" ht="15.75" customHeight="1" x14ac:dyDescent="0.2">
      <c r="B608" s="89"/>
      <c r="C608"/>
      <c r="D608"/>
      <c r="E608" s="69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  <c r="V608"/>
      <c r="W608"/>
      <c r="X608"/>
      <c r="Y608"/>
      <c r="Z608"/>
      <c r="AA608"/>
    </row>
    <row r="609" spans="2:27" s="25" customFormat="1" ht="15.75" customHeight="1" x14ac:dyDescent="0.2">
      <c r="B609" s="89"/>
      <c r="C609"/>
      <c r="D609"/>
      <c r="E609" s="6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  <c r="V609"/>
      <c r="W609"/>
      <c r="X609"/>
      <c r="Y609"/>
      <c r="Z609"/>
      <c r="AA609"/>
    </row>
    <row r="610" spans="2:27" s="25" customFormat="1" ht="15.75" customHeight="1" x14ac:dyDescent="0.2">
      <c r="B610" s="89"/>
      <c r="C610"/>
      <c r="D610"/>
      <c r="E610" s="69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  <c r="V610"/>
      <c r="W610"/>
      <c r="X610"/>
      <c r="Y610"/>
      <c r="Z610"/>
      <c r="AA610"/>
    </row>
    <row r="611" spans="2:27" s="25" customFormat="1" ht="15.75" customHeight="1" x14ac:dyDescent="0.2">
      <c r="B611" s="89"/>
      <c r="C611"/>
      <c r="D611"/>
      <c r="E611" s="69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  <c r="V611"/>
      <c r="W611"/>
      <c r="X611"/>
      <c r="Y611"/>
      <c r="Z611"/>
      <c r="AA611"/>
    </row>
    <row r="612" spans="2:27" s="25" customFormat="1" ht="15.75" customHeight="1" x14ac:dyDescent="0.2">
      <c r="B612" s="89"/>
      <c r="C612"/>
      <c r="D612"/>
      <c r="E612" s="69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  <c r="V612"/>
      <c r="W612"/>
      <c r="X612"/>
      <c r="Y612"/>
      <c r="Z612"/>
      <c r="AA612"/>
    </row>
    <row r="613" spans="2:27" s="25" customFormat="1" ht="15.75" customHeight="1" x14ac:dyDescent="0.2">
      <c r="B613" s="89"/>
      <c r="C613"/>
      <c r="D613"/>
      <c r="E613" s="69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  <c r="V613"/>
      <c r="W613"/>
      <c r="X613"/>
      <c r="Y613"/>
      <c r="Z613"/>
      <c r="AA613"/>
    </row>
    <row r="614" spans="2:27" s="25" customFormat="1" ht="15.75" customHeight="1" x14ac:dyDescent="0.2">
      <c r="B614" s="89"/>
      <c r="C614"/>
      <c r="D614"/>
      <c r="E614" s="69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  <c r="V614"/>
      <c r="W614"/>
      <c r="X614"/>
      <c r="Y614"/>
      <c r="Z614"/>
      <c r="AA614"/>
    </row>
    <row r="615" spans="2:27" s="25" customFormat="1" ht="15.75" customHeight="1" x14ac:dyDescent="0.2">
      <c r="B615" s="89"/>
      <c r="C615"/>
      <c r="D615"/>
      <c r="E615" s="69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  <c r="V615"/>
      <c r="W615"/>
      <c r="X615"/>
      <c r="Y615"/>
      <c r="Z615"/>
      <c r="AA615"/>
    </row>
    <row r="616" spans="2:27" s="25" customFormat="1" ht="15.75" customHeight="1" x14ac:dyDescent="0.2">
      <c r="B616" s="89"/>
      <c r="C616"/>
      <c r="D616"/>
      <c r="E616" s="69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  <c r="V616"/>
      <c r="W616"/>
      <c r="X616"/>
      <c r="Y616"/>
      <c r="Z616"/>
      <c r="AA616"/>
    </row>
    <row r="617" spans="2:27" s="25" customFormat="1" ht="15.75" customHeight="1" x14ac:dyDescent="0.2">
      <c r="B617" s="89"/>
      <c r="C617"/>
      <c r="D617"/>
      <c r="E617" s="69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  <c r="V617"/>
      <c r="W617"/>
      <c r="X617"/>
      <c r="Y617"/>
      <c r="Z617"/>
      <c r="AA617"/>
    </row>
    <row r="618" spans="2:27" s="25" customFormat="1" ht="15.75" customHeight="1" x14ac:dyDescent="0.2">
      <c r="B618" s="89"/>
      <c r="C618"/>
      <c r="D618"/>
      <c r="E618" s="69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  <c r="V618"/>
      <c r="W618"/>
      <c r="X618"/>
      <c r="Y618"/>
      <c r="Z618"/>
      <c r="AA618"/>
    </row>
    <row r="619" spans="2:27" s="25" customFormat="1" ht="15.75" customHeight="1" x14ac:dyDescent="0.2">
      <c r="B619" s="89"/>
      <c r="C619"/>
      <c r="D619"/>
      <c r="E619" s="6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  <c r="V619"/>
      <c r="W619"/>
      <c r="X619"/>
      <c r="Y619"/>
      <c r="Z619"/>
      <c r="AA619"/>
    </row>
    <row r="620" spans="2:27" s="25" customFormat="1" ht="15.75" customHeight="1" x14ac:dyDescent="0.2">
      <c r="B620" s="89"/>
      <c r="C620"/>
      <c r="D620"/>
      <c r="E620" s="69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  <c r="V620"/>
      <c r="W620"/>
      <c r="X620"/>
      <c r="Y620"/>
      <c r="Z620"/>
      <c r="AA620"/>
    </row>
    <row r="621" spans="2:27" s="25" customFormat="1" ht="15.75" customHeight="1" x14ac:dyDescent="0.2">
      <c r="B621" s="89"/>
      <c r="C621"/>
      <c r="D621"/>
      <c r="E621" s="69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  <c r="V621"/>
      <c r="W621"/>
      <c r="X621"/>
      <c r="Y621"/>
      <c r="Z621"/>
      <c r="AA621"/>
    </row>
    <row r="622" spans="2:27" s="25" customFormat="1" ht="15.75" customHeight="1" x14ac:dyDescent="0.2">
      <c r="B622" s="89"/>
      <c r="C622"/>
      <c r="D622"/>
      <c r="E622" s="69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  <c r="V622"/>
      <c r="W622"/>
      <c r="X622"/>
      <c r="Y622"/>
      <c r="Z622"/>
      <c r="AA622"/>
    </row>
    <row r="623" spans="2:27" s="25" customFormat="1" ht="15.75" customHeight="1" x14ac:dyDescent="0.2">
      <c r="B623" s="89"/>
      <c r="C623"/>
      <c r="D623"/>
      <c r="E623" s="69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  <c r="V623"/>
      <c r="W623"/>
      <c r="X623"/>
      <c r="Y623"/>
      <c r="Z623"/>
      <c r="AA623"/>
    </row>
    <row r="624" spans="2:27" s="25" customFormat="1" ht="15.75" customHeight="1" x14ac:dyDescent="0.2">
      <c r="B624" s="89"/>
      <c r="C624"/>
      <c r="D624"/>
      <c r="E624" s="69"/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  <c r="T624"/>
      <c r="U624"/>
      <c r="V624"/>
      <c r="W624"/>
      <c r="X624"/>
      <c r="Y624"/>
      <c r="Z624"/>
      <c r="AA624"/>
    </row>
    <row r="625" spans="2:27" s="25" customFormat="1" ht="15.75" customHeight="1" x14ac:dyDescent="0.2">
      <c r="B625" s="89"/>
      <c r="C625"/>
      <c r="D625"/>
      <c r="E625" s="69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  <c r="V625"/>
      <c r="W625"/>
      <c r="X625"/>
      <c r="Y625"/>
      <c r="Z625"/>
      <c r="AA625"/>
    </row>
    <row r="626" spans="2:27" s="25" customFormat="1" ht="15.75" customHeight="1" x14ac:dyDescent="0.2">
      <c r="B626" s="89"/>
      <c r="C626"/>
      <c r="D626"/>
      <c r="E626" s="69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  <c r="V626"/>
      <c r="W626"/>
      <c r="X626"/>
      <c r="Y626"/>
      <c r="Z626"/>
      <c r="AA626"/>
    </row>
    <row r="627" spans="2:27" s="25" customFormat="1" ht="15.75" customHeight="1" x14ac:dyDescent="0.2">
      <c r="B627" s="89"/>
      <c r="C627"/>
      <c r="D627"/>
      <c r="E627" s="69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  <c r="V627"/>
      <c r="W627"/>
      <c r="X627"/>
      <c r="Y627"/>
      <c r="Z627"/>
      <c r="AA627"/>
    </row>
    <row r="628" spans="2:27" s="25" customFormat="1" ht="15.75" customHeight="1" x14ac:dyDescent="0.2">
      <c r="B628" s="89"/>
      <c r="C628"/>
      <c r="D628"/>
      <c r="E628" s="69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  <c r="V628"/>
      <c r="W628"/>
      <c r="X628"/>
      <c r="Y628"/>
      <c r="Z628"/>
      <c r="AA628"/>
    </row>
    <row r="629" spans="2:27" s="25" customFormat="1" ht="15.75" customHeight="1" x14ac:dyDescent="0.2">
      <c r="B629" s="89"/>
      <c r="C629"/>
      <c r="D629"/>
      <c r="E629" s="6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  <c r="V629"/>
      <c r="W629"/>
      <c r="X629"/>
      <c r="Y629"/>
      <c r="Z629"/>
      <c r="AA629"/>
    </row>
    <row r="630" spans="2:27" s="25" customFormat="1" ht="15.75" customHeight="1" x14ac:dyDescent="0.2">
      <c r="B630" s="89"/>
      <c r="C630"/>
      <c r="D630"/>
      <c r="E630" s="69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  <c r="V630"/>
      <c r="W630"/>
      <c r="X630"/>
      <c r="Y630"/>
      <c r="Z630"/>
      <c r="AA630"/>
    </row>
    <row r="631" spans="2:27" s="25" customFormat="1" ht="15.75" customHeight="1" x14ac:dyDescent="0.2">
      <c r="B631" s="89"/>
      <c r="C631"/>
      <c r="D631"/>
      <c r="E631" s="69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  <c r="V631"/>
      <c r="W631"/>
      <c r="X631"/>
      <c r="Y631"/>
      <c r="Z631"/>
      <c r="AA631"/>
    </row>
    <row r="632" spans="2:27" s="25" customFormat="1" ht="15.75" customHeight="1" x14ac:dyDescent="0.2">
      <c r="B632" s="89"/>
      <c r="C632"/>
      <c r="D632"/>
      <c r="E632" s="69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  <c r="V632"/>
      <c r="W632"/>
      <c r="X632"/>
      <c r="Y632"/>
      <c r="Z632"/>
      <c r="AA632"/>
    </row>
    <row r="633" spans="2:27" s="25" customFormat="1" ht="15.75" customHeight="1" x14ac:dyDescent="0.2">
      <c r="B633" s="89"/>
      <c r="C633"/>
      <c r="D633"/>
      <c r="E633" s="69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  <c r="V633"/>
      <c r="W633"/>
      <c r="X633"/>
      <c r="Y633"/>
      <c r="Z633"/>
      <c r="AA633"/>
    </row>
    <row r="634" spans="2:27" s="25" customFormat="1" ht="15.75" customHeight="1" x14ac:dyDescent="0.2">
      <c r="B634" s="89"/>
      <c r="C634"/>
      <c r="D634"/>
      <c r="E634" s="69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  <c r="V634"/>
      <c r="W634"/>
      <c r="X634"/>
      <c r="Y634"/>
      <c r="Z634"/>
      <c r="AA634"/>
    </row>
    <row r="635" spans="2:27" s="25" customFormat="1" ht="15.75" customHeight="1" x14ac:dyDescent="0.2">
      <c r="B635" s="89"/>
      <c r="C635"/>
      <c r="D635"/>
      <c r="E635" s="69"/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  <c r="V635"/>
      <c r="W635"/>
      <c r="X635"/>
      <c r="Y635"/>
      <c r="Z635"/>
      <c r="AA635"/>
    </row>
    <row r="636" spans="2:27" s="25" customFormat="1" ht="15.75" customHeight="1" x14ac:dyDescent="0.2">
      <c r="B636" s="89"/>
      <c r="C636"/>
      <c r="D636"/>
      <c r="E636" s="69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  <c r="V636"/>
      <c r="W636"/>
      <c r="X636"/>
      <c r="Y636"/>
      <c r="Z636"/>
      <c r="AA636"/>
    </row>
    <row r="637" spans="2:27" s="25" customFormat="1" ht="15.75" customHeight="1" x14ac:dyDescent="0.2">
      <c r="B637" s="89"/>
      <c r="C637"/>
      <c r="D637"/>
      <c r="E637" s="69"/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  <c r="V637"/>
      <c r="W637"/>
      <c r="X637"/>
      <c r="Y637"/>
      <c r="Z637"/>
      <c r="AA637"/>
    </row>
    <row r="638" spans="2:27" s="25" customFormat="1" ht="15.75" customHeight="1" x14ac:dyDescent="0.2">
      <c r="B638" s="89"/>
      <c r="C638"/>
      <c r="D638"/>
      <c r="E638" s="69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  <c r="V638"/>
      <c r="W638"/>
      <c r="X638"/>
      <c r="Y638"/>
      <c r="Z638"/>
      <c r="AA638"/>
    </row>
    <row r="639" spans="2:27" s="25" customFormat="1" ht="15.75" customHeight="1" x14ac:dyDescent="0.2">
      <c r="B639" s="89"/>
      <c r="C639"/>
      <c r="D639"/>
      <c r="E639" s="69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  <c r="U639"/>
      <c r="V639"/>
      <c r="W639"/>
      <c r="X639"/>
      <c r="Y639"/>
      <c r="Z639"/>
      <c r="AA639"/>
    </row>
    <row r="640" spans="2:27" s="25" customFormat="1" ht="15.75" customHeight="1" x14ac:dyDescent="0.2">
      <c r="B640" s="89"/>
      <c r="C640"/>
      <c r="D640"/>
      <c r="E640" s="69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  <c r="V640"/>
      <c r="W640"/>
      <c r="X640"/>
      <c r="Y640"/>
      <c r="Z640"/>
      <c r="AA640"/>
    </row>
    <row r="641" spans="2:27" s="25" customFormat="1" ht="15.75" customHeight="1" x14ac:dyDescent="0.2">
      <c r="B641" s="89"/>
      <c r="C641"/>
      <c r="D641"/>
      <c r="E641" s="69"/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/>
      <c r="U641"/>
      <c r="V641"/>
      <c r="W641"/>
      <c r="X641"/>
      <c r="Y641"/>
      <c r="Z641"/>
      <c r="AA641"/>
    </row>
    <row r="642" spans="2:27" s="25" customFormat="1" ht="15.75" customHeight="1" x14ac:dyDescent="0.2">
      <c r="B642" s="89"/>
      <c r="C642"/>
      <c r="D642"/>
      <c r="E642" s="69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  <c r="V642"/>
      <c r="W642"/>
      <c r="X642"/>
      <c r="Y642"/>
      <c r="Z642"/>
      <c r="AA642"/>
    </row>
    <row r="643" spans="2:27" s="25" customFormat="1" ht="15.75" customHeight="1" x14ac:dyDescent="0.2">
      <c r="B643" s="89"/>
      <c r="C643"/>
      <c r="D643"/>
      <c r="E643" s="69"/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  <c r="T643"/>
      <c r="U643"/>
      <c r="V643"/>
      <c r="W643"/>
      <c r="X643"/>
      <c r="Y643"/>
      <c r="Z643"/>
      <c r="AA643"/>
    </row>
    <row r="644" spans="2:27" s="25" customFormat="1" ht="15.75" customHeight="1" x14ac:dyDescent="0.2">
      <c r="B644" s="89"/>
      <c r="C644"/>
      <c r="D644"/>
      <c r="E644" s="69"/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  <c r="U644"/>
      <c r="V644"/>
      <c r="W644"/>
      <c r="X644"/>
      <c r="Y644"/>
      <c r="Z644"/>
      <c r="AA644"/>
    </row>
    <row r="645" spans="2:27" s="25" customFormat="1" ht="15.75" customHeight="1" x14ac:dyDescent="0.2">
      <c r="B645" s="89"/>
      <c r="C645"/>
      <c r="D645"/>
      <c r="E645" s="69"/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  <c r="T645"/>
      <c r="U645"/>
      <c r="V645"/>
      <c r="W645"/>
      <c r="X645"/>
      <c r="Y645"/>
      <c r="Z645"/>
      <c r="AA645"/>
    </row>
    <row r="646" spans="2:27" s="25" customFormat="1" ht="15.75" customHeight="1" x14ac:dyDescent="0.2">
      <c r="B646" s="89"/>
      <c r="C646"/>
      <c r="D646"/>
      <c r="E646" s="69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  <c r="U646"/>
      <c r="V646"/>
      <c r="W646"/>
      <c r="X646"/>
      <c r="Y646"/>
      <c r="Z646"/>
      <c r="AA646"/>
    </row>
    <row r="647" spans="2:27" s="25" customFormat="1" ht="15.75" customHeight="1" x14ac:dyDescent="0.2">
      <c r="B647" s="89"/>
      <c r="C647"/>
      <c r="D647"/>
      <c r="E647" s="69"/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  <c r="V647"/>
      <c r="W647"/>
      <c r="X647"/>
      <c r="Y647"/>
      <c r="Z647"/>
      <c r="AA647"/>
    </row>
    <row r="648" spans="2:27" s="25" customFormat="1" ht="15.75" customHeight="1" x14ac:dyDescent="0.2">
      <c r="B648" s="89"/>
      <c r="C648"/>
      <c r="D648"/>
      <c r="E648" s="69"/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  <c r="U648"/>
      <c r="V648"/>
      <c r="W648"/>
      <c r="X648"/>
      <c r="Y648"/>
      <c r="Z648"/>
      <c r="AA648"/>
    </row>
    <row r="649" spans="2:27" s="25" customFormat="1" ht="15.75" customHeight="1" x14ac:dyDescent="0.2">
      <c r="B649" s="89"/>
      <c r="C649"/>
      <c r="D649"/>
      <c r="E649" s="69"/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  <c r="T649"/>
      <c r="U649"/>
      <c r="V649"/>
      <c r="W649"/>
      <c r="X649"/>
      <c r="Y649"/>
      <c r="Z649"/>
      <c r="AA649"/>
    </row>
    <row r="650" spans="2:27" s="25" customFormat="1" ht="15.75" customHeight="1" x14ac:dyDescent="0.2">
      <c r="B650" s="89"/>
      <c r="C650"/>
      <c r="D650"/>
      <c r="E650" s="69"/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  <c r="T650"/>
      <c r="U650"/>
      <c r="V650"/>
      <c r="W650"/>
      <c r="X650"/>
      <c r="Y650"/>
      <c r="Z650"/>
      <c r="AA650"/>
    </row>
    <row r="651" spans="2:27" s="25" customFormat="1" ht="15.75" customHeight="1" x14ac:dyDescent="0.2">
      <c r="B651" s="89"/>
      <c r="C651"/>
      <c r="D651"/>
      <c r="E651" s="69"/>
      <c r="F651"/>
      <c r="G651"/>
      <c r="H651"/>
      <c r="I651"/>
      <c r="J651"/>
      <c r="K651"/>
      <c r="L651"/>
      <c r="M651"/>
      <c r="N651"/>
      <c r="O651"/>
      <c r="P651"/>
      <c r="Q651"/>
      <c r="R651"/>
      <c r="S651"/>
      <c r="T651"/>
      <c r="U651"/>
      <c r="V651"/>
      <c r="W651"/>
      <c r="X651"/>
      <c r="Y651"/>
      <c r="Z651"/>
      <c r="AA651"/>
    </row>
    <row r="652" spans="2:27" s="25" customFormat="1" ht="15.75" customHeight="1" x14ac:dyDescent="0.2">
      <c r="B652" s="89"/>
      <c r="C652"/>
      <c r="D652"/>
      <c r="E652" s="69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  <c r="V652"/>
      <c r="W652"/>
      <c r="X652"/>
      <c r="Y652"/>
      <c r="Z652"/>
      <c r="AA652"/>
    </row>
    <row r="653" spans="2:27" s="25" customFormat="1" ht="15.75" customHeight="1" x14ac:dyDescent="0.2">
      <c r="B653" s="89"/>
      <c r="C653"/>
      <c r="D653"/>
      <c r="E653" s="69"/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  <c r="T653"/>
      <c r="U653"/>
      <c r="V653"/>
      <c r="W653"/>
      <c r="X653"/>
      <c r="Y653"/>
      <c r="Z653"/>
      <c r="AA653"/>
    </row>
    <row r="654" spans="2:27" s="25" customFormat="1" ht="15.75" customHeight="1" x14ac:dyDescent="0.2">
      <c r="B654" s="89"/>
      <c r="C654"/>
      <c r="D654"/>
      <c r="E654" s="69"/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  <c r="T654"/>
      <c r="U654"/>
      <c r="V654"/>
      <c r="W654"/>
      <c r="X654"/>
      <c r="Y654"/>
      <c r="Z654"/>
      <c r="AA654"/>
    </row>
    <row r="655" spans="2:27" s="25" customFormat="1" ht="15.75" customHeight="1" x14ac:dyDescent="0.2">
      <c r="B655" s="89"/>
      <c r="C655"/>
      <c r="D655"/>
      <c r="E655" s="69"/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  <c r="V655"/>
      <c r="W655"/>
      <c r="X655"/>
      <c r="Y655"/>
      <c r="Z655"/>
      <c r="AA655"/>
    </row>
    <row r="656" spans="2:27" s="25" customFormat="1" ht="15.75" customHeight="1" x14ac:dyDescent="0.2">
      <c r="B656" s="89"/>
      <c r="C656"/>
      <c r="D656"/>
      <c r="E656" s="69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/>
      <c r="U656"/>
      <c r="V656"/>
      <c r="W656"/>
      <c r="X656"/>
      <c r="Y656"/>
      <c r="Z656"/>
      <c r="AA656"/>
    </row>
    <row r="657" spans="2:27" s="25" customFormat="1" ht="15.75" customHeight="1" x14ac:dyDescent="0.2">
      <c r="B657" s="89"/>
      <c r="C657"/>
      <c r="D657"/>
      <c r="E657" s="69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  <c r="V657"/>
      <c r="W657"/>
      <c r="X657"/>
      <c r="Y657"/>
      <c r="Z657"/>
      <c r="AA657"/>
    </row>
    <row r="658" spans="2:27" s="25" customFormat="1" ht="15.75" customHeight="1" x14ac:dyDescent="0.2">
      <c r="B658" s="89"/>
      <c r="C658"/>
      <c r="D658"/>
      <c r="E658" s="69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  <c r="U658"/>
      <c r="V658"/>
      <c r="W658"/>
      <c r="X658"/>
      <c r="Y658"/>
      <c r="Z658"/>
      <c r="AA658"/>
    </row>
    <row r="659" spans="2:27" s="25" customFormat="1" ht="15.75" customHeight="1" x14ac:dyDescent="0.2">
      <c r="B659" s="89"/>
      <c r="C659"/>
      <c r="D659"/>
      <c r="E659" s="69"/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  <c r="V659"/>
      <c r="W659"/>
      <c r="X659"/>
      <c r="Y659"/>
      <c r="Z659"/>
      <c r="AA659"/>
    </row>
    <row r="660" spans="2:27" s="25" customFormat="1" ht="15.75" customHeight="1" x14ac:dyDescent="0.2">
      <c r="B660" s="89"/>
      <c r="C660"/>
      <c r="D660"/>
      <c r="E660" s="69"/>
      <c r="F660"/>
      <c r="G660"/>
      <c r="H660"/>
      <c r="I660"/>
      <c r="J660"/>
      <c r="K660"/>
      <c r="L660"/>
      <c r="M660"/>
      <c r="N660"/>
      <c r="O660"/>
      <c r="P660"/>
      <c r="Q660"/>
      <c r="R660"/>
      <c r="S660"/>
      <c r="T660"/>
      <c r="U660"/>
      <c r="V660"/>
      <c r="W660"/>
      <c r="X660"/>
      <c r="Y660"/>
      <c r="Z660"/>
      <c r="AA660"/>
    </row>
    <row r="661" spans="2:27" s="25" customFormat="1" ht="15.75" customHeight="1" x14ac:dyDescent="0.2">
      <c r="B661" s="89"/>
      <c r="C661"/>
      <c r="D661"/>
      <c r="E661" s="69"/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  <c r="V661"/>
      <c r="W661"/>
      <c r="X661"/>
      <c r="Y661"/>
      <c r="Z661"/>
      <c r="AA661"/>
    </row>
    <row r="662" spans="2:27" s="25" customFormat="1" ht="15.75" customHeight="1" x14ac:dyDescent="0.2">
      <c r="B662" s="89"/>
      <c r="C662"/>
      <c r="D662"/>
      <c r="E662" s="69"/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  <c r="T662"/>
      <c r="U662"/>
      <c r="V662"/>
      <c r="W662"/>
      <c r="X662"/>
      <c r="Y662"/>
      <c r="Z662"/>
      <c r="AA662"/>
    </row>
    <row r="663" spans="2:27" s="25" customFormat="1" ht="15.75" customHeight="1" x14ac:dyDescent="0.2">
      <c r="B663" s="89"/>
      <c r="C663"/>
      <c r="D663"/>
      <c r="E663" s="69"/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  <c r="T663"/>
      <c r="U663"/>
      <c r="V663"/>
      <c r="W663"/>
      <c r="X663"/>
      <c r="Y663"/>
      <c r="Z663"/>
      <c r="AA663"/>
    </row>
    <row r="664" spans="2:27" s="25" customFormat="1" ht="15.75" customHeight="1" x14ac:dyDescent="0.2">
      <c r="B664" s="89"/>
      <c r="C664"/>
      <c r="D664"/>
      <c r="E664" s="69"/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/>
      <c r="U664"/>
      <c r="V664"/>
      <c r="W664"/>
      <c r="X664"/>
      <c r="Y664"/>
      <c r="Z664"/>
      <c r="AA664"/>
    </row>
    <row r="665" spans="2:27" s="25" customFormat="1" ht="15.75" customHeight="1" x14ac:dyDescent="0.2">
      <c r="B665" s="89"/>
      <c r="C665"/>
      <c r="D665"/>
      <c r="E665" s="69"/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  <c r="T665"/>
      <c r="U665"/>
      <c r="V665"/>
      <c r="W665"/>
      <c r="X665"/>
      <c r="Y665"/>
      <c r="Z665"/>
      <c r="AA665"/>
    </row>
    <row r="666" spans="2:27" s="25" customFormat="1" ht="15.75" customHeight="1" x14ac:dyDescent="0.2">
      <c r="B666" s="89"/>
      <c r="C666"/>
      <c r="D666"/>
      <c r="E666" s="69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  <c r="V666"/>
      <c r="W666"/>
      <c r="X666"/>
      <c r="Y666"/>
      <c r="Z666"/>
      <c r="AA666"/>
    </row>
    <row r="667" spans="2:27" s="25" customFormat="1" ht="15.75" customHeight="1" x14ac:dyDescent="0.2">
      <c r="B667" s="89"/>
      <c r="C667"/>
      <c r="D667"/>
      <c r="E667" s="69"/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  <c r="T667"/>
      <c r="U667"/>
      <c r="V667"/>
      <c r="W667"/>
      <c r="X667"/>
      <c r="Y667"/>
      <c r="Z667"/>
      <c r="AA667"/>
    </row>
    <row r="668" spans="2:27" s="25" customFormat="1" ht="15.75" customHeight="1" x14ac:dyDescent="0.2">
      <c r="B668" s="89"/>
      <c r="C668"/>
      <c r="D668"/>
      <c r="E668" s="69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  <c r="V668"/>
      <c r="W668"/>
      <c r="X668"/>
      <c r="Y668"/>
      <c r="Z668"/>
      <c r="AA668"/>
    </row>
    <row r="669" spans="2:27" s="25" customFormat="1" ht="15.75" customHeight="1" x14ac:dyDescent="0.2">
      <c r="B669" s="89"/>
      <c r="C669"/>
      <c r="D669"/>
      <c r="E669" s="69"/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  <c r="V669"/>
      <c r="W669"/>
      <c r="X669"/>
      <c r="Y669"/>
      <c r="Z669"/>
      <c r="AA669"/>
    </row>
    <row r="670" spans="2:27" s="25" customFormat="1" ht="15.75" customHeight="1" x14ac:dyDescent="0.2">
      <c r="B670" s="89"/>
      <c r="C670"/>
      <c r="D670"/>
      <c r="E670" s="69"/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  <c r="U670"/>
      <c r="V670"/>
      <c r="W670"/>
      <c r="X670"/>
      <c r="Y670"/>
      <c r="Z670"/>
      <c r="AA670"/>
    </row>
    <row r="671" spans="2:27" s="25" customFormat="1" ht="15.75" customHeight="1" x14ac:dyDescent="0.2">
      <c r="B671" s="89"/>
      <c r="C671"/>
      <c r="D671"/>
      <c r="E671" s="69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  <c r="V671"/>
      <c r="W671"/>
      <c r="X671"/>
      <c r="Y671"/>
      <c r="Z671"/>
      <c r="AA671"/>
    </row>
    <row r="672" spans="2:27" s="25" customFormat="1" ht="15.75" customHeight="1" x14ac:dyDescent="0.2">
      <c r="B672" s="89"/>
      <c r="C672"/>
      <c r="D672"/>
      <c r="E672" s="69"/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  <c r="T672"/>
      <c r="U672"/>
      <c r="V672"/>
      <c r="W672"/>
      <c r="X672"/>
      <c r="Y672"/>
      <c r="Z672"/>
      <c r="AA672"/>
    </row>
    <row r="673" spans="2:27" s="25" customFormat="1" ht="15.75" customHeight="1" x14ac:dyDescent="0.2">
      <c r="B673" s="89"/>
      <c r="C673"/>
      <c r="D673"/>
      <c r="E673" s="69"/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  <c r="T673"/>
      <c r="U673"/>
      <c r="V673"/>
      <c r="W673"/>
      <c r="X673"/>
      <c r="Y673"/>
      <c r="Z673"/>
      <c r="AA673"/>
    </row>
    <row r="674" spans="2:27" s="25" customFormat="1" ht="15.75" customHeight="1" x14ac:dyDescent="0.2">
      <c r="B674" s="89"/>
      <c r="C674"/>
      <c r="D674"/>
      <c r="E674" s="69"/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  <c r="U674"/>
      <c r="V674"/>
      <c r="W674"/>
      <c r="X674"/>
      <c r="Y674"/>
      <c r="Z674"/>
      <c r="AA674"/>
    </row>
    <row r="675" spans="2:27" s="25" customFormat="1" ht="15.75" customHeight="1" x14ac:dyDescent="0.2">
      <c r="B675" s="89"/>
      <c r="C675"/>
      <c r="D675"/>
      <c r="E675" s="69"/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  <c r="U675"/>
      <c r="V675"/>
      <c r="W675"/>
      <c r="X675"/>
      <c r="Y675"/>
      <c r="Z675"/>
      <c r="AA675"/>
    </row>
    <row r="676" spans="2:27" s="25" customFormat="1" ht="15.75" customHeight="1" x14ac:dyDescent="0.2">
      <c r="B676" s="89"/>
      <c r="C676"/>
      <c r="D676"/>
      <c r="E676" s="69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  <c r="V676"/>
      <c r="W676"/>
      <c r="X676"/>
      <c r="Y676"/>
      <c r="Z676"/>
      <c r="AA676"/>
    </row>
    <row r="677" spans="2:27" s="25" customFormat="1" ht="15.75" customHeight="1" x14ac:dyDescent="0.2">
      <c r="B677" s="89"/>
      <c r="C677"/>
      <c r="D677"/>
      <c r="E677" s="69"/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  <c r="V677"/>
      <c r="W677"/>
      <c r="X677"/>
      <c r="Y677"/>
      <c r="Z677"/>
      <c r="AA677"/>
    </row>
    <row r="678" spans="2:27" s="25" customFormat="1" ht="15.75" customHeight="1" x14ac:dyDescent="0.2">
      <c r="B678" s="89"/>
      <c r="C678"/>
      <c r="D678"/>
      <c r="E678" s="69"/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  <c r="T678"/>
      <c r="U678"/>
      <c r="V678"/>
      <c r="W678"/>
      <c r="X678"/>
      <c r="Y678"/>
      <c r="Z678"/>
      <c r="AA678"/>
    </row>
    <row r="679" spans="2:27" s="25" customFormat="1" ht="15.75" customHeight="1" x14ac:dyDescent="0.2">
      <c r="B679" s="89"/>
      <c r="C679"/>
      <c r="D679"/>
      <c r="E679" s="69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  <c r="V679"/>
      <c r="W679"/>
      <c r="X679"/>
      <c r="Y679"/>
      <c r="Z679"/>
      <c r="AA679"/>
    </row>
    <row r="680" spans="2:27" s="25" customFormat="1" ht="15.75" customHeight="1" x14ac:dyDescent="0.2">
      <c r="B680" s="89"/>
      <c r="C680"/>
      <c r="D680"/>
      <c r="E680" s="69"/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  <c r="U680"/>
      <c r="V680"/>
      <c r="W680"/>
      <c r="X680"/>
      <c r="Y680"/>
      <c r="Z680"/>
      <c r="AA680"/>
    </row>
    <row r="681" spans="2:27" s="25" customFormat="1" ht="15.75" customHeight="1" x14ac:dyDescent="0.2">
      <c r="B681" s="89"/>
      <c r="C681"/>
      <c r="D681"/>
      <c r="E681" s="69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  <c r="U681"/>
      <c r="V681"/>
      <c r="W681"/>
      <c r="X681"/>
      <c r="Y681"/>
      <c r="Z681"/>
      <c r="AA681"/>
    </row>
    <row r="682" spans="2:27" s="25" customFormat="1" ht="15.75" customHeight="1" x14ac:dyDescent="0.2">
      <c r="B682" s="89"/>
      <c r="C682"/>
      <c r="D682"/>
      <c r="E682" s="69"/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  <c r="T682"/>
      <c r="U682"/>
      <c r="V682"/>
      <c r="W682"/>
      <c r="X682"/>
      <c r="Y682"/>
      <c r="Z682"/>
      <c r="AA682"/>
    </row>
    <row r="683" spans="2:27" s="25" customFormat="1" ht="15.75" customHeight="1" x14ac:dyDescent="0.2">
      <c r="B683" s="89"/>
      <c r="C683"/>
      <c r="D683"/>
      <c r="E683" s="69"/>
      <c r="F683"/>
      <c r="G683"/>
      <c r="H683"/>
      <c r="I683"/>
      <c r="J683"/>
      <c r="K683"/>
      <c r="L683"/>
      <c r="M683"/>
      <c r="N683"/>
      <c r="O683"/>
      <c r="P683"/>
      <c r="Q683"/>
      <c r="R683"/>
      <c r="S683"/>
      <c r="T683"/>
      <c r="U683"/>
      <c r="V683"/>
      <c r="W683"/>
      <c r="X683"/>
      <c r="Y683"/>
      <c r="Z683"/>
      <c r="AA683"/>
    </row>
    <row r="684" spans="2:27" s="25" customFormat="1" ht="15.75" customHeight="1" x14ac:dyDescent="0.2">
      <c r="B684" s="89"/>
      <c r="C684"/>
      <c r="D684"/>
      <c r="E684" s="69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  <c r="V684"/>
      <c r="W684"/>
      <c r="X684"/>
      <c r="Y684"/>
      <c r="Z684"/>
      <c r="AA684"/>
    </row>
    <row r="685" spans="2:27" s="25" customFormat="1" ht="15.75" customHeight="1" x14ac:dyDescent="0.2">
      <c r="B685" s="89"/>
      <c r="C685"/>
      <c r="D685"/>
      <c r="E685" s="69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  <c r="V685"/>
      <c r="W685"/>
      <c r="X685"/>
      <c r="Y685"/>
      <c r="Z685"/>
      <c r="AA685"/>
    </row>
    <row r="686" spans="2:27" s="25" customFormat="1" ht="15.75" customHeight="1" x14ac:dyDescent="0.2">
      <c r="B686" s="89"/>
      <c r="C686"/>
      <c r="D686"/>
      <c r="E686" s="69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  <c r="U686"/>
      <c r="V686"/>
      <c r="W686"/>
      <c r="X686"/>
      <c r="Y686"/>
      <c r="Z686"/>
      <c r="AA686"/>
    </row>
    <row r="687" spans="2:27" s="25" customFormat="1" ht="15.75" customHeight="1" x14ac:dyDescent="0.2">
      <c r="B687" s="89"/>
      <c r="C687"/>
      <c r="D687"/>
      <c r="E687" s="69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  <c r="V687"/>
      <c r="W687"/>
      <c r="X687"/>
      <c r="Y687"/>
      <c r="Z687"/>
      <c r="AA687"/>
    </row>
    <row r="688" spans="2:27" s="25" customFormat="1" ht="15.75" customHeight="1" x14ac:dyDescent="0.2">
      <c r="B688" s="89"/>
      <c r="C688"/>
      <c r="D688"/>
      <c r="E688" s="69"/>
      <c r="F688"/>
      <c r="G688"/>
      <c r="H688"/>
      <c r="I688"/>
      <c r="J688"/>
      <c r="K688"/>
      <c r="L688"/>
      <c r="M688"/>
      <c r="N688"/>
      <c r="O688"/>
      <c r="P688"/>
      <c r="Q688"/>
      <c r="R688"/>
      <c r="S688"/>
      <c r="T688"/>
      <c r="U688"/>
      <c r="V688"/>
      <c r="W688"/>
      <c r="X688"/>
      <c r="Y688"/>
      <c r="Z688"/>
      <c r="AA688"/>
    </row>
    <row r="689" spans="2:27" s="25" customFormat="1" ht="15.75" customHeight="1" x14ac:dyDescent="0.2">
      <c r="B689" s="89"/>
      <c r="C689"/>
      <c r="D689"/>
      <c r="E689" s="6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  <c r="V689"/>
      <c r="W689"/>
      <c r="X689"/>
      <c r="Y689"/>
      <c r="Z689"/>
      <c r="AA689"/>
    </row>
    <row r="690" spans="2:27" s="25" customFormat="1" ht="15.75" customHeight="1" x14ac:dyDescent="0.2">
      <c r="B690" s="89"/>
      <c r="C690"/>
      <c r="D690"/>
      <c r="E690" s="69"/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  <c r="T690"/>
      <c r="U690"/>
      <c r="V690"/>
      <c r="W690"/>
      <c r="X690"/>
      <c r="Y690"/>
      <c r="Z690"/>
      <c r="AA690"/>
    </row>
    <row r="691" spans="2:27" s="25" customFormat="1" ht="15.75" customHeight="1" x14ac:dyDescent="0.2">
      <c r="B691" s="89"/>
      <c r="C691"/>
      <c r="D691"/>
      <c r="E691" s="69"/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  <c r="U691"/>
      <c r="V691"/>
      <c r="W691"/>
      <c r="X691"/>
      <c r="Y691"/>
      <c r="Z691"/>
      <c r="AA691"/>
    </row>
    <row r="692" spans="2:27" s="25" customFormat="1" ht="15.75" customHeight="1" x14ac:dyDescent="0.2">
      <c r="B692" s="89"/>
      <c r="C692"/>
      <c r="D692"/>
      <c r="E692" s="69"/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  <c r="T692"/>
      <c r="U692"/>
      <c r="V692"/>
      <c r="W692"/>
      <c r="X692"/>
      <c r="Y692"/>
      <c r="Z692"/>
      <c r="AA692"/>
    </row>
    <row r="693" spans="2:27" s="25" customFormat="1" ht="15.75" customHeight="1" x14ac:dyDescent="0.2">
      <c r="B693" s="89"/>
      <c r="C693"/>
      <c r="D693"/>
      <c r="E693" s="69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  <c r="U693"/>
      <c r="V693"/>
      <c r="W693"/>
      <c r="X693"/>
      <c r="Y693"/>
      <c r="Z693"/>
      <c r="AA693"/>
    </row>
    <row r="694" spans="2:27" s="25" customFormat="1" ht="15.75" customHeight="1" x14ac:dyDescent="0.2">
      <c r="B694" s="89"/>
      <c r="C694"/>
      <c r="D694"/>
      <c r="E694" s="69"/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  <c r="V694"/>
      <c r="W694"/>
      <c r="X694"/>
      <c r="Y694"/>
      <c r="Z694"/>
      <c r="AA694"/>
    </row>
    <row r="695" spans="2:27" s="25" customFormat="1" ht="15.75" customHeight="1" x14ac:dyDescent="0.2">
      <c r="B695" s="89"/>
      <c r="C695"/>
      <c r="D695"/>
      <c r="E695" s="69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  <c r="V695"/>
      <c r="W695"/>
      <c r="X695"/>
      <c r="Y695"/>
      <c r="Z695"/>
      <c r="AA695"/>
    </row>
    <row r="696" spans="2:27" s="25" customFormat="1" ht="15.75" customHeight="1" x14ac:dyDescent="0.2">
      <c r="B696" s="89"/>
      <c r="C696"/>
      <c r="D696"/>
      <c r="E696" s="69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  <c r="U696"/>
      <c r="V696"/>
      <c r="W696"/>
      <c r="X696"/>
      <c r="Y696"/>
      <c r="Z696"/>
      <c r="AA696"/>
    </row>
    <row r="697" spans="2:27" s="25" customFormat="1" ht="15.75" customHeight="1" x14ac:dyDescent="0.2">
      <c r="B697" s="89"/>
      <c r="C697"/>
      <c r="D697"/>
      <c r="E697" s="69"/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  <c r="V697"/>
      <c r="W697"/>
      <c r="X697"/>
      <c r="Y697"/>
      <c r="Z697"/>
      <c r="AA697"/>
    </row>
    <row r="698" spans="2:27" s="25" customFormat="1" ht="15.75" customHeight="1" x14ac:dyDescent="0.2">
      <c r="B698" s="89"/>
      <c r="C698"/>
      <c r="D698"/>
      <c r="E698" s="69"/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  <c r="V698"/>
      <c r="W698"/>
      <c r="X698"/>
      <c r="Y698"/>
      <c r="Z698"/>
      <c r="AA698"/>
    </row>
    <row r="699" spans="2:27" s="25" customFormat="1" ht="15.75" customHeight="1" x14ac:dyDescent="0.2">
      <c r="B699" s="89"/>
      <c r="C699"/>
      <c r="D699"/>
      <c r="E699" s="69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  <c r="V699"/>
      <c r="W699"/>
      <c r="X699"/>
      <c r="Y699"/>
      <c r="Z699"/>
      <c r="AA699"/>
    </row>
    <row r="700" spans="2:27" s="25" customFormat="1" ht="15.75" customHeight="1" x14ac:dyDescent="0.2">
      <c r="B700" s="89"/>
      <c r="C700"/>
      <c r="D700"/>
      <c r="E700" s="69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  <c r="V700"/>
      <c r="W700"/>
      <c r="X700"/>
      <c r="Y700"/>
      <c r="Z700"/>
      <c r="AA700"/>
    </row>
    <row r="701" spans="2:27" s="25" customFormat="1" ht="15.75" customHeight="1" x14ac:dyDescent="0.2">
      <c r="B701" s="89"/>
      <c r="C701"/>
      <c r="D701"/>
      <c r="E701" s="69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  <c r="V701"/>
      <c r="W701"/>
      <c r="X701"/>
      <c r="Y701"/>
      <c r="Z701"/>
      <c r="AA701"/>
    </row>
    <row r="702" spans="2:27" s="25" customFormat="1" ht="15.75" customHeight="1" x14ac:dyDescent="0.2">
      <c r="B702" s="89"/>
      <c r="C702"/>
      <c r="D702"/>
      <c r="E702" s="69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  <c r="V702"/>
      <c r="W702"/>
      <c r="X702"/>
      <c r="Y702"/>
      <c r="Z702"/>
      <c r="AA702"/>
    </row>
    <row r="703" spans="2:27" s="25" customFormat="1" ht="15.75" customHeight="1" x14ac:dyDescent="0.2">
      <c r="B703" s="89"/>
      <c r="C703"/>
      <c r="D703"/>
      <c r="E703" s="69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  <c r="V703"/>
      <c r="W703"/>
      <c r="X703"/>
      <c r="Y703"/>
      <c r="Z703"/>
      <c r="AA703"/>
    </row>
    <row r="704" spans="2:27" s="25" customFormat="1" ht="15.75" customHeight="1" x14ac:dyDescent="0.2">
      <c r="B704" s="89"/>
      <c r="C704"/>
      <c r="D704"/>
      <c r="E704" s="69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  <c r="V704"/>
      <c r="W704"/>
      <c r="X704"/>
      <c r="Y704"/>
      <c r="Z704"/>
      <c r="AA704"/>
    </row>
    <row r="705" spans="2:27" s="25" customFormat="1" ht="15.75" customHeight="1" x14ac:dyDescent="0.2">
      <c r="B705" s="89"/>
      <c r="C705"/>
      <c r="D705"/>
      <c r="E705" s="69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  <c r="V705"/>
      <c r="W705"/>
      <c r="X705"/>
      <c r="Y705"/>
      <c r="Z705"/>
      <c r="AA705"/>
    </row>
    <row r="706" spans="2:27" s="25" customFormat="1" ht="15.75" customHeight="1" x14ac:dyDescent="0.2">
      <c r="B706" s="89"/>
      <c r="C706"/>
      <c r="D706"/>
      <c r="E706" s="69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  <c r="V706"/>
      <c r="W706"/>
      <c r="X706"/>
      <c r="Y706"/>
      <c r="Z706"/>
      <c r="AA706"/>
    </row>
    <row r="707" spans="2:27" s="25" customFormat="1" ht="15.75" customHeight="1" x14ac:dyDescent="0.2">
      <c r="B707" s="89"/>
      <c r="C707"/>
      <c r="D707"/>
      <c r="E707" s="69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  <c r="V707"/>
      <c r="W707"/>
      <c r="X707"/>
      <c r="Y707"/>
      <c r="Z707"/>
      <c r="AA707"/>
    </row>
    <row r="708" spans="2:27" s="25" customFormat="1" ht="15.75" customHeight="1" x14ac:dyDescent="0.2">
      <c r="B708" s="89"/>
      <c r="C708"/>
      <c r="D708"/>
      <c r="E708" s="69"/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  <c r="V708"/>
      <c r="W708"/>
      <c r="X708"/>
      <c r="Y708"/>
      <c r="Z708"/>
      <c r="AA708"/>
    </row>
    <row r="709" spans="2:27" s="25" customFormat="1" ht="15.75" customHeight="1" x14ac:dyDescent="0.2">
      <c r="B709" s="89"/>
      <c r="C709"/>
      <c r="D709"/>
      <c r="E709" s="69"/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  <c r="T709"/>
      <c r="U709"/>
      <c r="V709"/>
      <c r="W709"/>
      <c r="X709"/>
      <c r="Y709"/>
      <c r="Z709"/>
      <c r="AA709"/>
    </row>
    <row r="710" spans="2:27" s="25" customFormat="1" ht="15.75" customHeight="1" x14ac:dyDescent="0.2">
      <c r="B710" s="89"/>
      <c r="C710"/>
      <c r="D710"/>
      <c r="E710" s="69"/>
      <c r="F710"/>
      <c r="G710"/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  <c r="V710"/>
      <c r="W710"/>
      <c r="X710"/>
      <c r="Y710"/>
      <c r="Z710"/>
      <c r="AA710"/>
    </row>
    <row r="711" spans="2:27" s="25" customFormat="1" ht="15.75" customHeight="1" x14ac:dyDescent="0.2">
      <c r="B711" s="89"/>
      <c r="C711"/>
      <c r="D711"/>
      <c r="E711" s="69"/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  <c r="U711"/>
      <c r="V711"/>
      <c r="W711"/>
      <c r="X711"/>
      <c r="Y711"/>
      <c r="Z711"/>
      <c r="AA711"/>
    </row>
    <row r="712" spans="2:27" s="25" customFormat="1" ht="15.75" customHeight="1" x14ac:dyDescent="0.2">
      <c r="B712" s="89"/>
      <c r="C712"/>
      <c r="D712"/>
      <c r="E712" s="69"/>
      <c r="F712"/>
      <c r="G712"/>
      <c r="H712"/>
      <c r="I712"/>
      <c r="J712"/>
      <c r="K712"/>
      <c r="L712"/>
      <c r="M712"/>
      <c r="N712"/>
      <c r="O712"/>
      <c r="P712"/>
      <c r="Q712"/>
      <c r="R712"/>
      <c r="S712"/>
      <c r="T712"/>
      <c r="U712"/>
      <c r="V712"/>
      <c r="W712"/>
      <c r="X712"/>
      <c r="Y712"/>
      <c r="Z712"/>
      <c r="AA712"/>
    </row>
    <row r="713" spans="2:27" s="25" customFormat="1" ht="15.75" customHeight="1" x14ac:dyDescent="0.2">
      <c r="B713" s="89"/>
      <c r="C713"/>
      <c r="D713"/>
      <c r="E713" s="69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  <c r="V713"/>
      <c r="W713"/>
      <c r="X713"/>
      <c r="Y713"/>
      <c r="Z713"/>
      <c r="AA713"/>
    </row>
    <row r="714" spans="2:27" s="25" customFormat="1" ht="15.75" customHeight="1" x14ac:dyDescent="0.2">
      <c r="B714" s="89"/>
      <c r="C714"/>
      <c r="D714"/>
      <c r="E714" s="69"/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  <c r="U714"/>
      <c r="V714"/>
      <c r="W714"/>
      <c r="X714"/>
      <c r="Y714"/>
      <c r="Z714"/>
      <c r="AA714"/>
    </row>
    <row r="715" spans="2:27" s="25" customFormat="1" ht="15.75" customHeight="1" x14ac:dyDescent="0.2">
      <c r="B715" s="89"/>
      <c r="C715"/>
      <c r="D715"/>
      <c r="E715" s="69"/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  <c r="V715"/>
      <c r="W715"/>
      <c r="X715"/>
      <c r="Y715"/>
      <c r="Z715"/>
      <c r="AA715"/>
    </row>
    <row r="716" spans="2:27" s="25" customFormat="1" ht="15.75" customHeight="1" x14ac:dyDescent="0.2">
      <c r="B716" s="89"/>
      <c r="C716"/>
      <c r="D716"/>
      <c r="E716" s="69"/>
      <c r="F716"/>
      <c r="G716"/>
      <c r="H716"/>
      <c r="I716"/>
      <c r="J716"/>
      <c r="K716"/>
      <c r="L716"/>
      <c r="M716"/>
      <c r="N716"/>
      <c r="O716"/>
      <c r="P716"/>
      <c r="Q716"/>
      <c r="R716"/>
      <c r="S716"/>
      <c r="T716"/>
      <c r="U716"/>
      <c r="V716"/>
      <c r="W716"/>
      <c r="X716"/>
      <c r="Y716"/>
      <c r="Z716"/>
      <c r="AA716"/>
    </row>
    <row r="717" spans="2:27" s="25" customFormat="1" ht="15.75" customHeight="1" x14ac:dyDescent="0.2">
      <c r="B717" s="89"/>
      <c r="C717"/>
      <c r="D717"/>
      <c r="E717" s="69"/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  <c r="V717"/>
      <c r="W717"/>
      <c r="X717"/>
      <c r="Y717"/>
      <c r="Z717"/>
      <c r="AA717"/>
    </row>
    <row r="718" spans="2:27" s="25" customFormat="1" ht="15.75" customHeight="1" x14ac:dyDescent="0.2">
      <c r="B718" s="89"/>
      <c r="C718"/>
      <c r="D718"/>
      <c r="E718" s="69"/>
      <c r="F718"/>
      <c r="G718"/>
      <c r="H718"/>
      <c r="I718"/>
      <c r="J718"/>
      <c r="K718"/>
      <c r="L718"/>
      <c r="M718"/>
      <c r="N718"/>
      <c r="O718"/>
      <c r="P718"/>
      <c r="Q718"/>
      <c r="R718"/>
      <c r="S718"/>
      <c r="T718"/>
      <c r="U718"/>
      <c r="V718"/>
      <c r="W718"/>
      <c r="X718"/>
      <c r="Y718"/>
      <c r="Z718"/>
      <c r="AA718"/>
    </row>
    <row r="719" spans="2:27" s="25" customFormat="1" ht="15.75" customHeight="1" x14ac:dyDescent="0.2">
      <c r="B719" s="89"/>
      <c r="C719"/>
      <c r="D719"/>
      <c r="E719" s="69"/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  <c r="T719"/>
      <c r="U719"/>
      <c r="V719"/>
      <c r="W719"/>
      <c r="X719"/>
      <c r="Y719"/>
      <c r="Z719"/>
      <c r="AA719"/>
    </row>
    <row r="720" spans="2:27" s="25" customFormat="1" ht="15.75" customHeight="1" x14ac:dyDescent="0.2">
      <c r="B720" s="89"/>
      <c r="C720"/>
      <c r="D720"/>
      <c r="E720" s="69"/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  <c r="U720"/>
      <c r="V720"/>
      <c r="W720"/>
      <c r="X720"/>
      <c r="Y720"/>
      <c r="Z720"/>
      <c r="AA720"/>
    </row>
    <row r="721" spans="2:27" s="25" customFormat="1" ht="15.75" customHeight="1" x14ac:dyDescent="0.2">
      <c r="B721" s="89"/>
      <c r="C721"/>
      <c r="D721"/>
      <c r="E721" s="69"/>
      <c r="F721"/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  <c r="V721"/>
      <c r="W721"/>
      <c r="X721"/>
      <c r="Y721"/>
      <c r="Z721"/>
      <c r="AA721"/>
    </row>
    <row r="722" spans="2:27" s="25" customFormat="1" ht="15.75" customHeight="1" x14ac:dyDescent="0.2">
      <c r="B722" s="89"/>
      <c r="C722"/>
      <c r="D722"/>
      <c r="E722" s="69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  <c r="V722"/>
      <c r="W722"/>
      <c r="X722"/>
      <c r="Y722"/>
      <c r="Z722"/>
      <c r="AA722"/>
    </row>
    <row r="723" spans="2:27" s="25" customFormat="1" ht="15.75" customHeight="1" x14ac:dyDescent="0.2">
      <c r="B723" s="89"/>
      <c r="C723"/>
      <c r="D723"/>
      <c r="E723" s="69"/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  <c r="U723"/>
      <c r="V723"/>
      <c r="W723"/>
      <c r="X723"/>
      <c r="Y723"/>
      <c r="Z723"/>
      <c r="AA723"/>
    </row>
    <row r="724" spans="2:27" s="25" customFormat="1" ht="15.75" customHeight="1" x14ac:dyDescent="0.2">
      <c r="B724" s="89"/>
      <c r="C724"/>
      <c r="D724"/>
      <c r="E724" s="69"/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  <c r="U724"/>
      <c r="V724"/>
      <c r="W724"/>
      <c r="X724"/>
      <c r="Y724"/>
      <c r="Z724"/>
      <c r="AA724"/>
    </row>
    <row r="725" spans="2:27" s="25" customFormat="1" ht="15.75" customHeight="1" x14ac:dyDescent="0.2">
      <c r="B725" s="89"/>
      <c r="C725"/>
      <c r="D725"/>
      <c r="E725" s="69"/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/>
      <c r="U725"/>
      <c r="V725"/>
      <c r="W725"/>
      <c r="X725"/>
      <c r="Y725"/>
      <c r="Z725"/>
      <c r="AA725"/>
    </row>
    <row r="726" spans="2:27" s="25" customFormat="1" ht="15.75" customHeight="1" x14ac:dyDescent="0.2">
      <c r="B726" s="89"/>
      <c r="C726"/>
      <c r="D726"/>
      <c r="E726" s="69"/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  <c r="U726"/>
      <c r="V726"/>
      <c r="W726"/>
      <c r="X726"/>
      <c r="Y726"/>
      <c r="Z726"/>
      <c r="AA726"/>
    </row>
    <row r="727" spans="2:27" s="25" customFormat="1" ht="15.75" customHeight="1" x14ac:dyDescent="0.2">
      <c r="B727" s="89"/>
      <c r="C727"/>
      <c r="D727"/>
      <c r="E727" s="69"/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  <c r="V727"/>
      <c r="W727"/>
      <c r="X727"/>
      <c r="Y727"/>
      <c r="Z727"/>
      <c r="AA727"/>
    </row>
    <row r="728" spans="2:27" s="25" customFormat="1" ht="15.75" customHeight="1" x14ac:dyDescent="0.2">
      <c r="B728" s="89"/>
      <c r="C728"/>
      <c r="D728"/>
      <c r="E728" s="69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  <c r="V728"/>
      <c r="W728"/>
      <c r="X728"/>
      <c r="Y728"/>
      <c r="Z728"/>
      <c r="AA728"/>
    </row>
    <row r="729" spans="2:27" s="25" customFormat="1" ht="15.75" customHeight="1" x14ac:dyDescent="0.2">
      <c r="B729" s="89"/>
      <c r="C729"/>
      <c r="D729"/>
      <c r="E729" s="69"/>
      <c r="F729"/>
      <c r="G729"/>
      <c r="H729"/>
      <c r="I729"/>
      <c r="J729"/>
      <c r="K729"/>
      <c r="L729"/>
      <c r="M729"/>
      <c r="N729"/>
      <c r="O729"/>
      <c r="P729"/>
      <c r="Q729"/>
      <c r="R729"/>
      <c r="S729"/>
      <c r="T729"/>
      <c r="U729"/>
      <c r="V729"/>
      <c r="W729"/>
      <c r="X729"/>
      <c r="Y729"/>
      <c r="Z729"/>
      <c r="AA729"/>
    </row>
    <row r="730" spans="2:27" s="25" customFormat="1" ht="15.75" customHeight="1" x14ac:dyDescent="0.2">
      <c r="B730" s="89"/>
      <c r="C730"/>
      <c r="D730"/>
      <c r="E730" s="69"/>
      <c r="F730"/>
      <c r="G730"/>
      <c r="H730"/>
      <c r="I730"/>
      <c r="J730"/>
      <c r="K730"/>
      <c r="L730"/>
      <c r="M730"/>
      <c r="N730"/>
      <c r="O730"/>
      <c r="P730"/>
      <c r="Q730"/>
      <c r="R730"/>
      <c r="S730"/>
      <c r="T730"/>
      <c r="U730"/>
      <c r="V730"/>
      <c r="W730"/>
      <c r="X730"/>
      <c r="Y730"/>
      <c r="Z730"/>
      <c r="AA730"/>
    </row>
    <row r="731" spans="2:27" s="25" customFormat="1" ht="15.75" customHeight="1" x14ac:dyDescent="0.2">
      <c r="B731" s="89"/>
      <c r="C731"/>
      <c r="D731"/>
      <c r="E731" s="69"/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  <c r="V731"/>
      <c r="W731"/>
      <c r="X731"/>
      <c r="Y731"/>
      <c r="Z731"/>
      <c r="AA731"/>
    </row>
    <row r="732" spans="2:27" s="25" customFormat="1" ht="15.75" customHeight="1" x14ac:dyDescent="0.2">
      <c r="B732" s="89"/>
      <c r="C732"/>
      <c r="D732"/>
      <c r="E732" s="69"/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  <c r="U732"/>
      <c r="V732"/>
      <c r="W732"/>
      <c r="X732"/>
      <c r="Y732"/>
      <c r="Z732"/>
      <c r="AA732"/>
    </row>
    <row r="733" spans="2:27" s="25" customFormat="1" ht="15.75" customHeight="1" x14ac:dyDescent="0.2">
      <c r="B733" s="89"/>
      <c r="C733"/>
      <c r="D733"/>
      <c r="E733" s="69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  <c r="V733"/>
      <c r="W733"/>
      <c r="X733"/>
      <c r="Y733"/>
      <c r="Z733"/>
      <c r="AA733"/>
    </row>
    <row r="734" spans="2:27" s="25" customFormat="1" ht="15.75" customHeight="1" x14ac:dyDescent="0.2">
      <c r="B734" s="89"/>
      <c r="C734"/>
      <c r="D734"/>
      <c r="E734" s="69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  <c r="V734"/>
      <c r="W734"/>
      <c r="X734"/>
      <c r="Y734"/>
      <c r="Z734"/>
      <c r="AA734"/>
    </row>
    <row r="735" spans="2:27" s="25" customFormat="1" ht="15.75" customHeight="1" x14ac:dyDescent="0.2">
      <c r="B735" s="89"/>
      <c r="C735"/>
      <c r="D735"/>
      <c r="E735" s="69"/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  <c r="U735"/>
      <c r="V735"/>
      <c r="W735"/>
      <c r="X735"/>
      <c r="Y735"/>
      <c r="Z735"/>
      <c r="AA735"/>
    </row>
    <row r="736" spans="2:27" s="25" customFormat="1" ht="15.75" customHeight="1" x14ac:dyDescent="0.2">
      <c r="B736" s="89"/>
      <c r="C736"/>
      <c r="D736"/>
      <c r="E736" s="69"/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  <c r="U736"/>
      <c r="V736"/>
      <c r="W736"/>
      <c r="X736"/>
      <c r="Y736"/>
      <c r="Z736"/>
      <c r="AA736"/>
    </row>
    <row r="737" spans="2:27" s="25" customFormat="1" ht="15.75" customHeight="1" x14ac:dyDescent="0.2">
      <c r="B737" s="89"/>
      <c r="C737"/>
      <c r="D737"/>
      <c r="E737" s="69"/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  <c r="U737"/>
      <c r="V737"/>
      <c r="W737"/>
      <c r="X737"/>
      <c r="Y737"/>
      <c r="Z737"/>
      <c r="AA737"/>
    </row>
    <row r="738" spans="2:27" s="25" customFormat="1" ht="15.75" customHeight="1" x14ac:dyDescent="0.2">
      <c r="B738" s="89"/>
      <c r="C738"/>
      <c r="D738"/>
      <c r="E738" s="69"/>
      <c r="F738"/>
      <c r="G738"/>
      <c r="H738"/>
      <c r="I738"/>
      <c r="J738"/>
      <c r="K738"/>
      <c r="L738"/>
      <c r="M738"/>
      <c r="N738"/>
      <c r="O738"/>
      <c r="P738"/>
      <c r="Q738"/>
      <c r="R738"/>
      <c r="S738"/>
      <c r="T738"/>
      <c r="U738"/>
      <c r="V738"/>
      <c r="W738"/>
      <c r="X738"/>
      <c r="Y738"/>
      <c r="Z738"/>
      <c r="AA738"/>
    </row>
    <row r="739" spans="2:27" s="25" customFormat="1" ht="15.75" customHeight="1" x14ac:dyDescent="0.2">
      <c r="B739" s="89"/>
      <c r="C739"/>
      <c r="D739"/>
      <c r="E739" s="69"/>
      <c r="F739"/>
      <c r="G739"/>
      <c r="H739"/>
      <c r="I739"/>
      <c r="J739"/>
      <c r="K739"/>
      <c r="L739"/>
      <c r="M739"/>
      <c r="N739"/>
      <c r="O739"/>
      <c r="P739"/>
      <c r="Q739"/>
      <c r="R739"/>
      <c r="S739"/>
      <c r="T739"/>
      <c r="U739"/>
      <c r="V739"/>
      <c r="W739"/>
      <c r="X739"/>
      <c r="Y739"/>
      <c r="Z739"/>
      <c r="AA739"/>
    </row>
    <row r="740" spans="2:27" s="25" customFormat="1" ht="15.75" customHeight="1" x14ac:dyDescent="0.2">
      <c r="B740" s="89"/>
      <c r="C740"/>
      <c r="D740"/>
      <c r="E740" s="69"/>
      <c r="F740"/>
      <c r="G740"/>
      <c r="H740"/>
      <c r="I740"/>
      <c r="J740"/>
      <c r="K740"/>
      <c r="L740"/>
      <c r="M740"/>
      <c r="N740"/>
      <c r="O740"/>
      <c r="P740"/>
      <c r="Q740"/>
      <c r="R740"/>
      <c r="S740"/>
      <c r="T740"/>
      <c r="U740"/>
      <c r="V740"/>
      <c r="W740"/>
      <c r="X740"/>
      <c r="Y740"/>
      <c r="Z740"/>
      <c r="AA740"/>
    </row>
    <row r="741" spans="2:27" s="25" customFormat="1" ht="15.75" customHeight="1" x14ac:dyDescent="0.2">
      <c r="B741" s="89"/>
      <c r="C741"/>
      <c r="D741"/>
      <c r="E741" s="69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  <c r="V741"/>
      <c r="W741"/>
      <c r="X741"/>
      <c r="Y741"/>
      <c r="Z741"/>
      <c r="AA741"/>
    </row>
    <row r="742" spans="2:27" s="25" customFormat="1" ht="15.75" customHeight="1" x14ac:dyDescent="0.2">
      <c r="B742" s="89"/>
      <c r="C742"/>
      <c r="D742"/>
      <c r="E742" s="69"/>
      <c r="F742"/>
      <c r="G742"/>
      <c r="H742"/>
      <c r="I742"/>
      <c r="J742"/>
      <c r="K742"/>
      <c r="L742"/>
      <c r="M742"/>
      <c r="N742"/>
      <c r="O742"/>
      <c r="P742"/>
      <c r="Q742"/>
      <c r="R742"/>
      <c r="S742"/>
      <c r="T742"/>
      <c r="U742"/>
      <c r="V742"/>
      <c r="W742"/>
      <c r="X742"/>
      <c r="Y742"/>
      <c r="Z742"/>
      <c r="AA742"/>
    </row>
    <row r="743" spans="2:27" s="25" customFormat="1" ht="15.75" customHeight="1" x14ac:dyDescent="0.2">
      <c r="B743" s="89"/>
      <c r="C743"/>
      <c r="D743"/>
      <c r="E743" s="69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  <c r="V743"/>
      <c r="W743"/>
      <c r="X743"/>
      <c r="Y743"/>
      <c r="Z743"/>
      <c r="AA743"/>
    </row>
    <row r="744" spans="2:27" s="25" customFormat="1" ht="15.75" customHeight="1" x14ac:dyDescent="0.2">
      <c r="B744" s="89"/>
      <c r="C744"/>
      <c r="D744"/>
      <c r="E744" s="69"/>
      <c r="F744"/>
      <c r="G744"/>
      <c r="H744"/>
      <c r="I744"/>
      <c r="J744"/>
      <c r="K744"/>
      <c r="L744"/>
      <c r="M744"/>
      <c r="N744"/>
      <c r="O744"/>
      <c r="P744"/>
      <c r="Q744"/>
      <c r="R744"/>
      <c r="S744"/>
      <c r="T744"/>
      <c r="U744"/>
      <c r="V744"/>
      <c r="W744"/>
      <c r="X744"/>
      <c r="Y744"/>
      <c r="Z744"/>
      <c r="AA744"/>
    </row>
    <row r="745" spans="2:27" s="25" customFormat="1" ht="15.75" customHeight="1" x14ac:dyDescent="0.2">
      <c r="B745" s="89"/>
      <c r="C745"/>
      <c r="D745"/>
      <c r="E745" s="69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  <c r="V745"/>
      <c r="W745"/>
      <c r="X745"/>
      <c r="Y745"/>
      <c r="Z745"/>
      <c r="AA745"/>
    </row>
    <row r="746" spans="2:27" s="25" customFormat="1" ht="15.75" customHeight="1" x14ac:dyDescent="0.2">
      <c r="B746" s="89"/>
      <c r="C746"/>
      <c r="D746"/>
      <c r="E746" s="69"/>
      <c r="F746"/>
      <c r="G746"/>
      <c r="H746"/>
      <c r="I746"/>
      <c r="J746"/>
      <c r="K746"/>
      <c r="L746"/>
      <c r="M746"/>
      <c r="N746"/>
      <c r="O746"/>
      <c r="P746"/>
      <c r="Q746"/>
      <c r="R746"/>
      <c r="S746"/>
      <c r="T746"/>
      <c r="U746"/>
      <c r="V746"/>
      <c r="W746"/>
      <c r="X746"/>
      <c r="Y746"/>
      <c r="Z746"/>
      <c r="AA746"/>
    </row>
    <row r="747" spans="2:27" s="25" customFormat="1" ht="15.75" customHeight="1" x14ac:dyDescent="0.2">
      <c r="B747" s="89"/>
      <c r="C747"/>
      <c r="D747"/>
      <c r="E747" s="69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  <c r="U747"/>
      <c r="V747"/>
      <c r="W747"/>
      <c r="X747"/>
      <c r="Y747"/>
      <c r="Z747"/>
      <c r="AA747"/>
    </row>
    <row r="748" spans="2:27" s="25" customFormat="1" ht="15.75" customHeight="1" x14ac:dyDescent="0.2">
      <c r="B748" s="89"/>
      <c r="C748"/>
      <c r="D748"/>
      <c r="E748" s="69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  <c r="V748"/>
      <c r="W748"/>
      <c r="X748"/>
      <c r="Y748"/>
      <c r="Z748"/>
      <c r="AA748"/>
    </row>
    <row r="749" spans="2:27" s="25" customFormat="1" ht="15.75" customHeight="1" x14ac:dyDescent="0.2">
      <c r="B749" s="89"/>
      <c r="C749"/>
      <c r="D749"/>
      <c r="E749" s="69"/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  <c r="T749"/>
      <c r="U749"/>
      <c r="V749"/>
      <c r="W749"/>
      <c r="X749"/>
      <c r="Y749"/>
      <c r="Z749"/>
      <c r="AA749"/>
    </row>
    <row r="750" spans="2:27" s="25" customFormat="1" ht="15.75" customHeight="1" x14ac:dyDescent="0.2">
      <c r="B750" s="89"/>
      <c r="C750"/>
      <c r="D750"/>
      <c r="E750" s="69"/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  <c r="V750"/>
      <c r="W750"/>
      <c r="X750"/>
      <c r="Y750"/>
      <c r="Z750"/>
      <c r="AA750"/>
    </row>
    <row r="751" spans="2:27" s="25" customFormat="1" ht="15.75" customHeight="1" x14ac:dyDescent="0.2">
      <c r="B751" s="89"/>
      <c r="C751"/>
      <c r="D751"/>
      <c r="E751" s="69"/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  <c r="V751"/>
      <c r="W751"/>
      <c r="X751"/>
      <c r="Y751"/>
      <c r="Z751"/>
      <c r="AA751"/>
    </row>
    <row r="752" spans="2:27" s="25" customFormat="1" ht="15.75" customHeight="1" x14ac:dyDescent="0.2">
      <c r="B752" s="89"/>
      <c r="C752"/>
      <c r="D752"/>
      <c r="E752" s="69"/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  <c r="V752"/>
      <c r="W752"/>
      <c r="X752"/>
      <c r="Y752"/>
      <c r="Z752"/>
      <c r="AA752"/>
    </row>
    <row r="753" spans="2:27" s="25" customFormat="1" ht="15.75" customHeight="1" x14ac:dyDescent="0.2">
      <c r="B753" s="89"/>
      <c r="C753"/>
      <c r="D753"/>
      <c r="E753" s="69"/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  <c r="T753"/>
      <c r="U753"/>
      <c r="V753"/>
      <c r="W753"/>
      <c r="X753"/>
      <c r="Y753"/>
      <c r="Z753"/>
      <c r="AA753"/>
    </row>
    <row r="754" spans="2:27" s="25" customFormat="1" ht="15.75" customHeight="1" x14ac:dyDescent="0.2">
      <c r="B754" s="89"/>
      <c r="C754"/>
      <c r="D754"/>
      <c r="E754" s="69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  <c r="T754"/>
      <c r="U754"/>
      <c r="V754"/>
      <c r="W754"/>
      <c r="X754"/>
      <c r="Y754"/>
      <c r="Z754"/>
      <c r="AA754"/>
    </row>
    <row r="755" spans="2:27" s="25" customFormat="1" ht="15.75" customHeight="1" x14ac:dyDescent="0.2">
      <c r="B755" s="89"/>
      <c r="C755"/>
      <c r="D755"/>
      <c r="E755" s="69"/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  <c r="V755"/>
      <c r="W755"/>
      <c r="X755"/>
      <c r="Y755"/>
      <c r="Z755"/>
      <c r="AA755"/>
    </row>
    <row r="756" spans="2:27" s="25" customFormat="1" ht="15.75" customHeight="1" x14ac:dyDescent="0.2">
      <c r="B756" s="89"/>
      <c r="C756"/>
      <c r="D756"/>
      <c r="E756" s="69"/>
      <c r="F756"/>
      <c r="G756"/>
      <c r="H756"/>
      <c r="I756"/>
      <c r="J756"/>
      <c r="K756"/>
      <c r="L756"/>
      <c r="M756"/>
      <c r="N756"/>
      <c r="O756"/>
      <c r="P756"/>
      <c r="Q756"/>
      <c r="R756"/>
      <c r="S756"/>
      <c r="T756"/>
      <c r="U756"/>
      <c r="V756"/>
      <c r="W756"/>
      <c r="X756"/>
      <c r="Y756"/>
      <c r="Z756"/>
      <c r="AA756"/>
    </row>
    <row r="757" spans="2:27" s="25" customFormat="1" ht="15.75" customHeight="1" x14ac:dyDescent="0.2">
      <c r="B757" s="89"/>
      <c r="C757"/>
      <c r="D757"/>
      <c r="E757" s="69"/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  <c r="T757"/>
      <c r="U757"/>
      <c r="V757"/>
      <c r="W757"/>
      <c r="X757"/>
      <c r="Y757"/>
      <c r="Z757"/>
      <c r="AA757"/>
    </row>
    <row r="758" spans="2:27" s="25" customFormat="1" ht="15.75" customHeight="1" x14ac:dyDescent="0.2">
      <c r="B758" s="89"/>
      <c r="C758"/>
      <c r="D758"/>
      <c r="E758" s="69"/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  <c r="T758"/>
      <c r="U758"/>
      <c r="V758"/>
      <c r="W758"/>
      <c r="X758"/>
      <c r="Y758"/>
      <c r="Z758"/>
      <c r="AA758"/>
    </row>
    <row r="759" spans="2:27" s="25" customFormat="1" ht="15.75" customHeight="1" x14ac:dyDescent="0.2">
      <c r="B759" s="89"/>
      <c r="C759"/>
      <c r="D759"/>
      <c r="E759" s="69"/>
      <c r="F759"/>
      <c r="G759"/>
      <c r="H759"/>
      <c r="I759"/>
      <c r="J759"/>
      <c r="K759"/>
      <c r="L759"/>
      <c r="M759"/>
      <c r="N759"/>
      <c r="O759"/>
      <c r="P759"/>
      <c r="Q759"/>
      <c r="R759"/>
      <c r="S759"/>
      <c r="T759"/>
      <c r="U759"/>
      <c r="V759"/>
      <c r="W759"/>
      <c r="X759"/>
      <c r="Y759"/>
      <c r="Z759"/>
      <c r="AA759"/>
    </row>
    <row r="760" spans="2:27" s="25" customFormat="1" ht="15.75" customHeight="1" x14ac:dyDescent="0.2">
      <c r="B760" s="89"/>
      <c r="C760"/>
      <c r="D760"/>
      <c r="E760" s="69"/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  <c r="T760"/>
      <c r="U760"/>
      <c r="V760"/>
      <c r="W760"/>
      <c r="X760"/>
      <c r="Y760"/>
      <c r="Z760"/>
      <c r="AA760"/>
    </row>
    <row r="761" spans="2:27" s="25" customFormat="1" ht="15.75" customHeight="1" x14ac:dyDescent="0.2">
      <c r="B761" s="89"/>
      <c r="C761"/>
      <c r="D761"/>
      <c r="E761" s="69"/>
      <c r="F761"/>
      <c r="G761"/>
      <c r="H761"/>
      <c r="I761"/>
      <c r="J761"/>
      <c r="K761"/>
      <c r="L761"/>
      <c r="M761"/>
      <c r="N761"/>
      <c r="O761"/>
      <c r="P761"/>
      <c r="Q761"/>
      <c r="R761"/>
      <c r="S761"/>
      <c r="T761"/>
      <c r="U761"/>
      <c r="V761"/>
      <c r="W761"/>
      <c r="X761"/>
      <c r="Y761"/>
      <c r="Z761"/>
      <c r="AA761"/>
    </row>
    <row r="762" spans="2:27" s="25" customFormat="1" ht="15.75" customHeight="1" x14ac:dyDescent="0.2">
      <c r="B762" s="89"/>
      <c r="C762"/>
      <c r="D762"/>
      <c r="E762" s="69"/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  <c r="U762"/>
      <c r="V762"/>
      <c r="W762"/>
      <c r="X762"/>
      <c r="Y762"/>
      <c r="Z762"/>
      <c r="AA762"/>
    </row>
    <row r="763" spans="2:27" s="25" customFormat="1" ht="15.75" customHeight="1" x14ac:dyDescent="0.2">
      <c r="B763" s="89"/>
      <c r="C763"/>
      <c r="D763"/>
      <c r="E763" s="69"/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  <c r="V763"/>
      <c r="W763"/>
      <c r="X763"/>
      <c r="Y763"/>
      <c r="Z763"/>
      <c r="AA763"/>
    </row>
    <row r="764" spans="2:27" s="25" customFormat="1" ht="15.75" customHeight="1" x14ac:dyDescent="0.2">
      <c r="B764" s="89"/>
      <c r="C764"/>
      <c r="D764"/>
      <c r="E764" s="69"/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  <c r="V764"/>
      <c r="W764"/>
      <c r="X764"/>
      <c r="Y764"/>
      <c r="Z764"/>
      <c r="AA764"/>
    </row>
    <row r="765" spans="2:27" s="25" customFormat="1" ht="15.75" customHeight="1" x14ac:dyDescent="0.2">
      <c r="B765" s="89"/>
      <c r="C765"/>
      <c r="D765"/>
      <c r="E765" s="69"/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  <c r="U765"/>
      <c r="V765"/>
      <c r="W765"/>
      <c r="X765"/>
      <c r="Y765"/>
      <c r="Z765"/>
      <c r="AA765"/>
    </row>
    <row r="766" spans="2:27" s="25" customFormat="1" ht="15.75" customHeight="1" x14ac:dyDescent="0.2">
      <c r="B766" s="89"/>
      <c r="C766"/>
      <c r="D766"/>
      <c r="E766" s="69"/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  <c r="T766"/>
      <c r="U766"/>
      <c r="V766"/>
      <c r="W766"/>
      <c r="X766"/>
      <c r="Y766"/>
      <c r="Z766"/>
      <c r="AA766"/>
    </row>
    <row r="767" spans="2:27" s="25" customFormat="1" ht="15.75" customHeight="1" x14ac:dyDescent="0.2">
      <c r="B767" s="89"/>
      <c r="C767"/>
      <c r="D767"/>
      <c r="E767" s="69"/>
      <c r="F767"/>
      <c r="G767"/>
      <c r="H767"/>
      <c r="I767"/>
      <c r="J767"/>
      <c r="K767"/>
      <c r="L767"/>
      <c r="M767"/>
      <c r="N767"/>
      <c r="O767"/>
      <c r="P767"/>
      <c r="Q767"/>
      <c r="R767"/>
      <c r="S767"/>
      <c r="T767"/>
      <c r="U767"/>
      <c r="V767"/>
      <c r="W767"/>
      <c r="X767"/>
      <c r="Y767"/>
      <c r="Z767"/>
      <c r="AA767"/>
    </row>
    <row r="768" spans="2:27" s="25" customFormat="1" ht="15.75" customHeight="1" x14ac:dyDescent="0.2">
      <c r="B768" s="89"/>
      <c r="C768"/>
      <c r="D768"/>
      <c r="E768" s="69"/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  <c r="U768"/>
      <c r="V768"/>
      <c r="W768"/>
      <c r="X768"/>
      <c r="Y768"/>
      <c r="Z768"/>
      <c r="AA768"/>
    </row>
    <row r="769" spans="2:27" s="25" customFormat="1" ht="15.75" customHeight="1" x14ac:dyDescent="0.2">
      <c r="B769" s="89"/>
      <c r="C769"/>
      <c r="D769"/>
      <c r="E769" s="69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  <c r="V769"/>
      <c r="W769"/>
      <c r="X769"/>
      <c r="Y769"/>
      <c r="Z769"/>
      <c r="AA769"/>
    </row>
    <row r="770" spans="2:27" s="25" customFormat="1" ht="15.75" customHeight="1" x14ac:dyDescent="0.2">
      <c r="B770" s="89"/>
      <c r="C770"/>
      <c r="D770"/>
      <c r="E770" s="69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  <c r="V770"/>
      <c r="W770"/>
      <c r="X770"/>
      <c r="Y770"/>
      <c r="Z770"/>
      <c r="AA770"/>
    </row>
    <row r="771" spans="2:27" s="25" customFormat="1" ht="15.75" customHeight="1" x14ac:dyDescent="0.2">
      <c r="B771" s="89"/>
      <c r="C771"/>
      <c r="D771"/>
      <c r="E771" s="69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  <c r="V771"/>
      <c r="W771"/>
      <c r="X771"/>
      <c r="Y771"/>
      <c r="Z771"/>
      <c r="AA771"/>
    </row>
    <row r="772" spans="2:27" s="25" customFormat="1" ht="15.75" customHeight="1" x14ac:dyDescent="0.2">
      <c r="B772" s="89"/>
      <c r="C772"/>
      <c r="D772"/>
      <c r="E772" s="69"/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  <c r="V772"/>
      <c r="W772"/>
      <c r="X772"/>
      <c r="Y772"/>
      <c r="Z772"/>
      <c r="AA772"/>
    </row>
    <row r="773" spans="2:27" s="25" customFormat="1" ht="15.75" customHeight="1" x14ac:dyDescent="0.2">
      <c r="B773" s="89"/>
      <c r="C773"/>
      <c r="D773"/>
      <c r="E773" s="69"/>
      <c r="F773"/>
      <c r="G773"/>
      <c r="H773"/>
      <c r="I773"/>
      <c r="J773"/>
      <c r="K773"/>
      <c r="L773"/>
      <c r="M773"/>
      <c r="N773"/>
      <c r="O773"/>
      <c r="P773"/>
      <c r="Q773"/>
      <c r="R773"/>
      <c r="S773"/>
      <c r="T773"/>
      <c r="U773"/>
      <c r="V773"/>
      <c r="W773"/>
      <c r="X773"/>
      <c r="Y773"/>
      <c r="Z773"/>
      <c r="AA773"/>
    </row>
    <row r="774" spans="2:27" s="25" customFormat="1" ht="15.75" customHeight="1" x14ac:dyDescent="0.2">
      <c r="B774" s="89"/>
      <c r="C774"/>
      <c r="D774"/>
      <c r="E774" s="69"/>
      <c r="F774"/>
      <c r="G774"/>
      <c r="H774"/>
      <c r="I774"/>
      <c r="J774"/>
      <c r="K774"/>
      <c r="L774"/>
      <c r="M774"/>
      <c r="N774"/>
      <c r="O774"/>
      <c r="P774"/>
      <c r="Q774"/>
      <c r="R774"/>
      <c r="S774"/>
      <c r="T774"/>
      <c r="U774"/>
      <c r="V774"/>
      <c r="W774"/>
      <c r="X774"/>
      <c r="Y774"/>
      <c r="Z774"/>
      <c r="AA774"/>
    </row>
    <row r="775" spans="2:27" s="25" customFormat="1" ht="15.75" customHeight="1" x14ac:dyDescent="0.2">
      <c r="B775" s="89"/>
      <c r="C775"/>
      <c r="D775"/>
      <c r="E775" s="69"/>
      <c r="F775"/>
      <c r="G775"/>
      <c r="H775"/>
      <c r="I775"/>
      <c r="J775"/>
      <c r="K775"/>
      <c r="L775"/>
      <c r="M775"/>
      <c r="N775"/>
      <c r="O775"/>
      <c r="P775"/>
      <c r="Q775"/>
      <c r="R775"/>
      <c r="S775"/>
      <c r="T775"/>
      <c r="U775"/>
      <c r="V775"/>
      <c r="W775"/>
      <c r="X775"/>
      <c r="Y775"/>
      <c r="Z775"/>
      <c r="AA775"/>
    </row>
    <row r="776" spans="2:27" s="25" customFormat="1" ht="15.75" customHeight="1" x14ac:dyDescent="0.2">
      <c r="B776" s="89"/>
      <c r="C776"/>
      <c r="D776"/>
      <c r="E776" s="69"/>
      <c r="F776"/>
      <c r="G776"/>
      <c r="H776"/>
      <c r="I776"/>
      <c r="J776"/>
      <c r="K776"/>
      <c r="L776"/>
      <c r="M776"/>
      <c r="N776"/>
      <c r="O776"/>
      <c r="P776"/>
      <c r="Q776"/>
      <c r="R776"/>
      <c r="S776"/>
      <c r="T776"/>
      <c r="U776"/>
      <c r="V776"/>
      <c r="W776"/>
      <c r="X776"/>
      <c r="Y776"/>
      <c r="Z776"/>
      <c r="AA776"/>
    </row>
    <row r="777" spans="2:27" s="25" customFormat="1" ht="15.75" customHeight="1" x14ac:dyDescent="0.2">
      <c r="B777" s="89"/>
      <c r="C777"/>
      <c r="D777"/>
      <c r="E777" s="69"/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  <c r="V777"/>
      <c r="W777"/>
      <c r="X777"/>
      <c r="Y777"/>
      <c r="Z777"/>
      <c r="AA777"/>
    </row>
    <row r="778" spans="2:27" s="25" customFormat="1" ht="15.75" customHeight="1" x14ac:dyDescent="0.2">
      <c r="B778" s="89"/>
      <c r="C778"/>
      <c r="D778"/>
      <c r="E778" s="69"/>
      <c r="F778"/>
      <c r="G778"/>
      <c r="H778"/>
      <c r="I778"/>
      <c r="J778"/>
      <c r="K778"/>
      <c r="L778"/>
      <c r="M778"/>
      <c r="N778"/>
      <c r="O778"/>
      <c r="P778"/>
      <c r="Q778"/>
      <c r="R778"/>
      <c r="S778"/>
      <c r="T778"/>
      <c r="U778"/>
      <c r="V778"/>
      <c r="W778"/>
      <c r="X778"/>
      <c r="Y778"/>
      <c r="Z778"/>
      <c r="AA778"/>
    </row>
    <row r="779" spans="2:27" s="25" customFormat="1" ht="15.75" customHeight="1" x14ac:dyDescent="0.2">
      <c r="B779" s="89"/>
      <c r="C779"/>
      <c r="D779"/>
      <c r="E779" s="69"/>
      <c r="F779"/>
      <c r="G779"/>
      <c r="H779"/>
      <c r="I779"/>
      <c r="J779"/>
      <c r="K779"/>
      <c r="L779"/>
      <c r="M779"/>
      <c r="N779"/>
      <c r="O779"/>
      <c r="P779"/>
      <c r="Q779"/>
      <c r="R779"/>
      <c r="S779"/>
      <c r="T779"/>
      <c r="U779"/>
      <c r="V779"/>
      <c r="W779"/>
      <c r="X779"/>
      <c r="Y779"/>
      <c r="Z779"/>
      <c r="AA779"/>
    </row>
    <row r="780" spans="2:27" s="25" customFormat="1" ht="15.75" customHeight="1" x14ac:dyDescent="0.2">
      <c r="B780" s="89"/>
      <c r="C780"/>
      <c r="D780"/>
      <c r="E780" s="69"/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  <c r="T780"/>
      <c r="U780"/>
      <c r="V780"/>
      <c r="W780"/>
      <c r="X780"/>
      <c r="Y780"/>
      <c r="Z780"/>
      <c r="AA780"/>
    </row>
    <row r="781" spans="2:27" s="25" customFormat="1" ht="15.75" customHeight="1" x14ac:dyDescent="0.2">
      <c r="B781" s="89"/>
      <c r="C781"/>
      <c r="D781"/>
      <c r="E781" s="69"/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  <c r="V781"/>
      <c r="W781"/>
      <c r="X781"/>
      <c r="Y781"/>
      <c r="Z781"/>
      <c r="AA781"/>
    </row>
    <row r="782" spans="2:27" s="25" customFormat="1" ht="15.75" customHeight="1" x14ac:dyDescent="0.2">
      <c r="B782" s="89"/>
      <c r="C782"/>
      <c r="D782"/>
      <c r="E782" s="69"/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  <c r="V782"/>
      <c r="W782"/>
      <c r="X782"/>
      <c r="Y782"/>
      <c r="Z782"/>
      <c r="AA782"/>
    </row>
    <row r="783" spans="2:27" s="25" customFormat="1" ht="15.75" customHeight="1" x14ac:dyDescent="0.2">
      <c r="B783" s="89"/>
      <c r="C783"/>
      <c r="D783"/>
      <c r="E783" s="69"/>
      <c r="F783"/>
      <c r="G783"/>
      <c r="H783"/>
      <c r="I783"/>
      <c r="J783"/>
      <c r="K783"/>
      <c r="L783"/>
      <c r="M783"/>
      <c r="N783"/>
      <c r="O783"/>
      <c r="P783"/>
      <c r="Q783"/>
      <c r="R783"/>
      <c r="S783"/>
      <c r="T783"/>
      <c r="U783"/>
      <c r="V783"/>
      <c r="W783"/>
      <c r="X783"/>
      <c r="Y783"/>
      <c r="Z783"/>
      <c r="AA783"/>
    </row>
    <row r="784" spans="2:27" s="25" customFormat="1" ht="15.75" customHeight="1" x14ac:dyDescent="0.2">
      <c r="B784" s="89"/>
      <c r="C784"/>
      <c r="D784"/>
      <c r="E784" s="69"/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  <c r="T784"/>
      <c r="U784"/>
      <c r="V784"/>
      <c r="W784"/>
      <c r="X784"/>
      <c r="Y784"/>
      <c r="Z784"/>
      <c r="AA784"/>
    </row>
    <row r="785" spans="2:27" s="25" customFormat="1" ht="15.75" customHeight="1" x14ac:dyDescent="0.2">
      <c r="B785" s="89"/>
      <c r="C785"/>
      <c r="D785"/>
      <c r="E785" s="69"/>
      <c r="F785"/>
      <c r="G785"/>
      <c r="H785"/>
      <c r="I785"/>
      <c r="J785"/>
      <c r="K785"/>
      <c r="L785"/>
      <c r="M785"/>
      <c r="N785"/>
      <c r="O785"/>
      <c r="P785"/>
      <c r="Q785"/>
      <c r="R785"/>
      <c r="S785"/>
      <c r="T785"/>
      <c r="U785"/>
      <c r="V785"/>
      <c r="W785"/>
      <c r="X785"/>
      <c r="Y785"/>
      <c r="Z785"/>
      <c r="AA785"/>
    </row>
    <row r="786" spans="2:27" s="25" customFormat="1" ht="15.75" customHeight="1" x14ac:dyDescent="0.2">
      <c r="B786" s="89"/>
      <c r="C786"/>
      <c r="D786"/>
      <c r="E786" s="69"/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  <c r="U786"/>
      <c r="V786"/>
      <c r="W786"/>
      <c r="X786"/>
      <c r="Y786"/>
      <c r="Z786"/>
      <c r="AA786"/>
    </row>
    <row r="787" spans="2:27" s="25" customFormat="1" ht="15.75" customHeight="1" x14ac:dyDescent="0.2">
      <c r="B787" s="89"/>
      <c r="C787"/>
      <c r="D787"/>
      <c r="E787" s="69"/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  <c r="V787"/>
      <c r="W787"/>
      <c r="X787"/>
      <c r="Y787"/>
      <c r="Z787"/>
      <c r="AA787"/>
    </row>
    <row r="788" spans="2:27" s="25" customFormat="1" ht="15.75" customHeight="1" x14ac:dyDescent="0.2">
      <c r="B788" s="89"/>
      <c r="C788"/>
      <c r="D788"/>
      <c r="E788" s="69"/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  <c r="V788"/>
      <c r="W788"/>
      <c r="X788"/>
      <c r="Y788"/>
      <c r="Z788"/>
      <c r="AA788"/>
    </row>
    <row r="789" spans="2:27" s="25" customFormat="1" ht="15.75" customHeight="1" x14ac:dyDescent="0.2">
      <c r="B789" s="89"/>
      <c r="C789"/>
      <c r="D789"/>
      <c r="E789" s="69"/>
      <c r="F789"/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  <c r="V789"/>
      <c r="W789"/>
      <c r="X789"/>
      <c r="Y789"/>
      <c r="Z789"/>
      <c r="AA789"/>
    </row>
    <row r="790" spans="2:27" s="25" customFormat="1" ht="15.75" customHeight="1" x14ac:dyDescent="0.2">
      <c r="B790" s="89"/>
      <c r="C790"/>
      <c r="D790"/>
      <c r="E790" s="69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  <c r="V790"/>
      <c r="W790"/>
      <c r="X790"/>
      <c r="Y790"/>
      <c r="Z790"/>
      <c r="AA790"/>
    </row>
    <row r="791" spans="2:27" s="25" customFormat="1" ht="15.75" customHeight="1" x14ac:dyDescent="0.2">
      <c r="B791" s="89"/>
      <c r="C791"/>
      <c r="D791"/>
      <c r="E791" s="69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  <c r="V791"/>
      <c r="W791"/>
      <c r="X791"/>
      <c r="Y791"/>
      <c r="Z791"/>
      <c r="AA791"/>
    </row>
    <row r="792" spans="2:27" s="25" customFormat="1" ht="15.75" customHeight="1" x14ac:dyDescent="0.2">
      <c r="B792" s="89"/>
      <c r="C792"/>
      <c r="D792"/>
      <c r="E792" s="69"/>
      <c r="F792"/>
      <c r="G792"/>
      <c r="H792"/>
      <c r="I792"/>
      <c r="J792"/>
      <c r="K792"/>
      <c r="L792"/>
      <c r="M792"/>
      <c r="N792"/>
      <c r="O792"/>
      <c r="P792"/>
      <c r="Q792"/>
      <c r="R792"/>
      <c r="S792"/>
      <c r="T792"/>
      <c r="U792"/>
      <c r="V792"/>
      <c r="W792"/>
      <c r="X792"/>
      <c r="Y792"/>
      <c r="Z792"/>
      <c r="AA792"/>
    </row>
    <row r="793" spans="2:27" s="25" customFormat="1" ht="15.75" customHeight="1" x14ac:dyDescent="0.2">
      <c r="B793" s="89"/>
      <c r="C793"/>
      <c r="D793"/>
      <c r="E793" s="69"/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  <c r="V793"/>
      <c r="W793"/>
      <c r="X793"/>
      <c r="Y793"/>
      <c r="Z793"/>
      <c r="AA793"/>
    </row>
    <row r="794" spans="2:27" s="25" customFormat="1" ht="15.75" customHeight="1" x14ac:dyDescent="0.2">
      <c r="B794" s="89"/>
      <c r="C794"/>
      <c r="D794"/>
      <c r="E794" s="69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  <c r="V794"/>
      <c r="W794"/>
      <c r="X794"/>
      <c r="Y794"/>
      <c r="Z794"/>
      <c r="AA794"/>
    </row>
    <row r="795" spans="2:27" s="25" customFormat="1" ht="15.75" customHeight="1" x14ac:dyDescent="0.2">
      <c r="B795" s="89"/>
      <c r="C795"/>
      <c r="D795"/>
      <c r="E795" s="69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  <c r="V795"/>
      <c r="W795"/>
      <c r="X795"/>
      <c r="Y795"/>
      <c r="Z795"/>
      <c r="AA795"/>
    </row>
    <row r="796" spans="2:27" s="25" customFormat="1" ht="15.75" customHeight="1" x14ac:dyDescent="0.2">
      <c r="B796" s="89"/>
      <c r="C796"/>
      <c r="D796"/>
      <c r="E796" s="69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  <c r="V796"/>
      <c r="W796"/>
      <c r="X796"/>
      <c r="Y796"/>
      <c r="Z796"/>
      <c r="AA796"/>
    </row>
    <row r="797" spans="2:27" s="25" customFormat="1" ht="15.75" customHeight="1" x14ac:dyDescent="0.2">
      <c r="B797" s="89"/>
      <c r="C797"/>
      <c r="D797"/>
      <c r="E797" s="69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  <c r="V797"/>
      <c r="W797"/>
      <c r="X797"/>
      <c r="Y797"/>
      <c r="Z797"/>
      <c r="AA797"/>
    </row>
    <row r="798" spans="2:27" s="25" customFormat="1" ht="15.75" customHeight="1" x14ac:dyDescent="0.2">
      <c r="B798" s="89"/>
      <c r="C798"/>
      <c r="D798"/>
      <c r="E798" s="69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  <c r="V798"/>
      <c r="W798"/>
      <c r="X798"/>
      <c r="Y798"/>
      <c r="Z798"/>
      <c r="AA798"/>
    </row>
    <row r="799" spans="2:27" s="25" customFormat="1" ht="15.75" customHeight="1" x14ac:dyDescent="0.2">
      <c r="B799" s="89"/>
      <c r="C799"/>
      <c r="D799"/>
      <c r="E799" s="6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  <c r="V799"/>
      <c r="W799"/>
      <c r="X799"/>
      <c r="Y799"/>
      <c r="Z799"/>
      <c r="AA799"/>
    </row>
    <row r="800" spans="2:27" s="25" customFormat="1" ht="15.75" customHeight="1" x14ac:dyDescent="0.2">
      <c r="B800" s="89"/>
      <c r="C800"/>
      <c r="D800"/>
      <c r="E800" s="69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  <c r="V800"/>
      <c r="W800"/>
      <c r="X800"/>
      <c r="Y800"/>
      <c r="Z800"/>
      <c r="AA800"/>
    </row>
    <row r="801" spans="2:27" s="25" customFormat="1" ht="15.75" customHeight="1" x14ac:dyDescent="0.2">
      <c r="B801" s="89"/>
      <c r="C801"/>
      <c r="D801"/>
      <c r="E801" s="69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  <c r="V801"/>
      <c r="W801"/>
      <c r="X801"/>
      <c r="Y801"/>
      <c r="Z801"/>
      <c r="AA801"/>
    </row>
    <row r="802" spans="2:27" s="25" customFormat="1" ht="15.75" customHeight="1" x14ac:dyDescent="0.2">
      <c r="B802" s="89"/>
      <c r="C802"/>
      <c r="D802"/>
      <c r="E802" s="69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  <c r="V802"/>
      <c r="W802"/>
      <c r="X802"/>
      <c r="Y802"/>
      <c r="Z802"/>
      <c r="AA802"/>
    </row>
    <row r="803" spans="2:27" s="25" customFormat="1" ht="15.75" customHeight="1" x14ac:dyDescent="0.2">
      <c r="B803" s="89"/>
      <c r="C803"/>
      <c r="D803"/>
      <c r="E803" s="69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  <c r="V803"/>
      <c r="W803"/>
      <c r="X803"/>
      <c r="Y803"/>
      <c r="Z803"/>
      <c r="AA803"/>
    </row>
    <row r="804" spans="2:27" s="25" customFormat="1" ht="15.75" customHeight="1" x14ac:dyDescent="0.2">
      <c r="B804" s="89"/>
      <c r="C804"/>
      <c r="D804"/>
      <c r="E804" s="69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  <c r="V804"/>
      <c r="W804"/>
      <c r="X804"/>
      <c r="Y804"/>
      <c r="Z804"/>
      <c r="AA804"/>
    </row>
    <row r="805" spans="2:27" s="25" customFormat="1" ht="15.75" customHeight="1" x14ac:dyDescent="0.2">
      <c r="B805" s="89"/>
      <c r="C805"/>
      <c r="D805"/>
      <c r="E805" s="69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  <c r="V805"/>
      <c r="W805"/>
      <c r="X805"/>
      <c r="Y805"/>
      <c r="Z805"/>
      <c r="AA805"/>
    </row>
    <row r="806" spans="2:27" s="25" customFormat="1" ht="15.75" customHeight="1" x14ac:dyDescent="0.2">
      <c r="B806" s="89"/>
      <c r="C806"/>
      <c r="D806"/>
      <c r="E806" s="69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  <c r="V806"/>
      <c r="W806"/>
      <c r="X806"/>
      <c r="Y806"/>
      <c r="Z806"/>
      <c r="AA806"/>
    </row>
    <row r="807" spans="2:27" s="25" customFormat="1" ht="15.75" customHeight="1" x14ac:dyDescent="0.2">
      <c r="B807" s="89"/>
      <c r="C807"/>
      <c r="D807"/>
      <c r="E807" s="69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  <c r="V807"/>
      <c r="W807"/>
      <c r="X807"/>
      <c r="Y807"/>
      <c r="Z807"/>
      <c r="AA807"/>
    </row>
    <row r="808" spans="2:27" s="25" customFormat="1" ht="15.75" customHeight="1" x14ac:dyDescent="0.2">
      <c r="B808" s="89"/>
      <c r="C808"/>
      <c r="D808"/>
      <c r="E808" s="69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  <c r="V808"/>
      <c r="W808"/>
      <c r="X808"/>
      <c r="Y808"/>
      <c r="Z808"/>
      <c r="AA808"/>
    </row>
    <row r="809" spans="2:27" s="25" customFormat="1" ht="15.75" customHeight="1" x14ac:dyDescent="0.2">
      <c r="B809" s="89"/>
      <c r="C809"/>
      <c r="D809"/>
      <c r="E809" s="6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  <c r="V809"/>
      <c r="W809"/>
      <c r="X809"/>
      <c r="Y809"/>
      <c r="Z809"/>
      <c r="AA809"/>
    </row>
    <row r="810" spans="2:27" s="25" customFormat="1" ht="15.75" customHeight="1" x14ac:dyDescent="0.2">
      <c r="B810" s="89"/>
      <c r="C810"/>
      <c r="D810"/>
      <c r="E810" s="69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  <c r="V810"/>
      <c r="W810"/>
      <c r="X810"/>
      <c r="Y810"/>
      <c r="Z810"/>
      <c r="AA810"/>
    </row>
    <row r="811" spans="2:27" s="25" customFormat="1" ht="15.75" customHeight="1" x14ac:dyDescent="0.2">
      <c r="B811" s="89"/>
      <c r="C811"/>
      <c r="D811"/>
      <c r="E811" s="69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  <c r="V811"/>
      <c r="W811"/>
      <c r="X811"/>
      <c r="Y811"/>
      <c r="Z811"/>
      <c r="AA811"/>
    </row>
    <row r="812" spans="2:27" s="25" customFormat="1" ht="15.75" customHeight="1" x14ac:dyDescent="0.2">
      <c r="B812" s="89"/>
      <c r="C812"/>
      <c r="D812"/>
      <c r="E812" s="69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  <c r="V812"/>
      <c r="W812"/>
      <c r="X812"/>
      <c r="Y812"/>
      <c r="Z812"/>
      <c r="AA812"/>
    </row>
    <row r="813" spans="2:27" s="25" customFormat="1" ht="15.75" customHeight="1" x14ac:dyDescent="0.2">
      <c r="B813" s="89"/>
      <c r="C813"/>
      <c r="D813"/>
      <c r="E813" s="69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  <c r="V813"/>
      <c r="W813"/>
      <c r="X813"/>
      <c r="Y813"/>
      <c r="Z813"/>
      <c r="AA813"/>
    </row>
    <row r="814" spans="2:27" s="25" customFormat="1" ht="15.75" customHeight="1" x14ac:dyDescent="0.2">
      <c r="B814" s="89"/>
      <c r="C814"/>
      <c r="D814"/>
      <c r="E814" s="69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  <c r="V814"/>
      <c r="W814"/>
      <c r="X814"/>
      <c r="Y814"/>
      <c r="Z814"/>
      <c r="AA814"/>
    </row>
    <row r="815" spans="2:27" s="25" customFormat="1" ht="15.75" customHeight="1" x14ac:dyDescent="0.2">
      <c r="B815" s="89"/>
      <c r="C815"/>
      <c r="D815"/>
      <c r="E815" s="69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  <c r="V815"/>
      <c r="W815"/>
      <c r="X815"/>
      <c r="Y815"/>
      <c r="Z815"/>
      <c r="AA815"/>
    </row>
    <row r="816" spans="2:27" s="25" customFormat="1" ht="15.75" customHeight="1" x14ac:dyDescent="0.2">
      <c r="B816" s="89"/>
      <c r="C816"/>
      <c r="D816"/>
      <c r="E816" s="69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  <c r="V816"/>
      <c r="W816"/>
      <c r="X816"/>
      <c r="Y816"/>
      <c r="Z816"/>
      <c r="AA816"/>
    </row>
    <row r="817" spans="2:27" s="25" customFormat="1" ht="15.75" customHeight="1" x14ac:dyDescent="0.2">
      <c r="B817" s="89"/>
      <c r="C817"/>
      <c r="D817"/>
      <c r="E817" s="69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  <c r="V817"/>
      <c r="W817"/>
      <c r="X817"/>
      <c r="Y817"/>
      <c r="Z817"/>
      <c r="AA817"/>
    </row>
    <row r="818" spans="2:27" s="25" customFormat="1" ht="15.75" customHeight="1" x14ac:dyDescent="0.2">
      <c r="B818" s="89"/>
      <c r="C818"/>
      <c r="D818"/>
      <c r="E818" s="69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  <c r="U818"/>
      <c r="V818"/>
      <c r="W818"/>
      <c r="X818"/>
      <c r="Y818"/>
      <c r="Z818"/>
      <c r="AA818"/>
    </row>
    <row r="819" spans="2:27" s="25" customFormat="1" ht="15.75" customHeight="1" x14ac:dyDescent="0.2">
      <c r="B819" s="89"/>
      <c r="C819"/>
      <c r="D819"/>
      <c r="E819" s="6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/>
      <c r="U819"/>
      <c r="V819"/>
      <c r="W819"/>
      <c r="X819"/>
      <c r="Y819"/>
      <c r="Z819"/>
      <c r="AA819"/>
    </row>
    <row r="820" spans="2:27" s="25" customFormat="1" ht="15.75" customHeight="1" x14ac:dyDescent="0.2">
      <c r="B820" s="89"/>
      <c r="C820"/>
      <c r="D820"/>
      <c r="E820" s="69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  <c r="U820"/>
      <c r="V820"/>
      <c r="W820"/>
      <c r="X820"/>
      <c r="Y820"/>
      <c r="Z820"/>
      <c r="AA820"/>
    </row>
    <row r="821" spans="2:27" s="25" customFormat="1" ht="15.75" customHeight="1" x14ac:dyDescent="0.2">
      <c r="B821" s="89"/>
      <c r="C821"/>
      <c r="D821"/>
      <c r="E821" s="69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  <c r="V821"/>
      <c r="W821"/>
      <c r="X821"/>
      <c r="Y821"/>
      <c r="Z821"/>
      <c r="AA821"/>
    </row>
    <row r="822" spans="2:27" s="25" customFormat="1" ht="15.75" customHeight="1" x14ac:dyDescent="0.2">
      <c r="B822" s="89"/>
      <c r="C822"/>
      <c r="D822"/>
      <c r="E822" s="69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  <c r="V822"/>
      <c r="W822"/>
      <c r="X822"/>
      <c r="Y822"/>
      <c r="Z822"/>
      <c r="AA822"/>
    </row>
    <row r="823" spans="2:27" s="25" customFormat="1" ht="15.75" customHeight="1" x14ac:dyDescent="0.2">
      <c r="B823" s="89"/>
      <c r="C823"/>
      <c r="D823"/>
      <c r="E823" s="69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  <c r="V823"/>
      <c r="W823"/>
      <c r="X823"/>
      <c r="Y823"/>
      <c r="Z823"/>
      <c r="AA823"/>
    </row>
    <row r="824" spans="2:27" s="25" customFormat="1" ht="15.75" customHeight="1" x14ac:dyDescent="0.2">
      <c r="B824" s="89"/>
      <c r="C824"/>
      <c r="D824"/>
      <c r="E824" s="69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  <c r="U824"/>
      <c r="V824"/>
      <c r="W824"/>
      <c r="X824"/>
      <c r="Y824"/>
      <c r="Z824"/>
      <c r="AA824"/>
    </row>
    <row r="825" spans="2:27" s="25" customFormat="1" ht="15.75" customHeight="1" x14ac:dyDescent="0.2">
      <c r="B825" s="89"/>
      <c r="C825"/>
      <c r="D825"/>
      <c r="E825" s="69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  <c r="V825"/>
      <c r="W825"/>
      <c r="X825"/>
      <c r="Y825"/>
      <c r="Z825"/>
      <c r="AA825"/>
    </row>
    <row r="826" spans="2:27" s="25" customFormat="1" ht="15.75" customHeight="1" x14ac:dyDescent="0.2">
      <c r="B826" s="89"/>
      <c r="C826"/>
      <c r="D826"/>
      <c r="E826" s="69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  <c r="U826"/>
      <c r="V826"/>
      <c r="W826"/>
      <c r="X826"/>
      <c r="Y826"/>
      <c r="Z826"/>
      <c r="AA826"/>
    </row>
    <row r="827" spans="2:27" s="25" customFormat="1" ht="15.75" customHeight="1" x14ac:dyDescent="0.2">
      <c r="B827" s="89"/>
      <c r="C827"/>
      <c r="D827"/>
      <c r="E827" s="69"/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  <c r="U827"/>
      <c r="V827"/>
      <c r="W827"/>
      <c r="X827"/>
      <c r="Y827"/>
      <c r="Z827"/>
      <c r="AA827"/>
    </row>
    <row r="828" spans="2:27" s="25" customFormat="1" ht="15.75" customHeight="1" x14ac:dyDescent="0.2">
      <c r="B828" s="89"/>
      <c r="C828"/>
      <c r="D828"/>
      <c r="E828" s="69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  <c r="V828"/>
      <c r="W828"/>
      <c r="X828"/>
      <c r="Y828"/>
      <c r="Z828"/>
      <c r="AA828"/>
    </row>
    <row r="829" spans="2:27" s="25" customFormat="1" ht="15.75" customHeight="1" x14ac:dyDescent="0.2">
      <c r="B829" s="89"/>
      <c r="C829"/>
      <c r="D829"/>
      <c r="E829" s="6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  <c r="V829"/>
      <c r="W829"/>
      <c r="X829"/>
      <c r="Y829"/>
      <c r="Z829"/>
      <c r="AA829"/>
    </row>
    <row r="830" spans="2:27" s="25" customFormat="1" ht="15.75" customHeight="1" x14ac:dyDescent="0.2">
      <c r="B830" s="89"/>
      <c r="C830"/>
      <c r="D830"/>
      <c r="E830" s="69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  <c r="V830"/>
      <c r="W830"/>
      <c r="X830"/>
      <c r="Y830"/>
      <c r="Z830"/>
      <c r="AA830"/>
    </row>
    <row r="831" spans="2:27" s="25" customFormat="1" ht="15.75" customHeight="1" x14ac:dyDescent="0.2">
      <c r="B831" s="89"/>
      <c r="C831"/>
      <c r="D831"/>
      <c r="E831" s="69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  <c r="V831"/>
      <c r="W831"/>
      <c r="X831"/>
      <c r="Y831"/>
      <c r="Z831"/>
      <c r="AA831"/>
    </row>
    <row r="832" spans="2:27" s="25" customFormat="1" ht="15.75" customHeight="1" x14ac:dyDescent="0.2">
      <c r="B832" s="89"/>
      <c r="C832"/>
      <c r="D832"/>
      <c r="E832" s="69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  <c r="V832"/>
      <c r="W832"/>
      <c r="X832"/>
      <c r="Y832"/>
      <c r="Z832"/>
      <c r="AA832"/>
    </row>
    <row r="833" spans="2:27" s="25" customFormat="1" ht="15.75" customHeight="1" x14ac:dyDescent="0.2">
      <c r="B833" s="89"/>
      <c r="C833"/>
      <c r="D833"/>
      <c r="E833" s="69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  <c r="V833"/>
      <c r="W833"/>
      <c r="X833"/>
      <c r="Y833"/>
      <c r="Z833"/>
      <c r="AA833"/>
    </row>
    <row r="834" spans="2:27" s="25" customFormat="1" ht="15.75" customHeight="1" x14ac:dyDescent="0.2">
      <c r="B834" s="89"/>
      <c r="C834"/>
      <c r="D834"/>
      <c r="E834" s="69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  <c r="V834"/>
      <c r="W834"/>
      <c r="X834"/>
      <c r="Y834"/>
      <c r="Z834"/>
      <c r="AA834"/>
    </row>
    <row r="835" spans="2:27" s="25" customFormat="1" ht="15.75" customHeight="1" x14ac:dyDescent="0.2">
      <c r="B835" s="89"/>
      <c r="C835"/>
      <c r="D835"/>
      <c r="E835" s="69"/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  <c r="U835"/>
      <c r="V835"/>
      <c r="W835"/>
      <c r="X835"/>
      <c r="Y835"/>
      <c r="Z835"/>
      <c r="AA835"/>
    </row>
    <row r="836" spans="2:27" s="25" customFormat="1" ht="15.75" customHeight="1" x14ac:dyDescent="0.2">
      <c r="B836" s="89"/>
      <c r="C836"/>
      <c r="D836"/>
      <c r="E836" s="69"/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  <c r="U836"/>
      <c r="V836"/>
      <c r="W836"/>
      <c r="X836"/>
      <c r="Y836"/>
      <c r="Z836"/>
      <c r="AA836"/>
    </row>
    <row r="837" spans="2:27" s="25" customFormat="1" ht="15.75" customHeight="1" x14ac:dyDescent="0.2">
      <c r="B837" s="89"/>
      <c r="C837"/>
      <c r="D837"/>
      <c r="E837" s="69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  <c r="U837"/>
      <c r="V837"/>
      <c r="W837"/>
      <c r="X837"/>
      <c r="Y837"/>
      <c r="Z837"/>
      <c r="AA837"/>
    </row>
    <row r="838" spans="2:27" s="25" customFormat="1" ht="15.75" customHeight="1" x14ac:dyDescent="0.2">
      <c r="B838" s="89"/>
      <c r="C838"/>
      <c r="D838"/>
      <c r="E838" s="69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  <c r="V838"/>
      <c r="W838"/>
      <c r="X838"/>
      <c r="Y838"/>
      <c r="Z838"/>
      <c r="AA838"/>
    </row>
    <row r="839" spans="2:27" s="25" customFormat="1" ht="15.75" customHeight="1" x14ac:dyDescent="0.2">
      <c r="B839" s="89"/>
      <c r="C839"/>
      <c r="D839"/>
      <c r="E839" s="6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  <c r="V839"/>
      <c r="W839"/>
      <c r="X839"/>
      <c r="Y839"/>
      <c r="Z839"/>
      <c r="AA839"/>
    </row>
    <row r="840" spans="2:27" s="25" customFormat="1" ht="15.75" customHeight="1" x14ac:dyDescent="0.2">
      <c r="B840" s="89"/>
      <c r="C840"/>
      <c r="D840"/>
      <c r="E840" s="69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  <c r="V840"/>
      <c r="W840"/>
      <c r="X840"/>
      <c r="Y840"/>
      <c r="Z840"/>
      <c r="AA840"/>
    </row>
    <row r="841" spans="2:27" s="25" customFormat="1" ht="15.75" customHeight="1" x14ac:dyDescent="0.2">
      <c r="B841" s="89"/>
      <c r="C841"/>
      <c r="D841"/>
      <c r="E841" s="69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  <c r="V841"/>
      <c r="W841"/>
      <c r="X841"/>
      <c r="Y841"/>
      <c r="Z841"/>
      <c r="AA841"/>
    </row>
    <row r="842" spans="2:27" s="25" customFormat="1" ht="15.75" customHeight="1" x14ac:dyDescent="0.2">
      <c r="B842" s="89"/>
      <c r="C842"/>
      <c r="D842"/>
      <c r="E842" s="69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  <c r="U842"/>
      <c r="V842"/>
      <c r="W842"/>
      <c r="X842"/>
      <c r="Y842"/>
      <c r="Z842"/>
      <c r="AA842"/>
    </row>
    <row r="843" spans="2:27" s="25" customFormat="1" ht="15.75" customHeight="1" x14ac:dyDescent="0.2">
      <c r="B843" s="89"/>
      <c r="C843"/>
      <c r="D843"/>
      <c r="E843" s="69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  <c r="V843"/>
      <c r="W843"/>
      <c r="X843"/>
      <c r="Y843"/>
      <c r="Z843"/>
      <c r="AA843"/>
    </row>
    <row r="844" spans="2:27" s="25" customFormat="1" ht="15.75" customHeight="1" x14ac:dyDescent="0.2">
      <c r="B844" s="89"/>
      <c r="C844"/>
      <c r="D844"/>
      <c r="E844" s="69"/>
      <c r="F844"/>
      <c r="G844"/>
      <c r="H844"/>
      <c r="I844"/>
      <c r="J844"/>
      <c r="K844"/>
      <c r="L844"/>
      <c r="M844"/>
      <c r="N844"/>
      <c r="O844"/>
      <c r="P844"/>
      <c r="Q844"/>
      <c r="R844"/>
      <c r="S844"/>
      <c r="T844"/>
      <c r="U844"/>
      <c r="V844"/>
      <c r="W844"/>
      <c r="X844"/>
      <c r="Y844"/>
      <c r="Z844"/>
      <c r="AA844"/>
    </row>
    <row r="845" spans="2:27" s="25" customFormat="1" ht="15.75" customHeight="1" x14ac:dyDescent="0.2">
      <c r="B845" s="89"/>
      <c r="C845"/>
      <c r="D845"/>
      <c r="E845" s="69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  <c r="U845"/>
      <c r="V845"/>
      <c r="W845"/>
      <c r="X845"/>
      <c r="Y845"/>
      <c r="Z845"/>
      <c r="AA845"/>
    </row>
    <row r="846" spans="2:27" s="25" customFormat="1" ht="15.75" customHeight="1" x14ac:dyDescent="0.2">
      <c r="B846" s="89"/>
      <c r="C846"/>
      <c r="D846"/>
      <c r="E846" s="69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  <c r="V846"/>
      <c r="W846"/>
      <c r="X846"/>
      <c r="Y846"/>
      <c r="Z846"/>
      <c r="AA846"/>
    </row>
    <row r="847" spans="2:27" s="25" customFormat="1" ht="15.75" customHeight="1" x14ac:dyDescent="0.2">
      <c r="B847" s="89"/>
      <c r="C847"/>
      <c r="D847"/>
      <c r="E847" s="69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  <c r="U847"/>
      <c r="V847"/>
      <c r="W847"/>
      <c r="X847"/>
      <c r="Y847"/>
      <c r="Z847"/>
      <c r="AA847"/>
    </row>
    <row r="848" spans="2:27" s="25" customFormat="1" ht="15.75" customHeight="1" x14ac:dyDescent="0.2">
      <c r="B848" s="89"/>
      <c r="C848"/>
      <c r="D848"/>
      <c r="E848" s="69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/>
      <c r="U848"/>
      <c r="V848"/>
      <c r="W848"/>
      <c r="X848"/>
      <c r="Y848"/>
      <c r="Z848"/>
      <c r="AA848"/>
    </row>
    <row r="849" spans="2:27" s="25" customFormat="1" ht="15.75" customHeight="1" x14ac:dyDescent="0.2">
      <c r="B849" s="89"/>
      <c r="C849"/>
      <c r="D849"/>
      <c r="E849" s="6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  <c r="V849"/>
      <c r="W849"/>
      <c r="X849"/>
      <c r="Y849"/>
      <c r="Z849"/>
      <c r="AA849"/>
    </row>
    <row r="850" spans="2:27" s="25" customFormat="1" ht="15.75" customHeight="1" x14ac:dyDescent="0.2">
      <c r="B850" s="89"/>
      <c r="C850"/>
      <c r="D850"/>
      <c r="E850" s="69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  <c r="V850"/>
      <c r="W850"/>
      <c r="X850"/>
      <c r="Y850"/>
      <c r="Z850"/>
      <c r="AA850"/>
    </row>
    <row r="851" spans="2:27" s="25" customFormat="1" ht="15.75" customHeight="1" x14ac:dyDescent="0.2">
      <c r="B851" s="89"/>
      <c r="C851"/>
      <c r="D851"/>
      <c r="E851" s="69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  <c r="U851"/>
      <c r="V851"/>
      <c r="W851"/>
      <c r="X851"/>
      <c r="Y851"/>
      <c r="Z851"/>
      <c r="AA851"/>
    </row>
    <row r="852" spans="2:27" s="25" customFormat="1" ht="15.75" customHeight="1" x14ac:dyDescent="0.2">
      <c r="B852" s="89"/>
      <c r="C852"/>
      <c r="D852"/>
      <c r="E852" s="69"/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  <c r="U852"/>
      <c r="V852"/>
      <c r="W852"/>
      <c r="X852"/>
      <c r="Y852"/>
      <c r="Z852"/>
      <c r="AA852"/>
    </row>
    <row r="853" spans="2:27" s="25" customFormat="1" ht="15.75" customHeight="1" x14ac:dyDescent="0.2">
      <c r="B853" s="89"/>
      <c r="C853"/>
      <c r="D853"/>
      <c r="E853" s="69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  <c r="V853"/>
      <c r="W853"/>
      <c r="X853"/>
      <c r="Y853"/>
      <c r="Z853"/>
      <c r="AA853"/>
    </row>
    <row r="854" spans="2:27" s="25" customFormat="1" ht="15.75" customHeight="1" x14ac:dyDescent="0.2">
      <c r="B854" s="89"/>
      <c r="C854"/>
      <c r="D854"/>
      <c r="E854" s="69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  <c r="V854"/>
      <c r="W854"/>
      <c r="X854"/>
      <c r="Y854"/>
      <c r="Z854"/>
      <c r="AA854"/>
    </row>
    <row r="855" spans="2:27" s="25" customFormat="1" ht="15.75" customHeight="1" x14ac:dyDescent="0.2">
      <c r="B855" s="89"/>
      <c r="C855"/>
      <c r="D855"/>
      <c r="E855" s="69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  <c r="U855"/>
      <c r="V855"/>
      <c r="W855"/>
      <c r="X855"/>
      <c r="Y855"/>
      <c r="Z855"/>
      <c r="AA855"/>
    </row>
    <row r="856" spans="2:27" s="25" customFormat="1" ht="15.75" customHeight="1" x14ac:dyDescent="0.2">
      <c r="B856" s="89"/>
      <c r="C856"/>
      <c r="D856"/>
      <c r="E856" s="69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  <c r="U856"/>
      <c r="V856"/>
      <c r="W856"/>
      <c r="X856"/>
      <c r="Y856"/>
      <c r="Z856"/>
      <c r="AA856"/>
    </row>
    <row r="857" spans="2:27" s="25" customFormat="1" ht="15.75" customHeight="1" x14ac:dyDescent="0.2">
      <c r="B857" s="89"/>
      <c r="C857"/>
      <c r="D857"/>
      <c r="E857" s="69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  <c r="U857"/>
      <c r="V857"/>
      <c r="W857"/>
      <c r="X857"/>
      <c r="Y857"/>
      <c r="Z857"/>
      <c r="AA857"/>
    </row>
    <row r="858" spans="2:27" s="25" customFormat="1" ht="15.75" customHeight="1" x14ac:dyDescent="0.2">
      <c r="B858" s="89"/>
      <c r="C858"/>
      <c r="D858"/>
      <c r="E858" s="69"/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  <c r="U858"/>
      <c r="V858"/>
      <c r="W858"/>
      <c r="X858"/>
      <c r="Y858"/>
      <c r="Z858"/>
      <c r="AA858"/>
    </row>
    <row r="859" spans="2:27" s="25" customFormat="1" ht="15.75" customHeight="1" x14ac:dyDescent="0.2">
      <c r="B859" s="89"/>
      <c r="C859"/>
      <c r="D859"/>
      <c r="E859" s="69"/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  <c r="U859"/>
      <c r="V859"/>
      <c r="W859"/>
      <c r="X859"/>
      <c r="Y859"/>
      <c r="Z859"/>
      <c r="AA859"/>
    </row>
    <row r="860" spans="2:27" s="25" customFormat="1" ht="15.75" customHeight="1" x14ac:dyDescent="0.2">
      <c r="B860" s="89"/>
      <c r="C860"/>
      <c r="D860"/>
      <c r="E860" s="69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  <c r="U860"/>
      <c r="V860"/>
      <c r="W860"/>
      <c r="X860"/>
      <c r="Y860"/>
      <c r="Z860"/>
      <c r="AA860"/>
    </row>
    <row r="861" spans="2:27" s="25" customFormat="1" ht="15.75" customHeight="1" x14ac:dyDescent="0.2">
      <c r="B861" s="89"/>
      <c r="C861"/>
      <c r="D861"/>
      <c r="E861" s="69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  <c r="V861"/>
      <c r="W861"/>
      <c r="X861"/>
      <c r="Y861"/>
      <c r="Z861"/>
      <c r="AA861"/>
    </row>
    <row r="862" spans="2:27" s="25" customFormat="1" ht="15.75" customHeight="1" x14ac:dyDescent="0.2">
      <c r="B862" s="89"/>
      <c r="C862"/>
      <c r="D862"/>
      <c r="E862" s="69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  <c r="V862"/>
      <c r="W862"/>
      <c r="X862"/>
      <c r="Y862"/>
      <c r="Z862"/>
      <c r="AA862"/>
    </row>
    <row r="863" spans="2:27" s="25" customFormat="1" ht="15.75" customHeight="1" x14ac:dyDescent="0.2">
      <c r="B863" s="89"/>
      <c r="C863"/>
      <c r="D863"/>
      <c r="E863" s="69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  <c r="V863"/>
      <c r="W863"/>
      <c r="X863"/>
      <c r="Y863"/>
      <c r="Z863"/>
      <c r="AA863"/>
    </row>
    <row r="864" spans="2:27" s="25" customFormat="1" ht="15.75" customHeight="1" x14ac:dyDescent="0.2">
      <c r="B864" s="89"/>
      <c r="C864"/>
      <c r="D864"/>
      <c r="E864" s="69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/>
      <c r="U864"/>
      <c r="V864"/>
      <c r="W864"/>
      <c r="X864"/>
      <c r="Y864"/>
      <c r="Z864"/>
      <c r="AA864"/>
    </row>
    <row r="865" spans="2:27" s="25" customFormat="1" ht="15.75" customHeight="1" x14ac:dyDescent="0.2">
      <c r="B865" s="89"/>
      <c r="C865"/>
      <c r="D865"/>
      <c r="E865" s="69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  <c r="V865"/>
      <c r="W865"/>
      <c r="X865"/>
      <c r="Y865"/>
      <c r="Z865"/>
      <c r="AA865"/>
    </row>
    <row r="866" spans="2:27" s="25" customFormat="1" ht="15.75" customHeight="1" x14ac:dyDescent="0.2">
      <c r="B866" s="89"/>
      <c r="C866"/>
      <c r="D866"/>
      <c r="E866" s="69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  <c r="U866"/>
      <c r="V866"/>
      <c r="W866"/>
      <c r="X866"/>
      <c r="Y866"/>
      <c r="Z866"/>
      <c r="AA866"/>
    </row>
    <row r="867" spans="2:27" s="25" customFormat="1" ht="15.75" customHeight="1" x14ac:dyDescent="0.2">
      <c r="B867" s="89"/>
      <c r="C867"/>
      <c r="D867"/>
      <c r="E867" s="69"/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  <c r="T867"/>
      <c r="U867"/>
      <c r="V867"/>
      <c r="W867"/>
      <c r="X867"/>
      <c r="Y867"/>
      <c r="Z867"/>
      <c r="AA867"/>
    </row>
    <row r="868" spans="2:27" s="25" customFormat="1" ht="15.75" customHeight="1" x14ac:dyDescent="0.2">
      <c r="B868" s="89"/>
      <c r="C868"/>
      <c r="D868"/>
      <c r="E868" s="69"/>
      <c r="F868"/>
      <c r="G868"/>
      <c r="H868"/>
      <c r="I868"/>
      <c r="J868"/>
      <c r="K868"/>
      <c r="L868"/>
      <c r="M868"/>
      <c r="N868"/>
      <c r="O868"/>
      <c r="P868"/>
      <c r="Q868"/>
      <c r="R868"/>
      <c r="S868"/>
      <c r="T868"/>
      <c r="U868"/>
      <c r="V868"/>
      <c r="W868"/>
      <c r="X868"/>
      <c r="Y868"/>
      <c r="Z868"/>
      <c r="AA868"/>
    </row>
    <row r="869" spans="2:27" s="25" customFormat="1" ht="15.75" customHeight="1" x14ac:dyDescent="0.2">
      <c r="B869" s="89"/>
      <c r="C869"/>
      <c r="D869"/>
      <c r="E869" s="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  <c r="V869"/>
      <c r="W869"/>
      <c r="X869"/>
      <c r="Y869"/>
      <c r="Z869"/>
      <c r="AA869"/>
    </row>
    <row r="870" spans="2:27" s="25" customFormat="1" ht="15.75" customHeight="1" x14ac:dyDescent="0.2">
      <c r="B870" s="89"/>
      <c r="C870"/>
      <c r="D870"/>
      <c r="E870" s="69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  <c r="V870"/>
      <c r="W870"/>
      <c r="X870"/>
      <c r="Y870"/>
      <c r="Z870"/>
      <c r="AA870"/>
    </row>
    <row r="871" spans="2:27" s="25" customFormat="1" ht="15.75" customHeight="1" x14ac:dyDescent="0.2">
      <c r="B871" s="89"/>
      <c r="C871"/>
      <c r="D871"/>
      <c r="E871" s="69"/>
      <c r="F871"/>
      <c r="G871"/>
      <c r="H871"/>
      <c r="I871"/>
      <c r="J871"/>
      <c r="K871"/>
      <c r="L871"/>
      <c r="M871"/>
      <c r="N871"/>
      <c r="O871"/>
      <c r="P871"/>
      <c r="Q871"/>
      <c r="R871"/>
      <c r="S871"/>
      <c r="T871"/>
      <c r="U871"/>
      <c r="V871"/>
      <c r="W871"/>
      <c r="X871"/>
      <c r="Y871"/>
      <c r="Z871"/>
      <c r="AA871"/>
    </row>
    <row r="872" spans="2:27" s="25" customFormat="1" ht="15.75" customHeight="1" x14ac:dyDescent="0.2">
      <c r="B872" s="89"/>
      <c r="C872"/>
      <c r="D872"/>
      <c r="E872" s="69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  <c r="U872"/>
      <c r="V872"/>
      <c r="W872"/>
      <c r="X872"/>
      <c r="Y872"/>
      <c r="Z872"/>
      <c r="AA872"/>
    </row>
    <row r="873" spans="2:27" s="25" customFormat="1" ht="15.75" customHeight="1" x14ac:dyDescent="0.2">
      <c r="B873" s="89"/>
      <c r="C873"/>
      <c r="D873"/>
      <c r="E873" s="69"/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  <c r="T873"/>
      <c r="U873"/>
      <c r="V873"/>
      <c r="W873"/>
      <c r="X873"/>
      <c r="Y873"/>
      <c r="Z873"/>
      <c r="AA873"/>
    </row>
    <row r="874" spans="2:27" s="25" customFormat="1" ht="15.75" customHeight="1" x14ac:dyDescent="0.2">
      <c r="B874" s="89"/>
      <c r="C874"/>
      <c r="D874"/>
      <c r="E874" s="69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  <c r="V874"/>
      <c r="W874"/>
      <c r="X874"/>
      <c r="Y874"/>
      <c r="Z874"/>
      <c r="AA874"/>
    </row>
    <row r="875" spans="2:27" s="25" customFormat="1" ht="15.75" customHeight="1" x14ac:dyDescent="0.2">
      <c r="B875" s="89"/>
      <c r="C875"/>
      <c r="D875"/>
      <c r="E875" s="69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  <c r="V875"/>
      <c r="W875"/>
      <c r="X875"/>
      <c r="Y875"/>
      <c r="Z875"/>
      <c r="AA875"/>
    </row>
    <row r="876" spans="2:27" s="25" customFormat="1" ht="15.75" customHeight="1" x14ac:dyDescent="0.2">
      <c r="B876" s="89"/>
      <c r="C876"/>
      <c r="D876"/>
      <c r="E876" s="69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  <c r="V876"/>
      <c r="W876"/>
      <c r="X876"/>
      <c r="Y876"/>
      <c r="Z876"/>
      <c r="AA876"/>
    </row>
    <row r="877" spans="2:27" s="25" customFormat="1" ht="15.75" customHeight="1" x14ac:dyDescent="0.2">
      <c r="B877" s="89"/>
      <c r="C877"/>
      <c r="D877"/>
      <c r="E877" s="69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  <c r="U877"/>
      <c r="V877"/>
      <c r="W877"/>
      <c r="X877"/>
      <c r="Y877"/>
      <c r="Z877"/>
      <c r="AA877"/>
    </row>
    <row r="878" spans="2:27" s="25" customFormat="1" ht="15.75" customHeight="1" x14ac:dyDescent="0.2">
      <c r="B878" s="89"/>
      <c r="C878"/>
      <c r="D878"/>
      <c r="E878" s="69"/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  <c r="T878"/>
      <c r="U878"/>
      <c r="V878"/>
      <c r="W878"/>
      <c r="X878"/>
      <c r="Y878"/>
      <c r="Z878"/>
      <c r="AA878"/>
    </row>
    <row r="879" spans="2:27" s="25" customFormat="1" ht="15.75" customHeight="1" x14ac:dyDescent="0.2">
      <c r="B879" s="89"/>
      <c r="C879"/>
      <c r="D879"/>
      <c r="E879" s="6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  <c r="U879"/>
      <c r="V879"/>
      <c r="W879"/>
      <c r="X879"/>
      <c r="Y879"/>
      <c r="Z879"/>
      <c r="AA879"/>
    </row>
    <row r="880" spans="2:27" s="25" customFormat="1" ht="15.75" customHeight="1" x14ac:dyDescent="0.2">
      <c r="B880" s="89"/>
      <c r="C880"/>
      <c r="D880"/>
      <c r="E880" s="69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  <c r="U880"/>
      <c r="V880"/>
      <c r="W880"/>
      <c r="X880"/>
      <c r="Y880"/>
      <c r="Z880"/>
      <c r="AA880"/>
    </row>
    <row r="881" spans="2:27" s="25" customFormat="1" ht="15.75" customHeight="1" x14ac:dyDescent="0.2">
      <c r="B881" s="89"/>
      <c r="C881"/>
      <c r="D881"/>
      <c r="E881" s="69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  <c r="U881"/>
      <c r="V881"/>
      <c r="W881"/>
      <c r="X881"/>
      <c r="Y881"/>
      <c r="Z881"/>
      <c r="AA881"/>
    </row>
    <row r="882" spans="2:27" s="25" customFormat="1" ht="15.75" customHeight="1" x14ac:dyDescent="0.2">
      <c r="B882" s="89"/>
      <c r="C882"/>
      <c r="D882"/>
      <c r="E882" s="69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  <c r="U882"/>
      <c r="V882"/>
      <c r="W882"/>
      <c r="X882"/>
      <c r="Y882"/>
      <c r="Z882"/>
      <c r="AA882"/>
    </row>
    <row r="883" spans="2:27" s="25" customFormat="1" ht="15.75" customHeight="1" x14ac:dyDescent="0.2">
      <c r="B883" s="89"/>
      <c r="C883"/>
      <c r="D883"/>
      <c r="E883" s="69"/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  <c r="T883"/>
      <c r="U883"/>
      <c r="V883"/>
      <c r="W883"/>
      <c r="X883"/>
      <c r="Y883"/>
      <c r="Z883"/>
      <c r="AA883"/>
    </row>
    <row r="884" spans="2:27" s="25" customFormat="1" ht="15.75" customHeight="1" x14ac:dyDescent="0.2">
      <c r="B884" s="89"/>
      <c r="C884"/>
      <c r="D884"/>
      <c r="E884" s="69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  <c r="V884"/>
      <c r="W884"/>
      <c r="X884"/>
      <c r="Y884"/>
      <c r="Z884"/>
      <c r="AA884"/>
    </row>
    <row r="885" spans="2:27" s="25" customFormat="1" ht="15.75" customHeight="1" x14ac:dyDescent="0.2">
      <c r="B885" s="89"/>
      <c r="C885"/>
      <c r="D885"/>
      <c r="E885" s="69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  <c r="V885"/>
      <c r="W885"/>
      <c r="X885"/>
      <c r="Y885"/>
      <c r="Z885"/>
      <c r="AA885"/>
    </row>
    <row r="886" spans="2:27" s="25" customFormat="1" ht="15.75" customHeight="1" x14ac:dyDescent="0.2">
      <c r="B886" s="89"/>
      <c r="C886"/>
      <c r="D886"/>
      <c r="E886" s="69"/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  <c r="T886"/>
      <c r="U886"/>
      <c r="V886"/>
      <c r="W886"/>
      <c r="X886"/>
      <c r="Y886"/>
      <c r="Z886"/>
      <c r="AA886"/>
    </row>
    <row r="887" spans="2:27" s="25" customFormat="1" ht="15.75" customHeight="1" x14ac:dyDescent="0.2">
      <c r="B887" s="89"/>
      <c r="C887"/>
      <c r="D887"/>
      <c r="E887" s="69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  <c r="V887"/>
      <c r="W887"/>
      <c r="X887"/>
      <c r="Y887"/>
      <c r="Z887"/>
      <c r="AA887"/>
    </row>
    <row r="888" spans="2:27" s="25" customFormat="1" ht="15.75" customHeight="1" x14ac:dyDescent="0.2">
      <c r="B888" s="89"/>
      <c r="C888"/>
      <c r="D888"/>
      <c r="E888" s="69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  <c r="U888"/>
      <c r="V888"/>
      <c r="W888"/>
      <c r="X888"/>
      <c r="Y888"/>
      <c r="Z888"/>
      <c r="AA888"/>
    </row>
    <row r="889" spans="2:27" s="25" customFormat="1" ht="15.75" customHeight="1" x14ac:dyDescent="0.2">
      <c r="B889" s="89"/>
      <c r="C889"/>
      <c r="D889"/>
      <c r="E889" s="6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  <c r="V889"/>
      <c r="W889"/>
      <c r="X889"/>
      <c r="Y889"/>
      <c r="Z889"/>
      <c r="AA889"/>
    </row>
    <row r="890" spans="2:27" s="25" customFormat="1" ht="15.75" customHeight="1" x14ac:dyDescent="0.2">
      <c r="B890" s="89"/>
      <c r="C890"/>
      <c r="D890"/>
      <c r="E890" s="69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  <c r="V890"/>
      <c r="W890"/>
      <c r="X890"/>
      <c r="Y890"/>
      <c r="Z890"/>
      <c r="AA890"/>
    </row>
    <row r="891" spans="2:27" s="25" customFormat="1" ht="15.75" customHeight="1" x14ac:dyDescent="0.2">
      <c r="B891" s="89"/>
      <c r="C891"/>
      <c r="D891"/>
      <c r="E891" s="69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  <c r="V891"/>
      <c r="W891"/>
      <c r="X891"/>
      <c r="Y891"/>
      <c r="Z891"/>
      <c r="AA891"/>
    </row>
    <row r="892" spans="2:27" s="25" customFormat="1" ht="15.75" customHeight="1" x14ac:dyDescent="0.2">
      <c r="B892" s="89"/>
      <c r="C892"/>
      <c r="D892"/>
      <c r="E892" s="69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  <c r="V892"/>
      <c r="W892"/>
      <c r="X892"/>
      <c r="Y892"/>
      <c r="Z892"/>
      <c r="AA892"/>
    </row>
    <row r="893" spans="2:27" s="25" customFormat="1" ht="15.75" customHeight="1" x14ac:dyDescent="0.2">
      <c r="B893" s="89"/>
      <c r="C893"/>
      <c r="D893"/>
      <c r="E893" s="69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  <c r="U893"/>
      <c r="V893"/>
      <c r="W893"/>
      <c r="X893"/>
      <c r="Y893"/>
      <c r="Z893"/>
      <c r="AA893"/>
    </row>
    <row r="894" spans="2:27" s="25" customFormat="1" ht="15.75" customHeight="1" x14ac:dyDescent="0.2">
      <c r="B894" s="89"/>
      <c r="C894"/>
      <c r="D894"/>
      <c r="E894" s="69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  <c r="V894"/>
      <c r="W894"/>
      <c r="X894"/>
      <c r="Y894"/>
      <c r="Z894"/>
      <c r="AA894"/>
    </row>
    <row r="895" spans="2:27" s="25" customFormat="1" ht="15.75" customHeight="1" x14ac:dyDescent="0.2">
      <c r="B895" s="89"/>
      <c r="C895"/>
      <c r="D895"/>
      <c r="E895" s="69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  <c r="V895"/>
      <c r="W895"/>
      <c r="X895"/>
      <c r="Y895"/>
      <c r="Z895"/>
      <c r="AA895"/>
    </row>
    <row r="896" spans="2:27" s="25" customFormat="1" ht="15.75" customHeight="1" x14ac:dyDescent="0.2">
      <c r="B896" s="89"/>
      <c r="C896"/>
      <c r="D896"/>
      <c r="E896" s="69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  <c r="V896"/>
      <c r="W896"/>
      <c r="X896"/>
      <c r="Y896"/>
      <c r="Z896"/>
      <c r="AA896"/>
    </row>
    <row r="897" spans="2:27" s="25" customFormat="1" ht="15.75" customHeight="1" x14ac:dyDescent="0.2">
      <c r="B897" s="89"/>
      <c r="C897"/>
      <c r="D897"/>
      <c r="E897" s="69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  <c r="V897"/>
      <c r="W897"/>
      <c r="X897"/>
      <c r="Y897"/>
      <c r="Z897"/>
      <c r="AA897"/>
    </row>
    <row r="898" spans="2:27" s="25" customFormat="1" ht="15.75" customHeight="1" x14ac:dyDescent="0.2">
      <c r="B898" s="89"/>
      <c r="C898"/>
      <c r="D898"/>
      <c r="E898" s="69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  <c r="V898"/>
      <c r="W898"/>
      <c r="X898"/>
      <c r="Y898"/>
      <c r="Z898"/>
      <c r="AA898"/>
    </row>
    <row r="899" spans="2:27" s="25" customFormat="1" ht="15.75" customHeight="1" x14ac:dyDescent="0.2">
      <c r="B899" s="89"/>
      <c r="C899"/>
      <c r="D899"/>
      <c r="E899" s="6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  <c r="V899"/>
      <c r="W899"/>
      <c r="X899"/>
      <c r="Y899"/>
      <c r="Z899"/>
      <c r="AA899"/>
    </row>
    <row r="900" spans="2:27" s="25" customFormat="1" ht="15.75" customHeight="1" x14ac:dyDescent="0.2">
      <c r="B900" s="89"/>
      <c r="C900"/>
      <c r="D900"/>
      <c r="E900" s="69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  <c r="V900"/>
      <c r="W900"/>
      <c r="X900"/>
      <c r="Y900"/>
      <c r="Z900"/>
      <c r="AA900"/>
    </row>
    <row r="901" spans="2:27" s="25" customFormat="1" ht="15.75" customHeight="1" x14ac:dyDescent="0.2">
      <c r="B901" s="89"/>
      <c r="C901"/>
      <c r="D901"/>
      <c r="E901" s="69"/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/>
      <c r="U901"/>
      <c r="V901"/>
      <c r="W901"/>
      <c r="X901"/>
      <c r="Y901"/>
      <c r="Z901"/>
      <c r="AA901"/>
    </row>
    <row r="902" spans="2:27" s="25" customFormat="1" ht="15.75" customHeight="1" x14ac:dyDescent="0.2">
      <c r="B902" s="89"/>
      <c r="C902"/>
      <c r="D902"/>
      <c r="E902" s="69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  <c r="V902"/>
      <c r="W902"/>
      <c r="X902"/>
      <c r="Y902"/>
      <c r="Z902"/>
      <c r="AA902"/>
    </row>
    <row r="903" spans="2:27" s="25" customFormat="1" ht="15.75" customHeight="1" x14ac:dyDescent="0.2">
      <c r="B903" s="89"/>
      <c r="C903"/>
      <c r="D903"/>
      <c r="E903" s="69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  <c r="V903"/>
      <c r="W903"/>
      <c r="X903"/>
      <c r="Y903"/>
      <c r="Z903"/>
      <c r="AA903"/>
    </row>
    <row r="904" spans="2:27" s="25" customFormat="1" ht="15.75" customHeight="1" x14ac:dyDescent="0.2">
      <c r="B904" s="89"/>
      <c r="C904"/>
      <c r="D904"/>
      <c r="E904" s="69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  <c r="V904"/>
      <c r="W904"/>
      <c r="X904"/>
      <c r="Y904"/>
      <c r="Z904"/>
      <c r="AA904"/>
    </row>
    <row r="905" spans="2:27" s="25" customFormat="1" ht="15.75" customHeight="1" x14ac:dyDescent="0.2">
      <c r="B905" s="89"/>
      <c r="C905"/>
      <c r="D905"/>
      <c r="E905" s="69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  <c r="V905"/>
      <c r="W905"/>
      <c r="X905"/>
      <c r="Y905"/>
      <c r="Z905"/>
      <c r="AA905"/>
    </row>
    <row r="906" spans="2:27" s="25" customFormat="1" ht="15.75" customHeight="1" x14ac:dyDescent="0.2">
      <c r="B906" s="89"/>
      <c r="C906"/>
      <c r="D906"/>
      <c r="E906" s="69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  <c r="V906"/>
      <c r="W906"/>
      <c r="X906"/>
      <c r="Y906"/>
      <c r="Z906"/>
      <c r="AA906"/>
    </row>
    <row r="907" spans="2:27" s="25" customFormat="1" ht="15.75" customHeight="1" x14ac:dyDescent="0.2">
      <c r="B907" s="89"/>
      <c r="C907"/>
      <c r="D907"/>
      <c r="E907" s="69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  <c r="V907"/>
      <c r="W907"/>
      <c r="X907"/>
      <c r="Y907"/>
      <c r="Z907"/>
      <c r="AA907"/>
    </row>
    <row r="908" spans="2:27" s="25" customFormat="1" ht="15.75" customHeight="1" x14ac:dyDescent="0.2">
      <c r="B908" s="89"/>
      <c r="C908"/>
      <c r="D908"/>
      <c r="E908" s="69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  <c r="V908"/>
      <c r="W908"/>
      <c r="X908"/>
      <c r="Y908"/>
      <c r="Z908"/>
      <c r="AA908"/>
    </row>
    <row r="909" spans="2:27" s="25" customFormat="1" ht="15.75" customHeight="1" x14ac:dyDescent="0.2">
      <c r="B909" s="89"/>
      <c r="C909"/>
      <c r="D909"/>
      <c r="E909" s="6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  <c r="V909"/>
      <c r="W909"/>
      <c r="X909"/>
      <c r="Y909"/>
      <c r="Z909"/>
      <c r="AA909"/>
    </row>
    <row r="910" spans="2:27" s="25" customFormat="1" ht="15.75" customHeight="1" x14ac:dyDescent="0.2">
      <c r="B910" s="89"/>
      <c r="C910"/>
      <c r="D910"/>
      <c r="E910" s="69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  <c r="V910"/>
      <c r="W910"/>
      <c r="X910"/>
      <c r="Y910"/>
      <c r="Z910"/>
      <c r="AA910"/>
    </row>
    <row r="911" spans="2:27" s="25" customFormat="1" ht="15.75" customHeight="1" x14ac:dyDescent="0.2">
      <c r="B911" s="89"/>
      <c r="C911"/>
      <c r="D911"/>
      <c r="E911" s="69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  <c r="V911"/>
      <c r="W911"/>
      <c r="X911"/>
      <c r="Y911"/>
      <c r="Z911"/>
      <c r="AA911"/>
    </row>
    <row r="912" spans="2:27" s="25" customFormat="1" ht="15.75" customHeight="1" x14ac:dyDescent="0.2">
      <c r="B912" s="89"/>
      <c r="C912"/>
      <c r="D912"/>
      <c r="E912" s="69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  <c r="V912"/>
      <c r="W912"/>
      <c r="X912"/>
      <c r="Y912"/>
      <c r="Z912"/>
      <c r="AA912"/>
    </row>
    <row r="913" spans="2:27" s="25" customFormat="1" ht="15.75" customHeight="1" x14ac:dyDescent="0.2">
      <c r="B913" s="89"/>
      <c r="C913"/>
      <c r="D913"/>
      <c r="E913" s="69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  <c r="V913"/>
      <c r="W913"/>
      <c r="X913"/>
      <c r="Y913"/>
      <c r="Z913"/>
      <c r="AA913"/>
    </row>
    <row r="914" spans="2:27" s="25" customFormat="1" ht="15.75" customHeight="1" x14ac:dyDescent="0.2">
      <c r="B914" s="89"/>
      <c r="C914"/>
      <c r="D914"/>
      <c r="E914" s="69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  <c r="V914"/>
      <c r="W914"/>
      <c r="X914"/>
      <c r="Y914"/>
      <c r="Z914"/>
      <c r="AA914"/>
    </row>
    <row r="915" spans="2:27" s="25" customFormat="1" ht="15.75" customHeight="1" x14ac:dyDescent="0.2">
      <c r="B915" s="89"/>
      <c r="C915"/>
      <c r="D915"/>
      <c r="E915" s="69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  <c r="V915"/>
      <c r="W915"/>
      <c r="X915"/>
      <c r="Y915"/>
      <c r="Z915"/>
      <c r="AA915"/>
    </row>
    <row r="916" spans="2:27" s="25" customFormat="1" ht="15.75" customHeight="1" x14ac:dyDescent="0.2">
      <c r="B916" s="89"/>
      <c r="C916"/>
      <c r="D916"/>
      <c r="E916" s="69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  <c r="V916"/>
      <c r="W916"/>
      <c r="X916"/>
      <c r="Y916"/>
      <c r="Z916"/>
      <c r="AA916"/>
    </row>
    <row r="917" spans="2:27" s="25" customFormat="1" ht="15.75" customHeight="1" x14ac:dyDescent="0.2">
      <c r="B917" s="89"/>
      <c r="C917"/>
      <c r="D917"/>
      <c r="E917" s="69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  <c r="V917"/>
      <c r="W917"/>
      <c r="X917"/>
      <c r="Y917"/>
      <c r="Z917"/>
      <c r="AA917"/>
    </row>
    <row r="918" spans="2:27" s="25" customFormat="1" ht="15.75" customHeight="1" x14ac:dyDescent="0.2">
      <c r="B918" s="89"/>
      <c r="C918"/>
      <c r="D918"/>
      <c r="E918" s="69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  <c r="V918"/>
      <c r="W918"/>
      <c r="X918"/>
      <c r="Y918"/>
      <c r="Z918"/>
      <c r="AA918"/>
    </row>
    <row r="919" spans="2:27" s="25" customFormat="1" ht="15.75" customHeight="1" x14ac:dyDescent="0.2">
      <c r="B919" s="89"/>
      <c r="C919"/>
      <c r="D919"/>
      <c r="E919" s="6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  <c r="V919"/>
      <c r="W919"/>
      <c r="X919"/>
      <c r="Y919"/>
      <c r="Z919"/>
      <c r="AA919"/>
    </row>
    <row r="920" spans="2:27" s="25" customFormat="1" ht="15.75" customHeight="1" x14ac:dyDescent="0.2">
      <c r="B920" s="89"/>
      <c r="C920"/>
      <c r="D920"/>
      <c r="E920" s="69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  <c r="V920"/>
      <c r="W920"/>
      <c r="X920"/>
      <c r="Y920"/>
      <c r="Z920"/>
      <c r="AA920"/>
    </row>
    <row r="921" spans="2:27" s="25" customFormat="1" ht="15.75" customHeight="1" x14ac:dyDescent="0.2">
      <c r="B921" s="89"/>
      <c r="C921"/>
      <c r="D921"/>
      <c r="E921" s="69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  <c r="V921"/>
      <c r="W921"/>
      <c r="X921"/>
      <c r="Y921"/>
      <c r="Z921"/>
      <c r="AA921"/>
    </row>
    <row r="922" spans="2:27" s="25" customFormat="1" ht="15.75" customHeight="1" x14ac:dyDescent="0.2">
      <c r="B922" s="89"/>
      <c r="C922"/>
      <c r="D922"/>
      <c r="E922" s="69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  <c r="V922"/>
      <c r="W922"/>
      <c r="X922"/>
      <c r="Y922"/>
      <c r="Z922"/>
      <c r="AA922"/>
    </row>
    <row r="923" spans="2:27" s="25" customFormat="1" ht="15.75" customHeight="1" x14ac:dyDescent="0.2">
      <c r="B923" s="89"/>
      <c r="C923"/>
      <c r="D923"/>
      <c r="E923" s="69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  <c r="V923"/>
      <c r="W923"/>
      <c r="X923"/>
      <c r="Y923"/>
      <c r="Z923"/>
      <c r="AA923"/>
    </row>
    <row r="924" spans="2:27" s="25" customFormat="1" ht="15.75" customHeight="1" x14ac:dyDescent="0.2">
      <c r="B924" s="89"/>
      <c r="C924"/>
      <c r="D924"/>
      <c r="E924" s="69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  <c r="V924"/>
      <c r="W924"/>
      <c r="X924"/>
      <c r="Y924"/>
      <c r="Z924"/>
      <c r="AA924"/>
    </row>
    <row r="925" spans="2:27" s="25" customFormat="1" ht="15.75" customHeight="1" x14ac:dyDescent="0.2">
      <c r="B925" s="89"/>
      <c r="C925"/>
      <c r="D925"/>
      <c r="E925" s="69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  <c r="V925"/>
      <c r="W925"/>
      <c r="X925"/>
      <c r="Y925"/>
      <c r="Z925"/>
      <c r="AA925"/>
    </row>
    <row r="926" spans="2:27" s="25" customFormat="1" ht="15.75" customHeight="1" x14ac:dyDescent="0.2">
      <c r="B926" s="89"/>
      <c r="C926"/>
      <c r="D926"/>
      <c r="E926" s="69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  <c r="V926"/>
      <c r="W926"/>
      <c r="X926"/>
      <c r="Y926"/>
      <c r="Z926"/>
      <c r="AA926"/>
    </row>
    <row r="927" spans="2:27" s="25" customFormat="1" ht="15.75" customHeight="1" x14ac:dyDescent="0.2">
      <c r="B927" s="89"/>
      <c r="C927"/>
      <c r="D927"/>
      <c r="E927" s="69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  <c r="V927"/>
      <c r="W927"/>
      <c r="X927"/>
      <c r="Y927"/>
      <c r="Z927"/>
      <c r="AA927"/>
    </row>
    <row r="928" spans="2:27" s="25" customFormat="1" ht="15.75" customHeight="1" x14ac:dyDescent="0.2">
      <c r="B928" s="89"/>
      <c r="C928"/>
      <c r="D928"/>
      <c r="E928" s="69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  <c r="V928"/>
      <c r="W928"/>
      <c r="X928"/>
      <c r="Y928"/>
      <c r="Z928"/>
      <c r="AA928"/>
    </row>
    <row r="929" spans="2:27" s="25" customFormat="1" ht="15.75" customHeight="1" x14ac:dyDescent="0.2">
      <c r="B929" s="89"/>
      <c r="C929"/>
      <c r="D929"/>
      <c r="E929" s="6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  <c r="V929"/>
      <c r="W929"/>
      <c r="X929"/>
      <c r="Y929"/>
      <c r="Z929"/>
      <c r="AA929"/>
    </row>
    <row r="930" spans="2:27" s="25" customFormat="1" ht="15.75" customHeight="1" x14ac:dyDescent="0.2">
      <c r="B930" s="89"/>
      <c r="C930"/>
      <c r="D930"/>
      <c r="E930" s="69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  <c r="V930"/>
      <c r="W930"/>
      <c r="X930"/>
      <c r="Y930"/>
      <c r="Z930"/>
      <c r="AA930"/>
    </row>
    <row r="931" spans="2:27" s="25" customFormat="1" ht="15.75" customHeight="1" x14ac:dyDescent="0.2">
      <c r="B931" s="89"/>
      <c r="C931"/>
      <c r="D931"/>
      <c r="E931" s="69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  <c r="V931"/>
      <c r="W931"/>
      <c r="X931"/>
      <c r="Y931"/>
      <c r="Z931"/>
      <c r="AA931"/>
    </row>
    <row r="932" spans="2:27" s="25" customFormat="1" ht="15.75" customHeight="1" x14ac:dyDescent="0.2">
      <c r="B932" s="89"/>
      <c r="C932"/>
      <c r="D932"/>
      <c r="E932" s="69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  <c r="V932"/>
      <c r="W932"/>
      <c r="X932"/>
      <c r="Y932"/>
      <c r="Z932"/>
      <c r="AA932"/>
    </row>
    <row r="933" spans="2:27" s="25" customFormat="1" ht="15.75" customHeight="1" x14ac:dyDescent="0.2">
      <c r="B933" s="89"/>
      <c r="C933"/>
      <c r="D933"/>
      <c r="E933" s="69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  <c r="V933"/>
      <c r="W933"/>
      <c r="X933"/>
      <c r="Y933"/>
      <c r="Z933"/>
      <c r="AA933"/>
    </row>
    <row r="934" spans="2:27" s="25" customFormat="1" ht="15.75" customHeight="1" x14ac:dyDescent="0.2">
      <c r="B934" s="89"/>
      <c r="C934"/>
      <c r="D934"/>
      <c r="E934" s="69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  <c r="V934"/>
      <c r="W934"/>
      <c r="X934"/>
      <c r="Y934"/>
      <c r="Z934"/>
      <c r="AA934"/>
    </row>
    <row r="935" spans="2:27" s="25" customFormat="1" ht="15.75" customHeight="1" x14ac:dyDescent="0.2">
      <c r="B935" s="89"/>
      <c r="C935"/>
      <c r="D935"/>
      <c r="E935" s="69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  <c r="V935"/>
      <c r="W935"/>
      <c r="X935"/>
      <c r="Y935"/>
      <c r="Z935"/>
      <c r="AA935"/>
    </row>
    <row r="936" spans="2:27" s="25" customFormat="1" ht="15.75" customHeight="1" x14ac:dyDescent="0.2">
      <c r="B936" s="89"/>
      <c r="C936"/>
      <c r="D936"/>
      <c r="E936" s="69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  <c r="V936"/>
      <c r="W936"/>
      <c r="X936"/>
      <c r="Y936"/>
      <c r="Z936"/>
      <c r="AA936"/>
    </row>
    <row r="937" spans="2:27" s="25" customFormat="1" ht="15.75" customHeight="1" x14ac:dyDescent="0.2">
      <c r="B937" s="89"/>
      <c r="C937"/>
      <c r="D937"/>
      <c r="E937" s="69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  <c r="V937"/>
      <c r="W937"/>
      <c r="X937"/>
      <c r="Y937"/>
      <c r="Z937"/>
      <c r="AA937"/>
    </row>
    <row r="938" spans="2:27" s="25" customFormat="1" ht="15.75" customHeight="1" x14ac:dyDescent="0.2">
      <c r="B938" s="89"/>
      <c r="C938"/>
      <c r="D938"/>
      <c r="E938" s="69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  <c r="V938"/>
      <c r="W938"/>
      <c r="X938"/>
      <c r="Y938"/>
      <c r="Z938"/>
      <c r="AA938"/>
    </row>
    <row r="939" spans="2:27" s="25" customFormat="1" ht="15.75" customHeight="1" x14ac:dyDescent="0.2">
      <c r="B939" s="89"/>
      <c r="C939"/>
      <c r="D939"/>
      <c r="E939" s="6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  <c r="V939"/>
      <c r="W939"/>
      <c r="X939"/>
      <c r="Y939"/>
      <c r="Z939"/>
      <c r="AA939"/>
    </row>
    <row r="940" spans="2:27" s="25" customFormat="1" ht="15.75" customHeight="1" x14ac:dyDescent="0.2">
      <c r="B940" s="89"/>
      <c r="C940"/>
      <c r="D940"/>
      <c r="E940" s="69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  <c r="V940"/>
      <c r="W940"/>
      <c r="X940"/>
      <c r="Y940"/>
      <c r="Z940"/>
      <c r="AA940"/>
    </row>
    <row r="941" spans="2:27" s="25" customFormat="1" ht="15.75" customHeight="1" x14ac:dyDescent="0.2">
      <c r="B941" s="89"/>
      <c r="C941"/>
      <c r="D941"/>
      <c r="E941" s="69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  <c r="V941"/>
      <c r="W941"/>
      <c r="X941"/>
      <c r="Y941"/>
      <c r="Z941"/>
      <c r="AA941"/>
    </row>
    <row r="942" spans="2:27" s="25" customFormat="1" ht="15.75" customHeight="1" x14ac:dyDescent="0.2">
      <c r="B942" s="89"/>
      <c r="C942"/>
      <c r="D942"/>
      <c r="E942" s="69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  <c r="V942"/>
      <c r="W942"/>
      <c r="X942"/>
      <c r="Y942"/>
      <c r="Z942"/>
      <c r="AA942"/>
    </row>
    <row r="943" spans="2:27" s="25" customFormat="1" ht="15.75" customHeight="1" x14ac:dyDescent="0.2">
      <c r="B943" s="89"/>
      <c r="C943"/>
      <c r="D943"/>
      <c r="E943" s="69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  <c r="V943"/>
      <c r="W943"/>
      <c r="X943"/>
      <c r="Y943"/>
      <c r="Z943"/>
      <c r="AA943"/>
    </row>
    <row r="944" spans="2:27" s="25" customFormat="1" ht="15.75" customHeight="1" x14ac:dyDescent="0.2">
      <c r="B944" s="89"/>
      <c r="C944"/>
      <c r="D944"/>
      <c r="E944" s="69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  <c r="V944"/>
      <c r="W944"/>
      <c r="X944"/>
      <c r="Y944"/>
      <c r="Z944"/>
      <c r="AA944"/>
    </row>
    <row r="945" spans="2:27" s="25" customFormat="1" ht="15.75" customHeight="1" x14ac:dyDescent="0.2">
      <c r="B945" s="89"/>
      <c r="C945"/>
      <c r="D945"/>
      <c r="E945" s="69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  <c r="U945"/>
      <c r="V945"/>
      <c r="W945"/>
      <c r="X945"/>
      <c r="Y945"/>
      <c r="Z945"/>
      <c r="AA945"/>
    </row>
    <row r="946" spans="2:27" s="25" customFormat="1" ht="15.75" customHeight="1" x14ac:dyDescent="0.2">
      <c r="B946" s="89"/>
      <c r="C946"/>
      <c r="D946"/>
      <c r="E946" s="69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  <c r="V946"/>
      <c r="W946"/>
      <c r="X946"/>
      <c r="Y946"/>
      <c r="Z946"/>
      <c r="AA946"/>
    </row>
    <row r="947" spans="2:27" s="25" customFormat="1" ht="15.75" customHeight="1" x14ac:dyDescent="0.2">
      <c r="B947" s="89"/>
      <c r="C947"/>
      <c r="D947"/>
      <c r="E947" s="69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  <c r="U947"/>
      <c r="V947"/>
      <c r="W947"/>
      <c r="X947"/>
      <c r="Y947"/>
      <c r="Z947"/>
      <c r="AA947"/>
    </row>
    <row r="948" spans="2:27" s="25" customFormat="1" ht="15.75" customHeight="1" x14ac:dyDescent="0.2">
      <c r="B948" s="89"/>
      <c r="C948"/>
      <c r="D948"/>
      <c r="E948" s="69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  <c r="U948"/>
      <c r="V948"/>
      <c r="W948"/>
      <c r="X948"/>
      <c r="Y948"/>
      <c r="Z948"/>
      <c r="AA948"/>
    </row>
    <row r="949" spans="2:27" s="25" customFormat="1" ht="15.75" customHeight="1" x14ac:dyDescent="0.2">
      <c r="B949" s="89"/>
      <c r="C949"/>
      <c r="D949"/>
      <c r="E949" s="6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  <c r="V949"/>
      <c r="W949"/>
      <c r="X949"/>
      <c r="Y949"/>
      <c r="Z949"/>
      <c r="AA949"/>
    </row>
    <row r="950" spans="2:27" s="25" customFormat="1" ht="15.75" customHeight="1" x14ac:dyDescent="0.2">
      <c r="B950" s="89"/>
      <c r="C950"/>
      <c r="D950"/>
      <c r="E950" s="69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  <c r="U950"/>
      <c r="V950"/>
      <c r="W950"/>
      <c r="X950"/>
      <c r="Y950"/>
      <c r="Z950"/>
      <c r="AA950"/>
    </row>
    <row r="951" spans="2:27" s="25" customFormat="1" ht="15.75" customHeight="1" x14ac:dyDescent="0.2">
      <c r="B951" s="89"/>
      <c r="C951"/>
      <c r="D951"/>
      <c r="E951" s="69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  <c r="V951"/>
      <c r="W951"/>
      <c r="X951"/>
      <c r="Y951"/>
      <c r="Z951"/>
      <c r="AA951"/>
    </row>
    <row r="952" spans="2:27" s="25" customFormat="1" ht="15.75" customHeight="1" x14ac:dyDescent="0.2">
      <c r="B952" s="89"/>
      <c r="C952"/>
      <c r="D952"/>
      <c r="E952" s="69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  <c r="U952"/>
      <c r="V952"/>
      <c r="W952"/>
      <c r="X952"/>
      <c r="Y952"/>
      <c r="Z952"/>
      <c r="AA952"/>
    </row>
    <row r="953" spans="2:27" s="25" customFormat="1" ht="15.75" customHeight="1" x14ac:dyDescent="0.2">
      <c r="B953" s="89"/>
      <c r="C953"/>
      <c r="D953"/>
      <c r="E953" s="69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  <c r="U953"/>
      <c r="V953"/>
      <c r="W953"/>
      <c r="X953"/>
      <c r="Y953"/>
      <c r="Z953"/>
      <c r="AA953"/>
    </row>
    <row r="954" spans="2:27" s="25" customFormat="1" ht="15.75" customHeight="1" x14ac:dyDescent="0.2">
      <c r="B954" s="89"/>
      <c r="C954"/>
      <c r="D954"/>
      <c r="E954" s="69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  <c r="V954"/>
      <c r="W954"/>
      <c r="X954"/>
      <c r="Y954"/>
      <c r="Z954"/>
      <c r="AA954"/>
    </row>
    <row r="955" spans="2:27" s="25" customFormat="1" ht="15.75" customHeight="1" x14ac:dyDescent="0.2">
      <c r="B955" s="89"/>
      <c r="C955"/>
      <c r="D955"/>
      <c r="E955" s="69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  <c r="V955"/>
      <c r="W955"/>
      <c r="X955"/>
      <c r="Y955"/>
      <c r="Z955"/>
      <c r="AA955"/>
    </row>
    <row r="956" spans="2:27" s="25" customFormat="1" ht="15.75" customHeight="1" x14ac:dyDescent="0.2">
      <c r="B956" s="89"/>
      <c r="C956"/>
      <c r="D956"/>
      <c r="E956" s="69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  <c r="U956"/>
      <c r="V956"/>
      <c r="W956"/>
      <c r="X956"/>
      <c r="Y956"/>
      <c r="Z956"/>
      <c r="AA956"/>
    </row>
    <row r="957" spans="2:27" s="25" customFormat="1" ht="15.75" customHeight="1" x14ac:dyDescent="0.2">
      <c r="B957" s="89"/>
      <c r="C957"/>
      <c r="D957"/>
      <c r="E957" s="69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  <c r="V957"/>
      <c r="W957"/>
      <c r="X957"/>
      <c r="Y957"/>
      <c r="Z957"/>
      <c r="AA957"/>
    </row>
    <row r="958" spans="2:27" s="25" customFormat="1" ht="15.75" customHeight="1" x14ac:dyDescent="0.2">
      <c r="B958" s="89"/>
      <c r="C958"/>
      <c r="D958"/>
      <c r="E958" s="69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  <c r="V958"/>
      <c r="W958"/>
      <c r="X958"/>
      <c r="Y958"/>
      <c r="Z958"/>
      <c r="AA958"/>
    </row>
    <row r="959" spans="2:27" s="25" customFormat="1" ht="15.75" customHeight="1" x14ac:dyDescent="0.2">
      <c r="B959" s="89"/>
      <c r="C959"/>
      <c r="D959"/>
      <c r="E959" s="6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  <c r="V959"/>
      <c r="W959"/>
      <c r="X959"/>
      <c r="Y959"/>
      <c r="Z959"/>
      <c r="AA959"/>
    </row>
    <row r="960" spans="2:27" s="25" customFormat="1" ht="15.75" customHeight="1" x14ac:dyDescent="0.2">
      <c r="B960" s="89"/>
      <c r="C960"/>
      <c r="D960"/>
      <c r="E960" s="69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  <c r="U960"/>
      <c r="V960"/>
      <c r="W960"/>
      <c r="X960"/>
      <c r="Y960"/>
      <c r="Z960"/>
      <c r="AA960"/>
    </row>
    <row r="961" spans="2:27" s="25" customFormat="1" ht="15.75" customHeight="1" x14ac:dyDescent="0.2">
      <c r="B961" s="89"/>
      <c r="C961"/>
      <c r="D961"/>
      <c r="E961" s="69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  <c r="V961"/>
      <c r="W961"/>
      <c r="X961"/>
      <c r="Y961"/>
      <c r="Z961"/>
      <c r="AA961"/>
    </row>
    <row r="962" spans="2:27" s="25" customFormat="1" ht="15.75" customHeight="1" x14ac:dyDescent="0.2">
      <c r="B962" s="89"/>
      <c r="C962"/>
      <c r="D962"/>
      <c r="E962" s="69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  <c r="V962"/>
      <c r="W962"/>
      <c r="X962"/>
      <c r="Y962"/>
      <c r="Z962"/>
      <c r="AA962"/>
    </row>
    <row r="963" spans="2:27" s="25" customFormat="1" ht="15.75" customHeight="1" x14ac:dyDescent="0.2">
      <c r="B963" s="89"/>
      <c r="C963"/>
      <c r="D963"/>
      <c r="E963" s="69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  <c r="V963"/>
      <c r="W963"/>
      <c r="X963"/>
      <c r="Y963"/>
      <c r="Z963"/>
      <c r="AA963"/>
    </row>
    <row r="964" spans="2:27" s="25" customFormat="1" ht="15.75" customHeight="1" x14ac:dyDescent="0.2">
      <c r="B964" s="89"/>
      <c r="C964"/>
      <c r="D964"/>
      <c r="E964" s="69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  <c r="V964"/>
      <c r="W964"/>
      <c r="X964"/>
      <c r="Y964"/>
      <c r="Z964"/>
      <c r="AA964"/>
    </row>
    <row r="965" spans="2:27" s="25" customFormat="1" ht="15.75" customHeight="1" x14ac:dyDescent="0.2">
      <c r="B965" s="89"/>
      <c r="C965"/>
      <c r="D965"/>
      <c r="E965" s="69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  <c r="T965"/>
      <c r="U965"/>
      <c r="V965"/>
      <c r="W965"/>
      <c r="X965"/>
      <c r="Y965"/>
      <c r="Z965"/>
      <c r="AA965"/>
    </row>
    <row r="966" spans="2:27" s="25" customFormat="1" ht="15.75" customHeight="1" x14ac:dyDescent="0.2">
      <c r="B966" s="89"/>
      <c r="C966"/>
      <c r="D966"/>
      <c r="E966" s="69"/>
      <c r="F966"/>
      <c r="G966"/>
      <c r="H966"/>
      <c r="I966"/>
      <c r="J966"/>
      <c r="K966"/>
      <c r="L966"/>
      <c r="M966"/>
      <c r="N966"/>
      <c r="O966"/>
      <c r="P966"/>
      <c r="Q966"/>
      <c r="R966"/>
      <c r="S966"/>
      <c r="T966"/>
      <c r="U966"/>
      <c r="V966"/>
      <c r="W966"/>
      <c r="X966"/>
      <c r="Y966"/>
      <c r="Z966"/>
      <c r="AA966"/>
    </row>
    <row r="967" spans="2:27" s="25" customFormat="1" ht="15.75" customHeight="1" x14ac:dyDescent="0.2">
      <c r="B967" s="89"/>
      <c r="C967"/>
      <c r="D967"/>
      <c r="E967" s="69"/>
      <c r="F967"/>
      <c r="G967"/>
      <c r="H967"/>
      <c r="I967"/>
      <c r="J967"/>
      <c r="K967"/>
      <c r="L967"/>
      <c r="M967"/>
      <c r="N967"/>
      <c r="O967"/>
      <c r="P967"/>
      <c r="Q967"/>
      <c r="R967"/>
      <c r="S967"/>
      <c r="T967"/>
      <c r="U967"/>
      <c r="V967"/>
      <c r="W967"/>
      <c r="X967"/>
      <c r="Y967"/>
      <c r="Z967"/>
      <c r="AA967"/>
    </row>
    <row r="968" spans="2:27" s="25" customFormat="1" ht="15.75" customHeight="1" x14ac:dyDescent="0.2">
      <c r="B968" s="89"/>
      <c r="C968"/>
      <c r="D968"/>
      <c r="E968" s="69"/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  <c r="U968"/>
      <c r="V968"/>
      <c r="W968"/>
      <c r="X968"/>
      <c r="Y968"/>
      <c r="Z968"/>
      <c r="AA968"/>
    </row>
    <row r="969" spans="2:27" s="25" customFormat="1" ht="15.75" customHeight="1" x14ac:dyDescent="0.2">
      <c r="B969" s="89"/>
      <c r="C969"/>
      <c r="D969"/>
      <c r="E969" s="69"/>
      <c r="F969"/>
      <c r="G969"/>
      <c r="H969"/>
      <c r="I969"/>
      <c r="J969"/>
      <c r="K969"/>
      <c r="L969"/>
      <c r="M969"/>
      <c r="N969"/>
      <c r="O969"/>
      <c r="P969"/>
      <c r="Q969"/>
      <c r="R969"/>
      <c r="S969"/>
      <c r="T969"/>
      <c r="U969"/>
      <c r="V969"/>
      <c r="W969"/>
      <c r="X969"/>
      <c r="Y969"/>
      <c r="Z969"/>
      <c r="AA969"/>
    </row>
    <row r="970" spans="2:27" s="25" customFormat="1" ht="15.75" customHeight="1" x14ac:dyDescent="0.2">
      <c r="B970" s="89"/>
      <c r="C970"/>
      <c r="D970"/>
      <c r="E970" s="69"/>
      <c r="F970"/>
      <c r="G970"/>
      <c r="H970"/>
      <c r="I970"/>
      <c r="J970"/>
      <c r="K970"/>
      <c r="L970"/>
      <c r="M970"/>
      <c r="N970"/>
      <c r="O970"/>
      <c r="P970"/>
      <c r="Q970"/>
      <c r="R970"/>
      <c r="S970"/>
      <c r="T970"/>
      <c r="U970"/>
      <c r="V970"/>
      <c r="W970"/>
      <c r="X970"/>
      <c r="Y970"/>
      <c r="Z970"/>
      <c r="AA970"/>
    </row>
    <row r="971" spans="2:27" s="25" customFormat="1" ht="15.75" customHeight="1" x14ac:dyDescent="0.2">
      <c r="B971" s="89"/>
      <c r="C971"/>
      <c r="D971"/>
      <c r="E971" s="69"/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  <c r="T971"/>
      <c r="U971"/>
      <c r="V971"/>
      <c r="W971"/>
      <c r="X971"/>
      <c r="Y971"/>
      <c r="Z971"/>
      <c r="AA971"/>
    </row>
    <row r="972" spans="2:27" s="25" customFormat="1" ht="15.75" customHeight="1" x14ac:dyDescent="0.2">
      <c r="B972" s="89"/>
      <c r="C972"/>
      <c r="D972"/>
      <c r="E972" s="69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  <c r="U972"/>
      <c r="V972"/>
      <c r="W972"/>
      <c r="X972"/>
      <c r="Y972"/>
      <c r="Z972"/>
      <c r="AA972"/>
    </row>
    <row r="973" spans="2:27" s="25" customFormat="1" ht="15.75" customHeight="1" x14ac:dyDescent="0.2">
      <c r="B973" s="89"/>
      <c r="C973"/>
      <c r="D973"/>
      <c r="E973" s="69"/>
      <c r="F973"/>
      <c r="G973"/>
      <c r="H973"/>
      <c r="I973"/>
      <c r="J973"/>
      <c r="K973"/>
      <c r="L973"/>
      <c r="M973"/>
      <c r="N973"/>
      <c r="O973"/>
      <c r="P973"/>
      <c r="Q973"/>
      <c r="R973"/>
      <c r="S973"/>
      <c r="T973"/>
      <c r="U973"/>
      <c r="V973"/>
      <c r="W973"/>
      <c r="X973"/>
      <c r="Y973"/>
      <c r="Z973"/>
      <c r="AA973"/>
    </row>
    <row r="974" spans="2:27" s="25" customFormat="1" ht="15.75" customHeight="1" x14ac:dyDescent="0.2">
      <c r="B974" s="89"/>
      <c r="C974"/>
      <c r="D974"/>
      <c r="E974" s="69"/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  <c r="T974"/>
      <c r="U974"/>
      <c r="V974"/>
      <c r="W974"/>
      <c r="X974"/>
      <c r="Y974"/>
      <c r="Z974"/>
      <c r="AA974"/>
    </row>
    <row r="975" spans="2:27" s="25" customFormat="1" ht="15.75" customHeight="1" x14ac:dyDescent="0.2">
      <c r="B975" s="89"/>
      <c r="C975"/>
      <c r="D975"/>
      <c r="E975" s="69"/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  <c r="U975"/>
      <c r="V975"/>
      <c r="W975"/>
      <c r="X975"/>
      <c r="Y975"/>
      <c r="Z975"/>
      <c r="AA975"/>
    </row>
    <row r="976" spans="2:27" s="25" customFormat="1" ht="15.75" customHeight="1" x14ac:dyDescent="0.2">
      <c r="B976" s="89"/>
      <c r="C976"/>
      <c r="D976"/>
      <c r="E976" s="69"/>
      <c r="F976"/>
      <c r="G976"/>
      <c r="H976"/>
      <c r="I976"/>
      <c r="J976"/>
      <c r="K976"/>
      <c r="L976"/>
      <c r="M976"/>
      <c r="N976"/>
      <c r="O976"/>
      <c r="P976"/>
      <c r="Q976"/>
      <c r="R976"/>
      <c r="S976"/>
      <c r="T976"/>
      <c r="U976"/>
      <c r="V976"/>
      <c r="W976"/>
      <c r="X976"/>
      <c r="Y976"/>
      <c r="Z976"/>
      <c r="AA976"/>
    </row>
    <row r="977" spans="2:27" s="25" customFormat="1" ht="15.75" customHeight="1" x14ac:dyDescent="0.2">
      <c r="B977" s="89"/>
      <c r="C977"/>
      <c r="D977"/>
      <c r="E977" s="69"/>
      <c r="F977"/>
      <c r="G977"/>
      <c r="H977"/>
      <c r="I977"/>
      <c r="J977"/>
      <c r="K977"/>
      <c r="L977"/>
      <c r="M977"/>
      <c r="N977"/>
      <c r="O977"/>
      <c r="P977"/>
      <c r="Q977"/>
      <c r="R977"/>
      <c r="S977"/>
      <c r="T977"/>
      <c r="U977"/>
      <c r="V977"/>
      <c r="W977"/>
      <c r="X977"/>
      <c r="Y977"/>
      <c r="Z977"/>
      <c r="AA977"/>
    </row>
    <row r="978" spans="2:27" s="25" customFormat="1" ht="15.75" customHeight="1" x14ac:dyDescent="0.2">
      <c r="B978" s="89"/>
      <c r="C978"/>
      <c r="D978"/>
      <c r="E978" s="69"/>
      <c r="F978"/>
      <c r="G978"/>
      <c r="H978"/>
      <c r="I978"/>
      <c r="J978"/>
      <c r="K978"/>
      <c r="L978"/>
      <c r="M978"/>
      <c r="N978"/>
      <c r="O978"/>
      <c r="P978"/>
      <c r="Q978"/>
      <c r="R978"/>
      <c r="S978"/>
      <c r="T978"/>
      <c r="U978"/>
      <c r="V978"/>
      <c r="W978"/>
      <c r="X978"/>
      <c r="Y978"/>
      <c r="Z978"/>
      <c r="AA978"/>
    </row>
    <row r="979" spans="2:27" s="25" customFormat="1" ht="15.75" customHeight="1" x14ac:dyDescent="0.2">
      <c r="B979" s="89"/>
      <c r="C979"/>
      <c r="D979"/>
      <c r="E979" s="69"/>
      <c r="F979"/>
      <c r="G979"/>
      <c r="H979"/>
      <c r="I979"/>
      <c r="J979"/>
      <c r="K979"/>
      <c r="L979"/>
      <c r="M979"/>
      <c r="N979"/>
      <c r="O979"/>
      <c r="P979"/>
      <c r="Q979"/>
      <c r="R979"/>
      <c r="S979"/>
      <c r="T979"/>
      <c r="U979"/>
      <c r="V979"/>
      <c r="W979"/>
      <c r="X979"/>
      <c r="Y979"/>
      <c r="Z979"/>
      <c r="AA979"/>
    </row>
    <row r="980" spans="2:27" s="25" customFormat="1" ht="15.75" customHeight="1" x14ac:dyDescent="0.2">
      <c r="B980" s="89"/>
      <c r="C980"/>
      <c r="D980"/>
      <c r="E980" s="69"/>
      <c r="F980"/>
      <c r="G980"/>
      <c r="H980"/>
      <c r="I980"/>
      <c r="J980"/>
      <c r="K980"/>
      <c r="L980"/>
      <c r="M980"/>
      <c r="N980"/>
      <c r="O980"/>
      <c r="P980"/>
      <c r="Q980"/>
      <c r="R980"/>
      <c r="S980"/>
      <c r="T980"/>
      <c r="U980"/>
      <c r="V980"/>
      <c r="W980"/>
      <c r="X980"/>
      <c r="Y980"/>
      <c r="Z980"/>
      <c r="AA980"/>
    </row>
    <row r="981" spans="2:27" s="25" customFormat="1" ht="15.75" customHeight="1" x14ac:dyDescent="0.2">
      <c r="B981" s="89"/>
      <c r="C981"/>
      <c r="D981"/>
      <c r="E981" s="69"/>
      <c r="F981"/>
      <c r="G981"/>
      <c r="H981"/>
      <c r="I981"/>
      <c r="J981"/>
      <c r="K981"/>
      <c r="L981"/>
      <c r="M981"/>
      <c r="N981"/>
      <c r="O981"/>
      <c r="P981"/>
      <c r="Q981"/>
      <c r="R981"/>
      <c r="S981"/>
      <c r="T981"/>
      <c r="U981"/>
      <c r="V981"/>
      <c r="W981"/>
      <c r="X981"/>
      <c r="Y981"/>
      <c r="Z981"/>
      <c r="AA981"/>
    </row>
    <row r="982" spans="2:27" s="25" customFormat="1" ht="15.75" customHeight="1" x14ac:dyDescent="0.2">
      <c r="B982" s="89"/>
      <c r="C982"/>
      <c r="D982"/>
      <c r="E982" s="69"/>
      <c r="F982"/>
      <c r="G982"/>
      <c r="H982"/>
      <c r="I982"/>
      <c r="J982"/>
      <c r="K982"/>
      <c r="L982"/>
      <c r="M982"/>
      <c r="N982"/>
      <c r="O982"/>
      <c r="P982"/>
      <c r="Q982"/>
      <c r="R982"/>
      <c r="S982"/>
      <c r="T982"/>
      <c r="U982"/>
      <c r="V982"/>
      <c r="W982"/>
      <c r="X982"/>
      <c r="Y982"/>
      <c r="Z982"/>
      <c r="AA982"/>
    </row>
    <row r="983" spans="2:27" s="25" customFormat="1" ht="15.75" customHeight="1" x14ac:dyDescent="0.2">
      <c r="B983" s="89"/>
      <c r="C983"/>
      <c r="D983"/>
      <c r="E983" s="69"/>
      <c r="F983"/>
      <c r="G983"/>
      <c r="H983"/>
      <c r="I983"/>
      <c r="J983"/>
      <c r="K983"/>
      <c r="L983"/>
      <c r="M983"/>
      <c r="N983"/>
      <c r="O983"/>
      <c r="P983"/>
      <c r="Q983"/>
      <c r="R983"/>
      <c r="S983"/>
      <c r="T983"/>
      <c r="U983"/>
      <c r="V983"/>
      <c r="W983"/>
      <c r="X983"/>
      <c r="Y983"/>
      <c r="Z983"/>
      <c r="AA983"/>
    </row>
    <row r="984" spans="2:27" s="25" customFormat="1" ht="15.75" customHeight="1" x14ac:dyDescent="0.2">
      <c r="B984" s="89"/>
      <c r="C984"/>
      <c r="D984"/>
      <c r="E984" s="69"/>
      <c r="F984"/>
      <c r="G984"/>
      <c r="H984"/>
      <c r="I984"/>
      <c r="J984"/>
      <c r="K984"/>
      <c r="L984"/>
      <c r="M984"/>
      <c r="N984"/>
      <c r="O984"/>
      <c r="P984"/>
      <c r="Q984"/>
      <c r="R984"/>
      <c r="S984"/>
      <c r="T984"/>
      <c r="U984"/>
      <c r="V984"/>
      <c r="W984"/>
      <c r="X984"/>
      <c r="Y984"/>
      <c r="Z984"/>
      <c r="AA984"/>
    </row>
    <row r="985" spans="2:27" s="25" customFormat="1" ht="15.75" customHeight="1" x14ac:dyDescent="0.2">
      <c r="B985" s="89"/>
      <c r="C985"/>
      <c r="D985"/>
      <c r="E985" s="69"/>
      <c r="F985"/>
      <c r="G985"/>
      <c r="H985"/>
      <c r="I985"/>
      <c r="J985"/>
      <c r="K985"/>
      <c r="L985"/>
      <c r="M985"/>
      <c r="N985"/>
      <c r="O985"/>
      <c r="P985"/>
      <c r="Q985"/>
      <c r="R985"/>
      <c r="S985"/>
      <c r="T985"/>
      <c r="U985"/>
      <c r="V985"/>
      <c r="W985"/>
      <c r="X985"/>
      <c r="Y985"/>
      <c r="Z985"/>
      <c r="AA985"/>
    </row>
    <row r="986" spans="2:27" s="25" customFormat="1" ht="15.75" customHeight="1" x14ac:dyDescent="0.2">
      <c r="B986" s="89"/>
      <c r="C986"/>
      <c r="D986"/>
      <c r="E986" s="69"/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  <c r="U986"/>
      <c r="V986"/>
      <c r="W986"/>
      <c r="X986"/>
      <c r="Y986"/>
      <c r="Z986"/>
      <c r="AA986"/>
    </row>
    <row r="987" spans="2:27" s="25" customFormat="1" ht="15.75" customHeight="1" x14ac:dyDescent="0.2">
      <c r="B987" s="89"/>
      <c r="C987"/>
      <c r="D987"/>
      <c r="E987" s="69"/>
      <c r="F987"/>
      <c r="G987"/>
      <c r="H987"/>
      <c r="I987"/>
      <c r="J987"/>
      <c r="K987"/>
      <c r="L987"/>
      <c r="M987"/>
      <c r="N987"/>
      <c r="O987"/>
      <c r="P987"/>
      <c r="Q987"/>
      <c r="R987"/>
      <c r="S987"/>
      <c r="T987"/>
      <c r="U987"/>
      <c r="V987"/>
      <c r="W987"/>
      <c r="X987"/>
      <c r="Y987"/>
      <c r="Z987"/>
      <c r="AA987"/>
    </row>
    <row r="988" spans="2:27" s="25" customFormat="1" ht="15.75" customHeight="1" x14ac:dyDescent="0.2">
      <c r="B988" s="89"/>
      <c r="C988"/>
      <c r="D988"/>
      <c r="E988" s="69"/>
      <c r="F988"/>
      <c r="G988"/>
      <c r="H988"/>
      <c r="I988"/>
      <c r="J988"/>
      <c r="K988"/>
      <c r="L988"/>
      <c r="M988"/>
      <c r="N988"/>
      <c r="O988"/>
      <c r="P988"/>
      <c r="Q988"/>
      <c r="R988"/>
      <c r="S988"/>
      <c r="T988"/>
      <c r="U988"/>
      <c r="V988"/>
      <c r="W988"/>
      <c r="X988"/>
      <c r="Y988"/>
      <c r="Z988"/>
      <c r="AA988"/>
    </row>
    <row r="989" spans="2:27" s="25" customFormat="1" ht="15.75" customHeight="1" x14ac:dyDescent="0.2">
      <c r="B989" s="89"/>
      <c r="C989"/>
      <c r="D989"/>
      <c r="E989" s="69"/>
      <c r="F989"/>
      <c r="G989"/>
      <c r="H989"/>
      <c r="I989"/>
      <c r="J989"/>
      <c r="K989"/>
      <c r="L989"/>
      <c r="M989"/>
      <c r="N989"/>
      <c r="O989"/>
      <c r="P989"/>
      <c r="Q989"/>
      <c r="R989"/>
      <c r="S989"/>
      <c r="T989"/>
      <c r="U989"/>
      <c r="V989"/>
      <c r="W989"/>
      <c r="X989"/>
      <c r="Y989"/>
      <c r="Z989"/>
      <c r="AA989"/>
    </row>
    <row r="990" spans="2:27" s="25" customFormat="1" ht="15.75" customHeight="1" x14ac:dyDescent="0.2">
      <c r="B990" s="89"/>
      <c r="C990"/>
      <c r="D990"/>
      <c r="E990" s="69"/>
      <c r="F990"/>
      <c r="G990"/>
      <c r="H990"/>
      <c r="I990"/>
      <c r="J990"/>
      <c r="K990"/>
      <c r="L990"/>
      <c r="M990"/>
      <c r="N990"/>
      <c r="O990"/>
      <c r="P990"/>
      <c r="Q990"/>
      <c r="R990"/>
      <c r="S990"/>
      <c r="T990"/>
      <c r="U990"/>
      <c r="V990"/>
      <c r="W990"/>
      <c r="X990"/>
      <c r="Y990"/>
      <c r="Z990"/>
      <c r="AA990"/>
    </row>
    <row r="991" spans="2:27" s="25" customFormat="1" ht="15.75" customHeight="1" x14ac:dyDescent="0.2">
      <c r="B991" s="89"/>
      <c r="C991"/>
      <c r="D991"/>
      <c r="E991" s="69"/>
      <c r="F991"/>
      <c r="G991"/>
      <c r="H991"/>
      <c r="I991"/>
      <c r="J991"/>
      <c r="K991"/>
      <c r="L991"/>
      <c r="M991"/>
      <c r="N991"/>
      <c r="O991"/>
      <c r="P991"/>
      <c r="Q991"/>
      <c r="R991"/>
      <c r="S991"/>
      <c r="T991"/>
      <c r="U991"/>
      <c r="V991"/>
      <c r="W991"/>
      <c r="X991"/>
      <c r="Y991"/>
      <c r="Z991"/>
      <c r="AA991"/>
    </row>
    <row r="992" spans="2:27" s="25" customFormat="1" ht="15.75" customHeight="1" x14ac:dyDescent="0.2">
      <c r="B992" s="89"/>
      <c r="C992"/>
      <c r="D992"/>
      <c r="E992" s="69"/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  <c r="T992"/>
      <c r="U992"/>
      <c r="V992"/>
      <c r="W992"/>
      <c r="X992"/>
      <c r="Y992"/>
      <c r="Z992"/>
      <c r="AA992"/>
    </row>
    <row r="993" spans="2:27" s="25" customFormat="1" ht="15.75" customHeight="1" x14ac:dyDescent="0.2">
      <c r="B993" s="89"/>
      <c r="C993"/>
      <c r="D993"/>
      <c r="E993" s="69"/>
      <c r="F993"/>
      <c r="G993"/>
      <c r="H993"/>
      <c r="I993"/>
      <c r="J993"/>
      <c r="K993"/>
      <c r="L993"/>
      <c r="M993"/>
      <c r="N993"/>
      <c r="O993"/>
      <c r="P993"/>
      <c r="Q993"/>
      <c r="R993"/>
      <c r="S993"/>
      <c r="T993"/>
      <c r="U993"/>
      <c r="V993"/>
      <c r="W993"/>
      <c r="X993"/>
      <c r="Y993"/>
      <c r="Z993"/>
      <c r="AA993"/>
    </row>
    <row r="994" spans="2:27" s="25" customFormat="1" ht="15.75" customHeight="1" x14ac:dyDescent="0.2">
      <c r="B994" s="89"/>
      <c r="C994"/>
      <c r="D994"/>
      <c r="E994" s="69"/>
      <c r="F994"/>
      <c r="G994"/>
      <c r="H994"/>
      <c r="I994"/>
      <c r="J994"/>
      <c r="K994"/>
      <c r="L994"/>
      <c r="M994"/>
      <c r="N994"/>
      <c r="O994"/>
      <c r="P994"/>
      <c r="Q994"/>
      <c r="R994"/>
      <c r="S994"/>
      <c r="T994"/>
      <c r="U994"/>
      <c r="V994"/>
      <c r="W994"/>
      <c r="X994"/>
      <c r="Y994"/>
      <c r="Z994"/>
      <c r="AA994"/>
    </row>
    <row r="995" spans="2:27" s="25" customFormat="1" ht="15.75" customHeight="1" x14ac:dyDescent="0.2">
      <c r="B995" s="89"/>
      <c r="C995"/>
      <c r="D995"/>
      <c r="E995" s="69"/>
      <c r="F995"/>
      <c r="G995"/>
      <c r="H995"/>
      <c r="I995"/>
      <c r="J995"/>
      <c r="K995"/>
      <c r="L995"/>
      <c r="M995"/>
      <c r="N995"/>
      <c r="O995"/>
      <c r="P995"/>
      <c r="Q995"/>
      <c r="R995"/>
      <c r="S995"/>
      <c r="T995"/>
      <c r="U995"/>
      <c r="V995"/>
      <c r="W995"/>
      <c r="X995"/>
      <c r="Y995"/>
      <c r="Z995"/>
      <c r="AA995"/>
    </row>
    <row r="996" spans="2:27" s="25" customFormat="1" ht="15.75" customHeight="1" x14ac:dyDescent="0.2">
      <c r="B996" s="89"/>
      <c r="C996"/>
      <c r="D996"/>
      <c r="E996" s="69"/>
      <c r="F996"/>
      <c r="G996"/>
      <c r="H996"/>
      <c r="I996"/>
      <c r="J996"/>
      <c r="K996"/>
      <c r="L996"/>
      <c r="M996"/>
      <c r="N996"/>
      <c r="O996"/>
      <c r="P996"/>
      <c r="Q996"/>
      <c r="R996"/>
      <c r="S996"/>
      <c r="T996"/>
      <c r="U996"/>
      <c r="V996"/>
      <c r="W996"/>
      <c r="X996"/>
      <c r="Y996"/>
      <c r="Z996"/>
      <c r="AA996"/>
    </row>
  </sheetData>
  <mergeCells count="11">
    <mergeCell ref="B7:E7"/>
    <mergeCell ref="F7:G7"/>
    <mergeCell ref="B8:E8"/>
    <mergeCell ref="F8:G8"/>
    <mergeCell ref="E1:E3"/>
    <mergeCell ref="B4:E4"/>
    <mergeCell ref="F4:G4"/>
    <mergeCell ref="B5:E5"/>
    <mergeCell ref="F5:G5"/>
    <mergeCell ref="B6:E6"/>
    <mergeCell ref="F6:G6"/>
  </mergeCells>
  <conditionalFormatting sqref="A4:B8 A9:H1048576">
    <cfRule type="expression" dxfId="5" priority="1">
      <formula>ISNUMBER(SEARCH("Holiday", $E4))</formula>
    </cfRule>
    <cfRule type="expression" dxfId="4" priority="2">
      <formula>AND(WEEKDAY($A4,2)&lt;6, $A4&lt;&gt;"")</formula>
    </cfRule>
  </conditionalFormatting>
  <conditionalFormatting sqref="A1:H3">
    <cfRule type="expression" dxfId="3" priority="5">
      <formula>ISNUMBER(SEARCH("Holiday", $E1))</formula>
    </cfRule>
    <cfRule type="expression" dxfId="2" priority="6">
      <formula>AND(WEEKDAY($A1,2)&lt;6, $A1&lt;&gt;"")</formula>
    </cfRule>
  </conditionalFormatting>
  <conditionalFormatting sqref="F4:H8">
    <cfRule type="expression" dxfId="1" priority="3">
      <formula>ISNUMBER(SEARCH("Holiday", $E4))</formula>
    </cfRule>
    <cfRule type="expression" dxfId="0" priority="4">
      <formula>AND(WEEKDAY($A4,2)&lt;6, $A4&lt;&gt;"")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 2026</vt:lpstr>
      <vt:lpstr>February 2026</vt:lpstr>
      <vt:lpstr>March 2026</vt:lpstr>
      <vt:lpstr>April 2026</vt:lpstr>
      <vt:lpstr>May 2026</vt:lpstr>
      <vt:lpstr>June 2026</vt:lpstr>
      <vt:lpstr>July 2026</vt:lpstr>
      <vt:lpstr>August 2026</vt:lpstr>
      <vt:lpstr>September 2026</vt:lpstr>
      <vt:lpstr>October 2026</vt:lpstr>
      <vt:lpstr>Novmber 2026</vt:lpstr>
      <vt:lpstr>December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Connie Wong</cp:lastModifiedBy>
  <dcterms:created xsi:type="dcterms:W3CDTF">2021-01-04T21:14:52Z</dcterms:created>
  <dcterms:modified xsi:type="dcterms:W3CDTF">2025-12-22T17:38:29Z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abc3097-6d3f-4a3d-8128-f487b14e4b08_Enabled">
    <vt:lpwstr>true</vt:lpwstr>
  </property>
  <property fmtid="{D5CDD505-2E9C-101B-9397-08002B2CF9AE}" pid="3" name="MSIP_Label_6abc3097-6d3f-4a3d-8128-f487b14e4b08_SetDate">
    <vt:lpwstr>2020-12-02T20:27:34Z</vt:lpwstr>
  </property>
  <property fmtid="{D5CDD505-2E9C-101B-9397-08002B2CF9AE}" pid="4" name="MSIP_Label_6abc3097-6d3f-4a3d-8128-f487b14e4b08_Method">
    <vt:lpwstr>Standard</vt:lpwstr>
  </property>
  <property fmtid="{D5CDD505-2E9C-101B-9397-08002B2CF9AE}" pid="5" name="MSIP_Label_6abc3097-6d3f-4a3d-8128-f487b14e4b08_Name">
    <vt:lpwstr>6abc3097-6d3f-4a3d-8128-f487b14e4b08</vt:lpwstr>
  </property>
  <property fmtid="{D5CDD505-2E9C-101B-9397-08002B2CF9AE}" pid="6" name="MSIP_Label_6abc3097-6d3f-4a3d-8128-f487b14e4b08_SiteId">
    <vt:lpwstr>8ff33436-4701-4dad-b7d3-3462e99c6889</vt:lpwstr>
  </property>
  <property fmtid="{D5CDD505-2E9C-101B-9397-08002B2CF9AE}" pid="7" name="MSIP_Label_6abc3097-6d3f-4a3d-8128-f487b14e4b08_ActionId">
    <vt:lpwstr>ef174207-2cc1-44bb-9e54-563fdd75833e</vt:lpwstr>
  </property>
  <property fmtid="{D5CDD505-2E9C-101B-9397-08002B2CF9AE}" pid="8" name="MSIP_Label_6abc3097-6d3f-4a3d-8128-f487b14e4b08_ContentBits">
    <vt:lpwstr>2</vt:lpwstr>
  </property>
</Properties>
</file>